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ricbuzz\static\images\venues\"/>
    </mc:Choice>
  </mc:AlternateContent>
  <xr:revisionPtr revIDLastSave="0" documentId="13_ncr:1_{83C9631E-8B34-40FD-A823-20A068DE1E6C}" xr6:coauthVersionLast="47" xr6:coauthVersionMax="47" xr10:uidLastSave="{00000000-0000-0000-0000-000000000000}"/>
  <bookViews>
    <workbookView xWindow="-110" yWindow="-110" windowWidth="19420" windowHeight="10300" tabRatio="885" activeTab="1" xr2:uid="{00000000-000D-0000-FFFF-FFFF00000000}"/>
  </bookViews>
  <sheets>
    <sheet name="APRIL" sheetId="1" r:id="rId1"/>
    <sheet name="MAY" sheetId="11" r:id="rId2"/>
    <sheet name="JUN" sheetId="12" r:id="rId3"/>
    <sheet name="JULY" sheetId="13" r:id="rId4"/>
    <sheet name="AUG" sheetId="14" r:id="rId5"/>
    <sheet name="SEPT" sheetId="15" r:id="rId6"/>
    <sheet name="OCT" sheetId="16" r:id="rId7"/>
    <sheet name="NOV" sheetId="17" r:id="rId8"/>
    <sheet name="DEC" sheetId="18" r:id="rId9"/>
    <sheet name="JAN" sheetId="19" r:id="rId10"/>
    <sheet name="FEB" sheetId="20" r:id="rId11"/>
    <sheet name="MAR" sheetId="21" r:id="rId12"/>
    <sheet name="Stockist trend" sheetId="3" r:id="rId13"/>
    <sheet name="PRD TREND" sheetId="22" r:id="rId14"/>
    <sheet name="PRICELIST" sheetId="2" r:id="rId15"/>
  </sheets>
  <externalReferences>
    <externalReference r:id="rId16"/>
  </externalReferences>
  <definedNames>
    <definedName name="_xlnm._FilterDatabase" localSheetId="0" hidden="1">APRIL!$A$2:$CZ$120</definedName>
    <definedName name="_xlnm._FilterDatabase" localSheetId="4" hidden="1">AUG!$A$2:$CZ$110</definedName>
    <definedName name="_xlnm._FilterDatabase" localSheetId="8" hidden="1">DEC!$A$2:$CZ$110</definedName>
    <definedName name="_xlnm._FilterDatabase" localSheetId="10" hidden="1">FEB!$A$2:$CZ$110</definedName>
    <definedName name="_xlnm._FilterDatabase" localSheetId="9" hidden="1">JAN!$A$2:$CZ$110</definedName>
    <definedName name="_xlnm._FilterDatabase" localSheetId="3" hidden="1">JULY!$A$2:$CZ$110</definedName>
    <definedName name="_xlnm._FilterDatabase" localSheetId="2" hidden="1">JUN!$A$2:$CZ$110</definedName>
    <definedName name="_xlnm._FilterDatabase" localSheetId="11" hidden="1">MAR!$A$2:$CZ$110</definedName>
    <definedName name="_xlnm._FilterDatabase" localSheetId="1" hidden="1">MAY!$A$2:$CZ$110</definedName>
    <definedName name="_xlnm._FilterDatabase" localSheetId="7" hidden="1">NOV!$A$2:$CZ$110</definedName>
    <definedName name="_xlnm._FilterDatabase" localSheetId="6" hidden="1">OCT!$A$2:$CZ$110</definedName>
    <definedName name="_xlnm._FilterDatabase" localSheetId="5" hidden="1">SEPT!$A$2:$CZ$110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3" l="1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9" i="3"/>
  <c r="B8" i="3"/>
  <c r="B7" i="3"/>
  <c r="B6" i="3"/>
  <c r="B5" i="3"/>
  <c r="B4" i="3"/>
  <c r="CZ118" i="21" l="1"/>
  <c r="CY118" i="21"/>
  <c r="B118" i="21"/>
  <c r="CZ117" i="21"/>
  <c r="CY117" i="21"/>
  <c r="B117" i="21"/>
  <c r="CZ116" i="21"/>
  <c r="CY116" i="21"/>
  <c r="B116" i="21"/>
  <c r="CN119" i="21" s="1"/>
  <c r="CZ114" i="21"/>
  <c r="CY114" i="21"/>
  <c r="B114" i="21"/>
  <c r="CZ113" i="21"/>
  <c r="CY113" i="21"/>
  <c r="B113" i="21"/>
  <c r="CZ112" i="21"/>
  <c r="CY112" i="21"/>
  <c r="B112" i="21"/>
  <c r="CZ111" i="21"/>
  <c r="CY111" i="21"/>
  <c r="B111" i="21"/>
  <c r="CZ109" i="21"/>
  <c r="CY109" i="21"/>
  <c r="B109" i="21"/>
  <c r="CZ108" i="21"/>
  <c r="CY108" i="21"/>
  <c r="B108" i="21"/>
  <c r="CZ107" i="21"/>
  <c r="CY107" i="21"/>
  <c r="B107" i="21"/>
  <c r="CZ106" i="21"/>
  <c r="CY106" i="21"/>
  <c r="B106" i="21"/>
  <c r="CZ105" i="21"/>
  <c r="CY105" i="21"/>
  <c r="B105" i="21"/>
  <c r="CZ104" i="21"/>
  <c r="CY104" i="21"/>
  <c r="B104" i="21"/>
  <c r="CZ103" i="21"/>
  <c r="CY103" i="21"/>
  <c r="B103" i="21"/>
  <c r="CZ102" i="21"/>
  <c r="CY102" i="21"/>
  <c r="B102" i="21"/>
  <c r="CZ101" i="21"/>
  <c r="CY101" i="21"/>
  <c r="B101" i="21"/>
  <c r="CZ100" i="21"/>
  <c r="CY100" i="21"/>
  <c r="B100" i="21"/>
  <c r="CZ98" i="21"/>
  <c r="CY98" i="21"/>
  <c r="B98" i="21"/>
  <c r="CZ97" i="21"/>
  <c r="CY97" i="21"/>
  <c r="B97" i="21"/>
  <c r="CZ96" i="21"/>
  <c r="CY96" i="21"/>
  <c r="B96" i="21"/>
  <c r="CZ94" i="21"/>
  <c r="CY94" i="21"/>
  <c r="B94" i="21"/>
  <c r="CZ93" i="21"/>
  <c r="CY93" i="21"/>
  <c r="B93" i="21"/>
  <c r="Q95" i="21" s="1"/>
  <c r="CZ91" i="21"/>
  <c r="CY91" i="21"/>
  <c r="B91" i="21"/>
  <c r="CZ90" i="21"/>
  <c r="CY90" i="21"/>
  <c r="B90" i="21"/>
  <c r="CZ89" i="21"/>
  <c r="CY89" i="21"/>
  <c r="B89" i="21"/>
  <c r="CZ87" i="21"/>
  <c r="CY87" i="21"/>
  <c r="B87" i="21"/>
  <c r="CZ86" i="21"/>
  <c r="CY86" i="21"/>
  <c r="B86" i="21"/>
  <c r="CZ85" i="21"/>
  <c r="CY85" i="21"/>
  <c r="B85" i="21"/>
  <c r="CZ84" i="21"/>
  <c r="CY84" i="21"/>
  <c r="B84" i="21"/>
  <c r="CZ83" i="21"/>
  <c r="CY83" i="21"/>
  <c r="B83" i="21"/>
  <c r="CZ82" i="21"/>
  <c r="CY82" i="21"/>
  <c r="B82" i="21"/>
  <c r="CZ80" i="21"/>
  <c r="CY80" i="21"/>
  <c r="B80" i="21"/>
  <c r="CZ78" i="21"/>
  <c r="CY78" i="21"/>
  <c r="B78" i="21"/>
  <c r="CZ77" i="21"/>
  <c r="CY77" i="21"/>
  <c r="B77" i="21"/>
  <c r="CZ76" i="21"/>
  <c r="CY76" i="21"/>
  <c r="B76" i="21"/>
  <c r="CZ75" i="21"/>
  <c r="CY75" i="21"/>
  <c r="B75" i="21"/>
  <c r="CZ74" i="21"/>
  <c r="CY74" i="21"/>
  <c r="B74" i="21"/>
  <c r="CZ73" i="21"/>
  <c r="CY73" i="21"/>
  <c r="B73" i="21"/>
  <c r="CZ72" i="21"/>
  <c r="CY72" i="21"/>
  <c r="B72" i="21"/>
  <c r="CZ70" i="21"/>
  <c r="CY70" i="21"/>
  <c r="B70" i="21"/>
  <c r="CZ69" i="21"/>
  <c r="CY69" i="21"/>
  <c r="B69" i="21"/>
  <c r="CZ68" i="21"/>
  <c r="CY68" i="21"/>
  <c r="B68" i="21"/>
  <c r="CZ67" i="21"/>
  <c r="CY67" i="21"/>
  <c r="B67" i="21"/>
  <c r="CZ66" i="21"/>
  <c r="CY66" i="21"/>
  <c r="B66" i="21"/>
  <c r="CZ65" i="21"/>
  <c r="CY65" i="21"/>
  <c r="B65" i="21"/>
  <c r="CZ64" i="21"/>
  <c r="CY64" i="21"/>
  <c r="B64" i="21"/>
  <c r="CZ63" i="21"/>
  <c r="CY63" i="21"/>
  <c r="B63" i="21"/>
  <c r="CZ62" i="21"/>
  <c r="CY62" i="21"/>
  <c r="B62" i="21"/>
  <c r="CZ61" i="21"/>
  <c r="CY61" i="21"/>
  <c r="B61" i="21"/>
  <c r="CZ60" i="21"/>
  <c r="CY60" i="21"/>
  <c r="B60" i="21"/>
  <c r="CZ58" i="21"/>
  <c r="CY58" i="21"/>
  <c r="B58" i="21"/>
  <c r="CZ57" i="21"/>
  <c r="CY57" i="21"/>
  <c r="B57" i="21"/>
  <c r="CZ56" i="21"/>
  <c r="CY56" i="21"/>
  <c r="B56" i="21"/>
  <c r="CZ55" i="21"/>
  <c r="CY55" i="21"/>
  <c r="B55" i="21"/>
  <c r="CZ54" i="21"/>
  <c r="CY54" i="21"/>
  <c r="B54" i="21"/>
  <c r="BK59" i="21" s="1"/>
  <c r="CZ52" i="21"/>
  <c r="CY52" i="21"/>
  <c r="B52" i="21"/>
  <c r="CZ51" i="21"/>
  <c r="CY51" i="21"/>
  <c r="B51" i="21"/>
  <c r="CZ50" i="21"/>
  <c r="CY50" i="21"/>
  <c r="B50" i="21"/>
  <c r="CY53" i="21" s="1"/>
  <c r="CZ48" i="21"/>
  <c r="CY48" i="21"/>
  <c r="B48" i="21"/>
  <c r="CZ46" i="21"/>
  <c r="CY46" i="21"/>
  <c r="B46" i="21"/>
  <c r="CZ45" i="21"/>
  <c r="CY45" i="21"/>
  <c r="B45" i="21"/>
  <c r="CZ44" i="21"/>
  <c r="CY44" i="21"/>
  <c r="B44" i="21"/>
  <c r="CZ43" i="21"/>
  <c r="CY43" i="21"/>
  <c r="B43" i="21"/>
  <c r="CZ42" i="21"/>
  <c r="CY42" i="21"/>
  <c r="B42" i="21"/>
  <c r="CZ41" i="21"/>
  <c r="CY41" i="21"/>
  <c r="B41" i="21"/>
  <c r="CM47" i="21" s="1"/>
  <c r="CZ39" i="21"/>
  <c r="CY39" i="21"/>
  <c r="B39" i="21"/>
  <c r="CZ38" i="21"/>
  <c r="CY38" i="21"/>
  <c r="B38" i="21"/>
  <c r="CZ36" i="21"/>
  <c r="CY36" i="21"/>
  <c r="B36" i="21"/>
  <c r="CZ35" i="21"/>
  <c r="CY35" i="21"/>
  <c r="B35" i="21"/>
  <c r="CZ33" i="21"/>
  <c r="CY33" i="21"/>
  <c r="B33" i="21"/>
  <c r="CZ32" i="21"/>
  <c r="CY32" i="21"/>
  <c r="B32" i="21"/>
  <c r="CZ31" i="21"/>
  <c r="CY31" i="21"/>
  <c r="B31" i="21"/>
  <c r="CZ30" i="21"/>
  <c r="CY30" i="21"/>
  <c r="B30" i="21"/>
  <c r="CZ29" i="21"/>
  <c r="CY29" i="21"/>
  <c r="B29" i="21"/>
  <c r="CZ28" i="21"/>
  <c r="CY28" i="21"/>
  <c r="B28" i="21"/>
  <c r="BT34" i="21" s="1"/>
  <c r="CZ26" i="21"/>
  <c r="CY26" i="21"/>
  <c r="B26" i="21"/>
  <c r="CZ25" i="21"/>
  <c r="CY25" i="21"/>
  <c r="B25" i="21"/>
  <c r="CZ23" i="21"/>
  <c r="CY23" i="21"/>
  <c r="B23" i="21"/>
  <c r="CZ22" i="21"/>
  <c r="CY22" i="21"/>
  <c r="B22" i="21"/>
  <c r="CZ21" i="21"/>
  <c r="CY21" i="21"/>
  <c r="B21" i="21"/>
  <c r="CU24" i="21" s="1"/>
  <c r="CZ19" i="21"/>
  <c r="CY19" i="21"/>
  <c r="B19" i="21"/>
  <c r="CZ18" i="21"/>
  <c r="CY18" i="21"/>
  <c r="B18" i="21"/>
  <c r="CZ17" i="21"/>
  <c r="CY17" i="21"/>
  <c r="B17" i="21"/>
  <c r="CZ16" i="21"/>
  <c r="CY16" i="21"/>
  <c r="B16" i="21"/>
  <c r="CZ15" i="21"/>
  <c r="CY15" i="21"/>
  <c r="B15" i="21"/>
  <c r="CZ14" i="21"/>
  <c r="CY14" i="21"/>
  <c r="B14" i="21"/>
  <c r="CZ13" i="21"/>
  <c r="CY13" i="21"/>
  <c r="B13" i="21"/>
  <c r="CZ12" i="21"/>
  <c r="CY12" i="21"/>
  <c r="B12" i="21"/>
  <c r="CZ11" i="21"/>
  <c r="CY11" i="21"/>
  <c r="B11" i="21"/>
  <c r="CV20" i="21" s="1"/>
  <c r="CZ9" i="21"/>
  <c r="CY9" i="21"/>
  <c r="B9" i="21"/>
  <c r="CZ8" i="21"/>
  <c r="CY8" i="21"/>
  <c r="B8" i="21"/>
  <c r="CZ7" i="21"/>
  <c r="CY7" i="21"/>
  <c r="B7" i="21"/>
  <c r="CZ6" i="21"/>
  <c r="CY6" i="21"/>
  <c r="B6" i="21"/>
  <c r="CZ5" i="21"/>
  <c r="CY5" i="21"/>
  <c r="B5" i="21"/>
  <c r="CZ4" i="21"/>
  <c r="CY4" i="21"/>
  <c r="B4" i="21"/>
  <c r="CZ3" i="21"/>
  <c r="CY3" i="21"/>
  <c r="B3" i="21"/>
  <c r="CZ118" i="20"/>
  <c r="CY118" i="20"/>
  <c r="B118" i="20"/>
  <c r="CZ117" i="20"/>
  <c r="CY117" i="20"/>
  <c r="B117" i="20"/>
  <c r="CZ116" i="20"/>
  <c r="CY116" i="20"/>
  <c r="B116" i="20"/>
  <c r="CZ114" i="20"/>
  <c r="CY114" i="20"/>
  <c r="B114" i="20"/>
  <c r="CZ113" i="20"/>
  <c r="CY113" i="20"/>
  <c r="B113" i="20"/>
  <c r="CZ112" i="20"/>
  <c r="CY112" i="20"/>
  <c r="B112" i="20"/>
  <c r="CZ111" i="20"/>
  <c r="CY111" i="20"/>
  <c r="B111" i="20"/>
  <c r="BT115" i="20" s="1"/>
  <c r="CZ109" i="20"/>
  <c r="CY109" i="20"/>
  <c r="B109" i="20"/>
  <c r="CZ108" i="20"/>
  <c r="CY108" i="20"/>
  <c r="B108" i="20"/>
  <c r="CZ107" i="20"/>
  <c r="CY107" i="20"/>
  <c r="B107" i="20"/>
  <c r="CZ106" i="20"/>
  <c r="CY106" i="20"/>
  <c r="B106" i="20"/>
  <c r="CZ105" i="20"/>
  <c r="CY105" i="20"/>
  <c r="B105" i="20"/>
  <c r="CZ104" i="20"/>
  <c r="CY104" i="20"/>
  <c r="B104" i="20"/>
  <c r="CZ103" i="20"/>
  <c r="CY103" i="20"/>
  <c r="B103" i="20"/>
  <c r="CZ102" i="20"/>
  <c r="CY102" i="20"/>
  <c r="B102" i="20"/>
  <c r="CZ101" i="20"/>
  <c r="CY101" i="20"/>
  <c r="B101" i="20"/>
  <c r="CZ100" i="20"/>
  <c r="CY100" i="20"/>
  <c r="B100" i="20"/>
  <c r="CZ110" i="20" s="1"/>
  <c r="CZ98" i="20"/>
  <c r="CY98" i="20"/>
  <c r="B98" i="20"/>
  <c r="CZ97" i="20"/>
  <c r="CY97" i="20"/>
  <c r="B97" i="20"/>
  <c r="CZ96" i="20"/>
  <c r="CY96" i="20"/>
  <c r="B96" i="20"/>
  <c r="CZ94" i="20"/>
  <c r="CY94" i="20"/>
  <c r="B94" i="20"/>
  <c r="CZ93" i="20"/>
  <c r="CY93" i="20"/>
  <c r="B93" i="20"/>
  <c r="BT95" i="20" s="1"/>
  <c r="CZ91" i="20"/>
  <c r="CY91" i="20"/>
  <c r="B91" i="20"/>
  <c r="CZ90" i="20"/>
  <c r="CY90" i="20"/>
  <c r="B90" i="20"/>
  <c r="CZ89" i="20"/>
  <c r="CY89" i="20"/>
  <c r="B89" i="20"/>
  <c r="CZ87" i="20"/>
  <c r="CY87" i="20"/>
  <c r="B87" i="20"/>
  <c r="CZ86" i="20"/>
  <c r="CY86" i="20"/>
  <c r="B86" i="20"/>
  <c r="CZ85" i="20"/>
  <c r="CY85" i="20"/>
  <c r="B85" i="20"/>
  <c r="CZ84" i="20"/>
  <c r="CY84" i="20"/>
  <c r="B84" i="20"/>
  <c r="CZ83" i="20"/>
  <c r="CY83" i="20"/>
  <c r="B83" i="20"/>
  <c r="CZ82" i="20"/>
  <c r="CY82" i="20"/>
  <c r="B82" i="20"/>
  <c r="BS81" i="20"/>
  <c r="CZ80" i="20"/>
  <c r="CY80" i="20"/>
  <c r="B80" i="20"/>
  <c r="CZ78" i="20"/>
  <c r="CY78" i="20"/>
  <c r="B78" i="20"/>
  <c r="CZ77" i="20"/>
  <c r="CY77" i="20"/>
  <c r="B77" i="20"/>
  <c r="CZ76" i="20"/>
  <c r="CY76" i="20"/>
  <c r="B76" i="20"/>
  <c r="CZ75" i="20"/>
  <c r="CY75" i="20"/>
  <c r="B75" i="20"/>
  <c r="CZ74" i="20"/>
  <c r="CY74" i="20"/>
  <c r="B74" i="20"/>
  <c r="CZ73" i="20"/>
  <c r="CY73" i="20"/>
  <c r="B73" i="20"/>
  <c r="CZ72" i="20"/>
  <c r="CY72" i="20"/>
  <c r="B72" i="20"/>
  <c r="CX79" i="20" s="1"/>
  <c r="CZ70" i="20"/>
  <c r="CY70" i="20"/>
  <c r="B70" i="20"/>
  <c r="CZ69" i="20"/>
  <c r="CY69" i="20"/>
  <c r="B69" i="20"/>
  <c r="CZ68" i="20"/>
  <c r="CY68" i="20"/>
  <c r="B68" i="20"/>
  <c r="CZ67" i="20"/>
  <c r="CY67" i="20"/>
  <c r="B67" i="20"/>
  <c r="CZ66" i="20"/>
  <c r="CY66" i="20"/>
  <c r="B66" i="20"/>
  <c r="CZ65" i="20"/>
  <c r="CY65" i="20"/>
  <c r="B65" i="20"/>
  <c r="CZ64" i="20"/>
  <c r="CY64" i="20"/>
  <c r="B64" i="20"/>
  <c r="CZ63" i="20"/>
  <c r="CY63" i="20"/>
  <c r="B63" i="20"/>
  <c r="CZ62" i="20"/>
  <c r="CY62" i="20"/>
  <c r="B62" i="20"/>
  <c r="CZ61" i="20"/>
  <c r="CY61" i="20"/>
  <c r="B61" i="20"/>
  <c r="CZ60" i="20"/>
  <c r="CY60" i="20"/>
  <c r="B60" i="20"/>
  <c r="CZ58" i="20"/>
  <c r="CY58" i="20"/>
  <c r="B58" i="20"/>
  <c r="CZ57" i="20"/>
  <c r="CY57" i="20"/>
  <c r="B57" i="20"/>
  <c r="CZ56" i="20"/>
  <c r="CY56" i="20"/>
  <c r="B56" i="20"/>
  <c r="CZ55" i="20"/>
  <c r="CY55" i="20"/>
  <c r="B55" i="20"/>
  <c r="CZ54" i="20"/>
  <c r="CY54" i="20"/>
  <c r="B54" i="20"/>
  <c r="CW59" i="20" s="1"/>
  <c r="CZ52" i="20"/>
  <c r="CY52" i="20"/>
  <c r="B52" i="20"/>
  <c r="CZ51" i="20"/>
  <c r="CY51" i="20"/>
  <c r="B51" i="20"/>
  <c r="CZ50" i="20"/>
  <c r="CY50" i="20"/>
  <c r="B50" i="20"/>
  <c r="CZ48" i="20"/>
  <c r="CY48" i="20"/>
  <c r="B48" i="20"/>
  <c r="CR49" i="20" s="1"/>
  <c r="CZ46" i="20"/>
  <c r="CY46" i="20"/>
  <c r="B46" i="20"/>
  <c r="CZ45" i="20"/>
  <c r="CY45" i="20"/>
  <c r="B45" i="20"/>
  <c r="CZ44" i="20"/>
  <c r="CY44" i="20"/>
  <c r="B44" i="20"/>
  <c r="CZ43" i="20"/>
  <c r="CY43" i="20"/>
  <c r="B43" i="20"/>
  <c r="CZ42" i="20"/>
  <c r="CY42" i="20"/>
  <c r="B42" i="20"/>
  <c r="CZ41" i="20"/>
  <c r="CY41" i="20"/>
  <c r="B41" i="20"/>
  <c r="CC47" i="20" s="1"/>
  <c r="CZ39" i="20"/>
  <c r="CY39" i="20"/>
  <c r="B39" i="20"/>
  <c r="CZ38" i="20"/>
  <c r="CY38" i="20"/>
  <c r="B38" i="20"/>
  <c r="CZ36" i="20"/>
  <c r="CY36" i="20"/>
  <c r="B36" i="20"/>
  <c r="CZ35" i="20"/>
  <c r="CY35" i="20"/>
  <c r="B35" i="20"/>
  <c r="BY37" i="20" s="1"/>
  <c r="CZ33" i="20"/>
  <c r="CY33" i="20"/>
  <c r="B33" i="20"/>
  <c r="CZ32" i="20"/>
  <c r="CY32" i="20"/>
  <c r="B32" i="20"/>
  <c r="CZ31" i="20"/>
  <c r="CY31" i="20"/>
  <c r="B31" i="20"/>
  <c r="CZ30" i="20"/>
  <c r="CY30" i="20"/>
  <c r="B30" i="20"/>
  <c r="CZ29" i="20"/>
  <c r="CY29" i="20"/>
  <c r="B29" i="20"/>
  <c r="CZ28" i="20"/>
  <c r="CY28" i="20"/>
  <c r="B28" i="20"/>
  <c r="CZ26" i="20"/>
  <c r="CY26" i="20"/>
  <c r="B26" i="20"/>
  <c r="CZ25" i="20"/>
  <c r="CY25" i="20"/>
  <c r="B25" i="20"/>
  <c r="CT27" i="20" s="1"/>
  <c r="CZ23" i="20"/>
  <c r="CY23" i="20"/>
  <c r="B23" i="20"/>
  <c r="CZ22" i="20"/>
  <c r="CY22" i="20"/>
  <c r="B22" i="20"/>
  <c r="CZ21" i="20"/>
  <c r="CY21" i="20"/>
  <c r="B21" i="20"/>
  <c r="CZ19" i="20"/>
  <c r="CY19" i="20"/>
  <c r="B19" i="20"/>
  <c r="CZ18" i="20"/>
  <c r="CY18" i="20"/>
  <c r="B18" i="20"/>
  <c r="CZ17" i="20"/>
  <c r="CY17" i="20"/>
  <c r="B17" i="20"/>
  <c r="CZ16" i="20"/>
  <c r="CY16" i="20"/>
  <c r="B16" i="20"/>
  <c r="CZ15" i="20"/>
  <c r="CY15" i="20"/>
  <c r="B15" i="20"/>
  <c r="CZ14" i="20"/>
  <c r="CY14" i="20"/>
  <c r="B14" i="20"/>
  <c r="CZ13" i="20"/>
  <c r="CY13" i="20"/>
  <c r="B13" i="20"/>
  <c r="CZ12" i="20"/>
  <c r="CY12" i="20"/>
  <c r="B12" i="20"/>
  <c r="CZ11" i="20"/>
  <c r="CY11" i="20"/>
  <c r="B11" i="20"/>
  <c r="CZ9" i="20"/>
  <c r="CY9" i="20"/>
  <c r="B9" i="20"/>
  <c r="CZ8" i="20"/>
  <c r="CY8" i="20"/>
  <c r="B8" i="20"/>
  <c r="CZ7" i="20"/>
  <c r="CY7" i="20"/>
  <c r="B7" i="20"/>
  <c r="CZ6" i="20"/>
  <c r="CY6" i="20"/>
  <c r="B6" i="20"/>
  <c r="CZ5" i="20"/>
  <c r="CY5" i="20"/>
  <c r="B5" i="20"/>
  <c r="CZ4" i="20"/>
  <c r="CY4" i="20"/>
  <c r="B4" i="20"/>
  <c r="CZ3" i="20"/>
  <c r="CY3" i="20"/>
  <c r="B3" i="20"/>
  <c r="CZ118" i="19"/>
  <c r="CY118" i="19"/>
  <c r="B118" i="19"/>
  <c r="CZ117" i="19"/>
  <c r="CY117" i="19"/>
  <c r="B117" i="19"/>
  <c r="CZ116" i="19"/>
  <c r="CY116" i="19"/>
  <c r="B116" i="19"/>
  <c r="CZ114" i="19"/>
  <c r="CY114" i="19"/>
  <c r="B114" i="19"/>
  <c r="CZ113" i="19"/>
  <c r="CY113" i="19"/>
  <c r="B113" i="19"/>
  <c r="CZ112" i="19"/>
  <c r="CY112" i="19"/>
  <c r="B112" i="19"/>
  <c r="CZ111" i="19"/>
  <c r="CY111" i="19"/>
  <c r="B111" i="19"/>
  <c r="CZ109" i="19"/>
  <c r="CY109" i="19"/>
  <c r="B109" i="19"/>
  <c r="CZ108" i="19"/>
  <c r="CY108" i="19"/>
  <c r="B108" i="19"/>
  <c r="CZ107" i="19"/>
  <c r="CY107" i="19"/>
  <c r="B107" i="19"/>
  <c r="CZ106" i="19"/>
  <c r="CY106" i="19"/>
  <c r="B106" i="19"/>
  <c r="CZ105" i="19"/>
  <c r="CY105" i="19"/>
  <c r="B105" i="19"/>
  <c r="CZ104" i="19"/>
  <c r="CY104" i="19"/>
  <c r="B104" i="19"/>
  <c r="CZ103" i="19"/>
  <c r="CY103" i="19"/>
  <c r="B103" i="19"/>
  <c r="CZ102" i="19"/>
  <c r="CY102" i="19"/>
  <c r="B102" i="19"/>
  <c r="CZ101" i="19"/>
  <c r="CY101" i="19"/>
  <c r="B101" i="19"/>
  <c r="CZ100" i="19"/>
  <c r="CY100" i="19"/>
  <c r="B100" i="19"/>
  <c r="CZ98" i="19"/>
  <c r="CY98" i="19"/>
  <c r="B98" i="19"/>
  <c r="CZ97" i="19"/>
  <c r="CY97" i="19"/>
  <c r="B97" i="19"/>
  <c r="CZ96" i="19"/>
  <c r="CY96" i="19"/>
  <c r="B96" i="19"/>
  <c r="CZ94" i="19"/>
  <c r="CY94" i="19"/>
  <c r="B94" i="19"/>
  <c r="CZ93" i="19"/>
  <c r="CY93" i="19"/>
  <c r="B93" i="19"/>
  <c r="CZ91" i="19"/>
  <c r="CY91" i="19"/>
  <c r="B91" i="19"/>
  <c r="CZ90" i="19"/>
  <c r="CY90" i="19"/>
  <c r="B90" i="19"/>
  <c r="CZ89" i="19"/>
  <c r="CY89" i="19"/>
  <c r="B89" i="19"/>
  <c r="CZ87" i="19"/>
  <c r="CY87" i="19"/>
  <c r="B87" i="19"/>
  <c r="CZ86" i="19"/>
  <c r="CY86" i="19"/>
  <c r="B86" i="19"/>
  <c r="CZ85" i="19"/>
  <c r="CY85" i="19"/>
  <c r="B85" i="19"/>
  <c r="CZ84" i="19"/>
  <c r="CY84" i="19"/>
  <c r="B84" i="19"/>
  <c r="CZ83" i="19"/>
  <c r="CY83" i="19"/>
  <c r="B83" i="19"/>
  <c r="CZ82" i="19"/>
  <c r="CY82" i="19"/>
  <c r="B82" i="19"/>
  <c r="CZ80" i="19"/>
  <c r="CY80" i="19"/>
  <c r="B80" i="19"/>
  <c r="CU81" i="19" s="1"/>
  <c r="CZ78" i="19"/>
  <c r="CY78" i="19"/>
  <c r="B78" i="19"/>
  <c r="CZ77" i="19"/>
  <c r="CY77" i="19"/>
  <c r="B77" i="19"/>
  <c r="CZ76" i="19"/>
  <c r="CY76" i="19"/>
  <c r="B76" i="19"/>
  <c r="CZ75" i="19"/>
  <c r="CY75" i="19"/>
  <c r="B75" i="19"/>
  <c r="CZ74" i="19"/>
  <c r="CY74" i="19"/>
  <c r="B74" i="19"/>
  <c r="CZ73" i="19"/>
  <c r="CY73" i="19"/>
  <c r="B73" i="19"/>
  <c r="CZ72" i="19"/>
  <c r="CY72" i="19"/>
  <c r="B72" i="19"/>
  <c r="CM79" i="19" s="1"/>
  <c r="CZ70" i="19"/>
  <c r="CY70" i="19"/>
  <c r="B70" i="19"/>
  <c r="CZ69" i="19"/>
  <c r="CY69" i="19"/>
  <c r="B69" i="19"/>
  <c r="CZ68" i="19"/>
  <c r="CY68" i="19"/>
  <c r="B68" i="19"/>
  <c r="CZ67" i="19"/>
  <c r="CY67" i="19"/>
  <c r="B67" i="19"/>
  <c r="CZ66" i="19"/>
  <c r="CY66" i="19"/>
  <c r="B66" i="19"/>
  <c r="CZ65" i="19"/>
  <c r="CY65" i="19"/>
  <c r="B65" i="19"/>
  <c r="CZ64" i="19"/>
  <c r="CY64" i="19"/>
  <c r="B64" i="19"/>
  <c r="CZ63" i="19"/>
  <c r="CY63" i="19"/>
  <c r="B63" i="19"/>
  <c r="CZ62" i="19"/>
  <c r="CY62" i="19"/>
  <c r="B62" i="19"/>
  <c r="CZ61" i="19"/>
  <c r="CY61" i="19"/>
  <c r="B61" i="19"/>
  <c r="CZ60" i="19"/>
  <c r="CY60" i="19"/>
  <c r="B60" i="19"/>
  <c r="CZ58" i="19"/>
  <c r="CY58" i="19"/>
  <c r="B58" i="19"/>
  <c r="CZ57" i="19"/>
  <c r="CY57" i="19"/>
  <c r="B57" i="19"/>
  <c r="CZ56" i="19"/>
  <c r="CY56" i="19"/>
  <c r="B56" i="19"/>
  <c r="CZ55" i="19"/>
  <c r="CY55" i="19"/>
  <c r="B55" i="19"/>
  <c r="CZ54" i="19"/>
  <c r="CY54" i="19"/>
  <c r="B54" i="19"/>
  <c r="CZ52" i="19"/>
  <c r="CY52" i="19"/>
  <c r="B52" i="19"/>
  <c r="CZ51" i="19"/>
  <c r="CY51" i="19"/>
  <c r="B51" i="19"/>
  <c r="CZ50" i="19"/>
  <c r="CY50" i="19"/>
  <c r="B50" i="19"/>
  <c r="CZ48" i="19"/>
  <c r="CY48" i="19"/>
  <c r="B48" i="19"/>
  <c r="CN49" i="19" s="1"/>
  <c r="CZ46" i="19"/>
  <c r="CY46" i="19"/>
  <c r="B46" i="19"/>
  <c r="CZ45" i="19"/>
  <c r="CY45" i="19"/>
  <c r="B45" i="19"/>
  <c r="CZ44" i="19"/>
  <c r="CY44" i="19"/>
  <c r="B44" i="19"/>
  <c r="CZ43" i="19"/>
  <c r="CY43" i="19"/>
  <c r="B43" i="19"/>
  <c r="CZ42" i="19"/>
  <c r="CY42" i="19"/>
  <c r="B42" i="19"/>
  <c r="CZ41" i="19"/>
  <c r="CY41" i="19"/>
  <c r="B41" i="19"/>
  <c r="CQ47" i="19" s="1"/>
  <c r="CZ39" i="19"/>
  <c r="CY39" i="19"/>
  <c r="B39" i="19"/>
  <c r="CZ38" i="19"/>
  <c r="CY38" i="19"/>
  <c r="B38" i="19"/>
  <c r="CZ36" i="19"/>
  <c r="CY36" i="19"/>
  <c r="B36" i="19"/>
  <c r="CZ35" i="19"/>
  <c r="CY35" i="19"/>
  <c r="B35" i="19"/>
  <c r="CZ33" i="19"/>
  <c r="CY33" i="19"/>
  <c r="B33" i="19"/>
  <c r="CZ32" i="19"/>
  <c r="CY32" i="19"/>
  <c r="B32" i="19"/>
  <c r="CZ31" i="19"/>
  <c r="CY31" i="19"/>
  <c r="B31" i="19"/>
  <c r="CZ30" i="19"/>
  <c r="CY30" i="19"/>
  <c r="B30" i="19"/>
  <c r="CZ29" i="19"/>
  <c r="CY29" i="19"/>
  <c r="B29" i="19"/>
  <c r="CZ28" i="19"/>
  <c r="CY28" i="19"/>
  <c r="B28" i="19"/>
  <c r="CZ26" i="19"/>
  <c r="CY26" i="19"/>
  <c r="B26" i="19"/>
  <c r="CZ25" i="19"/>
  <c r="CY25" i="19"/>
  <c r="B25" i="19"/>
  <c r="CZ23" i="19"/>
  <c r="CY23" i="19"/>
  <c r="B23" i="19"/>
  <c r="CZ22" i="19"/>
  <c r="CY22" i="19"/>
  <c r="B22" i="19"/>
  <c r="CZ21" i="19"/>
  <c r="CY21" i="19"/>
  <c r="B21" i="19"/>
  <c r="CZ19" i="19"/>
  <c r="CY19" i="19"/>
  <c r="B19" i="19"/>
  <c r="CZ18" i="19"/>
  <c r="CY18" i="19"/>
  <c r="B18" i="19"/>
  <c r="CZ17" i="19"/>
  <c r="CY17" i="19"/>
  <c r="B17" i="19"/>
  <c r="CZ16" i="19"/>
  <c r="CY16" i="19"/>
  <c r="B16" i="19"/>
  <c r="CZ15" i="19"/>
  <c r="CY15" i="19"/>
  <c r="B15" i="19"/>
  <c r="CZ14" i="19"/>
  <c r="CY14" i="19"/>
  <c r="B14" i="19"/>
  <c r="CZ13" i="19"/>
  <c r="CY13" i="19"/>
  <c r="B13" i="19"/>
  <c r="CZ12" i="19"/>
  <c r="CY12" i="19"/>
  <c r="B12" i="19"/>
  <c r="CZ11" i="19"/>
  <c r="CY11" i="19"/>
  <c r="B11" i="19"/>
  <c r="CM20" i="19" s="1"/>
  <c r="CZ9" i="19"/>
  <c r="CY9" i="19"/>
  <c r="B9" i="19"/>
  <c r="CZ8" i="19"/>
  <c r="CY8" i="19"/>
  <c r="B8" i="19"/>
  <c r="CZ7" i="19"/>
  <c r="CY7" i="19"/>
  <c r="B7" i="19"/>
  <c r="CZ6" i="19"/>
  <c r="CY6" i="19"/>
  <c r="B6" i="19"/>
  <c r="CZ5" i="19"/>
  <c r="CY5" i="19"/>
  <c r="B5" i="19"/>
  <c r="CZ4" i="19"/>
  <c r="CY4" i="19"/>
  <c r="B4" i="19"/>
  <c r="CZ3" i="19"/>
  <c r="CY3" i="19"/>
  <c r="B3" i="19"/>
  <c r="CZ118" i="18"/>
  <c r="CY118" i="18"/>
  <c r="B118" i="18"/>
  <c r="CZ117" i="18"/>
  <c r="CY117" i="18"/>
  <c r="B117" i="18"/>
  <c r="CZ116" i="18"/>
  <c r="CY116" i="18"/>
  <c r="B116" i="18"/>
  <c r="CZ114" i="18"/>
  <c r="CY114" i="18"/>
  <c r="B114" i="18"/>
  <c r="CZ113" i="18"/>
  <c r="CY113" i="18"/>
  <c r="B113" i="18"/>
  <c r="CZ112" i="18"/>
  <c r="CY112" i="18"/>
  <c r="B112" i="18"/>
  <c r="CZ111" i="18"/>
  <c r="CY111" i="18"/>
  <c r="B111" i="18"/>
  <c r="CZ109" i="18"/>
  <c r="CY109" i="18"/>
  <c r="B109" i="18"/>
  <c r="CZ108" i="18"/>
  <c r="CY108" i="18"/>
  <c r="B108" i="18"/>
  <c r="CZ107" i="18"/>
  <c r="CY107" i="18"/>
  <c r="B107" i="18"/>
  <c r="CZ106" i="18"/>
  <c r="CY106" i="18"/>
  <c r="B106" i="18"/>
  <c r="CZ105" i="18"/>
  <c r="CY105" i="18"/>
  <c r="B105" i="18"/>
  <c r="CZ104" i="18"/>
  <c r="CY104" i="18"/>
  <c r="B104" i="18"/>
  <c r="CZ103" i="18"/>
  <c r="CY103" i="18"/>
  <c r="B103" i="18"/>
  <c r="CZ102" i="18"/>
  <c r="CY102" i="18"/>
  <c r="B102" i="18"/>
  <c r="CZ101" i="18"/>
  <c r="CY101" i="18"/>
  <c r="B101" i="18"/>
  <c r="CZ100" i="18"/>
  <c r="CY100" i="18"/>
  <c r="B100" i="18"/>
  <c r="CZ98" i="18"/>
  <c r="CY98" i="18"/>
  <c r="B98" i="18"/>
  <c r="CZ97" i="18"/>
  <c r="CY97" i="18"/>
  <c r="B97" i="18"/>
  <c r="CZ96" i="18"/>
  <c r="CY96" i="18"/>
  <c r="B96" i="18"/>
  <c r="CZ94" i="18"/>
  <c r="CY94" i="18"/>
  <c r="B94" i="18"/>
  <c r="CZ93" i="18"/>
  <c r="CY93" i="18"/>
  <c r="B93" i="18"/>
  <c r="CZ91" i="18"/>
  <c r="CY91" i="18"/>
  <c r="B91" i="18"/>
  <c r="CZ90" i="18"/>
  <c r="CY90" i="18"/>
  <c r="B90" i="18"/>
  <c r="CZ89" i="18"/>
  <c r="CY89" i="18"/>
  <c r="B89" i="18"/>
  <c r="CZ87" i="18"/>
  <c r="CY87" i="18"/>
  <c r="B87" i="18"/>
  <c r="CZ86" i="18"/>
  <c r="CY86" i="18"/>
  <c r="B86" i="18"/>
  <c r="CZ85" i="18"/>
  <c r="CY85" i="18"/>
  <c r="B85" i="18"/>
  <c r="CZ84" i="18"/>
  <c r="CY84" i="18"/>
  <c r="B84" i="18"/>
  <c r="CZ83" i="18"/>
  <c r="CY83" i="18"/>
  <c r="B83" i="18"/>
  <c r="CZ82" i="18"/>
  <c r="CY82" i="18"/>
  <c r="B82" i="18"/>
  <c r="C81" i="18"/>
  <c r="CZ80" i="18"/>
  <c r="CY80" i="18"/>
  <c r="B80" i="18"/>
  <c r="CZ78" i="18"/>
  <c r="CY78" i="18"/>
  <c r="B78" i="18"/>
  <c r="CZ77" i="18"/>
  <c r="CY77" i="18"/>
  <c r="B77" i="18"/>
  <c r="CZ76" i="18"/>
  <c r="CY76" i="18"/>
  <c r="B76" i="18"/>
  <c r="CZ75" i="18"/>
  <c r="CY75" i="18"/>
  <c r="B75" i="18"/>
  <c r="CZ74" i="18"/>
  <c r="CY74" i="18"/>
  <c r="B74" i="18"/>
  <c r="CZ73" i="18"/>
  <c r="CY73" i="18"/>
  <c r="B73" i="18"/>
  <c r="CZ72" i="18"/>
  <c r="CY72" i="18"/>
  <c r="B72" i="18"/>
  <c r="CZ70" i="18"/>
  <c r="CY70" i="18"/>
  <c r="B70" i="18"/>
  <c r="CZ69" i="18"/>
  <c r="CY69" i="18"/>
  <c r="B69" i="18"/>
  <c r="CZ68" i="18"/>
  <c r="CY68" i="18"/>
  <c r="B68" i="18"/>
  <c r="CZ67" i="18"/>
  <c r="CY67" i="18"/>
  <c r="B67" i="18"/>
  <c r="CZ66" i="18"/>
  <c r="CY66" i="18"/>
  <c r="B66" i="18"/>
  <c r="CZ65" i="18"/>
  <c r="CY65" i="18"/>
  <c r="B65" i="18"/>
  <c r="CZ64" i="18"/>
  <c r="CY64" i="18"/>
  <c r="B64" i="18"/>
  <c r="CZ63" i="18"/>
  <c r="CY63" i="18"/>
  <c r="B63" i="18"/>
  <c r="CZ62" i="18"/>
  <c r="CY62" i="18"/>
  <c r="B62" i="18"/>
  <c r="CZ61" i="18"/>
  <c r="CY61" i="18"/>
  <c r="B61" i="18"/>
  <c r="CZ60" i="18"/>
  <c r="CY60" i="18"/>
  <c r="B60" i="18"/>
  <c r="CZ58" i="18"/>
  <c r="CY58" i="18"/>
  <c r="B58" i="18"/>
  <c r="CZ57" i="18"/>
  <c r="CY57" i="18"/>
  <c r="B57" i="18"/>
  <c r="CZ56" i="18"/>
  <c r="CY56" i="18"/>
  <c r="B56" i="18"/>
  <c r="CZ55" i="18"/>
  <c r="CY55" i="18"/>
  <c r="B55" i="18"/>
  <c r="CZ54" i="18"/>
  <c r="CY54" i="18"/>
  <c r="B54" i="18"/>
  <c r="CZ52" i="18"/>
  <c r="CY52" i="18"/>
  <c r="B52" i="18"/>
  <c r="CZ51" i="18"/>
  <c r="CY51" i="18"/>
  <c r="B51" i="18"/>
  <c r="CZ50" i="18"/>
  <c r="CY50" i="18"/>
  <c r="B50" i="18"/>
  <c r="CZ48" i="18"/>
  <c r="CY48" i="18"/>
  <c r="B48" i="18"/>
  <c r="CG49" i="18" s="1"/>
  <c r="CZ46" i="18"/>
  <c r="CY46" i="18"/>
  <c r="B46" i="18"/>
  <c r="CZ45" i="18"/>
  <c r="CY45" i="18"/>
  <c r="B45" i="18"/>
  <c r="CZ44" i="18"/>
  <c r="CY44" i="18"/>
  <c r="B44" i="18"/>
  <c r="CZ43" i="18"/>
  <c r="CY43" i="18"/>
  <c r="B43" i="18"/>
  <c r="CZ42" i="18"/>
  <c r="CY42" i="18"/>
  <c r="B42" i="18"/>
  <c r="CZ41" i="18"/>
  <c r="CY41" i="18"/>
  <c r="B41" i="18"/>
  <c r="CZ39" i="18"/>
  <c r="CY39" i="18"/>
  <c r="B39" i="18"/>
  <c r="CZ38" i="18"/>
  <c r="CY38" i="18"/>
  <c r="B38" i="18"/>
  <c r="CU40" i="18" s="1"/>
  <c r="CZ36" i="18"/>
  <c r="CY36" i="18"/>
  <c r="B36" i="18"/>
  <c r="CZ35" i="18"/>
  <c r="CY35" i="18"/>
  <c r="B35" i="18"/>
  <c r="X37" i="18" s="1"/>
  <c r="CZ33" i="18"/>
  <c r="CY33" i="18"/>
  <c r="B33" i="18"/>
  <c r="CZ32" i="18"/>
  <c r="CY32" i="18"/>
  <c r="B32" i="18"/>
  <c r="CZ31" i="18"/>
  <c r="CY31" i="18"/>
  <c r="B31" i="18"/>
  <c r="CZ30" i="18"/>
  <c r="CY30" i="18"/>
  <c r="B30" i="18"/>
  <c r="CZ29" i="18"/>
  <c r="CY29" i="18"/>
  <c r="B29" i="18"/>
  <c r="CZ28" i="18"/>
  <c r="CY28" i="18"/>
  <c r="B28" i="18"/>
  <c r="CZ26" i="18"/>
  <c r="CY26" i="18"/>
  <c r="B26" i="18"/>
  <c r="CZ25" i="18"/>
  <c r="CY25" i="18"/>
  <c r="B25" i="18"/>
  <c r="CR27" i="18" s="1"/>
  <c r="CZ23" i="18"/>
  <c r="CY23" i="18"/>
  <c r="B23" i="18"/>
  <c r="CZ22" i="18"/>
  <c r="CY22" i="18"/>
  <c r="B22" i="18"/>
  <c r="CZ21" i="18"/>
  <c r="CY21" i="18"/>
  <c r="B21" i="18"/>
  <c r="CZ19" i="18"/>
  <c r="CY19" i="18"/>
  <c r="B19" i="18"/>
  <c r="CZ18" i="18"/>
  <c r="CY18" i="18"/>
  <c r="B18" i="18"/>
  <c r="CZ17" i="18"/>
  <c r="CY17" i="18"/>
  <c r="B17" i="18"/>
  <c r="CZ16" i="18"/>
  <c r="CY16" i="18"/>
  <c r="B16" i="18"/>
  <c r="CZ15" i="18"/>
  <c r="CY15" i="18"/>
  <c r="B15" i="18"/>
  <c r="CZ14" i="18"/>
  <c r="CY14" i="18"/>
  <c r="B14" i="18"/>
  <c r="CZ13" i="18"/>
  <c r="CY13" i="18"/>
  <c r="B13" i="18"/>
  <c r="CZ12" i="18"/>
  <c r="CY12" i="18"/>
  <c r="B12" i="18"/>
  <c r="CZ11" i="18"/>
  <c r="CY11" i="18"/>
  <c r="B11" i="18"/>
  <c r="CZ9" i="18"/>
  <c r="CY9" i="18"/>
  <c r="B9" i="18"/>
  <c r="CZ8" i="18"/>
  <c r="CY8" i="18"/>
  <c r="B8" i="18"/>
  <c r="CZ7" i="18"/>
  <c r="CY7" i="18"/>
  <c r="B7" i="18"/>
  <c r="CZ6" i="18"/>
  <c r="CY6" i="18"/>
  <c r="B6" i="18"/>
  <c r="CZ5" i="18"/>
  <c r="CY5" i="18"/>
  <c r="B5" i="18"/>
  <c r="CZ4" i="18"/>
  <c r="CY4" i="18"/>
  <c r="B4" i="18"/>
  <c r="CZ3" i="18"/>
  <c r="CY3" i="18"/>
  <c r="B3" i="18"/>
  <c r="BT10" i="18" s="1"/>
  <c r="CZ118" i="17"/>
  <c r="CY118" i="17"/>
  <c r="B118" i="17"/>
  <c r="CZ117" i="17"/>
  <c r="CY117" i="17"/>
  <c r="B117" i="17"/>
  <c r="CZ116" i="17"/>
  <c r="CY116" i="17"/>
  <c r="B116" i="17"/>
  <c r="AY119" i="17" s="1"/>
  <c r="CZ114" i="17"/>
  <c r="CY114" i="17"/>
  <c r="B114" i="17"/>
  <c r="CZ113" i="17"/>
  <c r="CY113" i="17"/>
  <c r="B113" i="17"/>
  <c r="CZ112" i="17"/>
  <c r="CY112" i="17"/>
  <c r="B112" i="17"/>
  <c r="CZ111" i="17"/>
  <c r="CY111" i="17"/>
  <c r="B111" i="17"/>
  <c r="CZ109" i="17"/>
  <c r="CY109" i="17"/>
  <c r="B109" i="17"/>
  <c r="CZ108" i="17"/>
  <c r="CY108" i="17"/>
  <c r="B108" i="17"/>
  <c r="CZ107" i="17"/>
  <c r="CY107" i="17"/>
  <c r="B107" i="17"/>
  <c r="CZ106" i="17"/>
  <c r="CY106" i="17"/>
  <c r="B106" i="17"/>
  <c r="CZ105" i="17"/>
  <c r="CY105" i="17"/>
  <c r="B105" i="17"/>
  <c r="CZ104" i="17"/>
  <c r="CY104" i="17"/>
  <c r="B104" i="17"/>
  <c r="CZ103" i="17"/>
  <c r="CY103" i="17"/>
  <c r="B103" i="17"/>
  <c r="CZ102" i="17"/>
  <c r="CY102" i="17"/>
  <c r="B102" i="17"/>
  <c r="CZ101" i="17"/>
  <c r="CY101" i="17"/>
  <c r="B101" i="17"/>
  <c r="CZ100" i="17"/>
  <c r="CY100" i="17"/>
  <c r="B100" i="17"/>
  <c r="AU110" i="17" s="1"/>
  <c r="CZ98" i="17"/>
  <c r="CY98" i="17"/>
  <c r="B98" i="17"/>
  <c r="CZ97" i="17"/>
  <c r="CY97" i="17"/>
  <c r="B97" i="17"/>
  <c r="CZ96" i="17"/>
  <c r="CY96" i="17"/>
  <c r="B96" i="17"/>
  <c r="BX99" i="17" s="1"/>
  <c r="CZ94" i="17"/>
  <c r="CY94" i="17"/>
  <c r="B94" i="17"/>
  <c r="CZ93" i="17"/>
  <c r="CY93" i="17"/>
  <c r="B93" i="17"/>
  <c r="CZ91" i="17"/>
  <c r="CY91" i="17"/>
  <c r="B91" i="17"/>
  <c r="CZ90" i="17"/>
  <c r="CY90" i="17"/>
  <c r="B90" i="17"/>
  <c r="CZ89" i="17"/>
  <c r="CY89" i="17"/>
  <c r="B89" i="17"/>
  <c r="CZ87" i="17"/>
  <c r="CY87" i="17"/>
  <c r="B87" i="17"/>
  <c r="CZ86" i="17"/>
  <c r="CY86" i="17"/>
  <c r="B86" i="17"/>
  <c r="CZ85" i="17"/>
  <c r="CY85" i="17"/>
  <c r="B85" i="17"/>
  <c r="CZ84" i="17"/>
  <c r="CY84" i="17"/>
  <c r="B84" i="17"/>
  <c r="CZ83" i="17"/>
  <c r="CY83" i="17"/>
  <c r="B83" i="17"/>
  <c r="CZ82" i="17"/>
  <c r="CY82" i="17"/>
  <c r="B82" i="17"/>
  <c r="CZ80" i="17"/>
  <c r="CY80" i="17"/>
  <c r="B80" i="17"/>
  <c r="CZ78" i="17"/>
  <c r="CY78" i="17"/>
  <c r="B78" i="17"/>
  <c r="CZ77" i="17"/>
  <c r="CY77" i="17"/>
  <c r="B77" i="17"/>
  <c r="CZ76" i="17"/>
  <c r="CY76" i="17"/>
  <c r="B76" i="17"/>
  <c r="CZ75" i="17"/>
  <c r="CY75" i="17"/>
  <c r="B75" i="17"/>
  <c r="CZ74" i="17"/>
  <c r="CY74" i="17"/>
  <c r="B74" i="17"/>
  <c r="CZ73" i="17"/>
  <c r="CY73" i="17"/>
  <c r="B73" i="17"/>
  <c r="CZ72" i="17"/>
  <c r="CY72" i="17"/>
  <c r="B72" i="17"/>
  <c r="CZ70" i="17"/>
  <c r="CY70" i="17"/>
  <c r="B70" i="17"/>
  <c r="CZ69" i="17"/>
  <c r="CY69" i="17"/>
  <c r="B69" i="17"/>
  <c r="CZ68" i="17"/>
  <c r="CY68" i="17"/>
  <c r="B68" i="17"/>
  <c r="CZ67" i="17"/>
  <c r="CY67" i="17"/>
  <c r="B67" i="17"/>
  <c r="CZ66" i="17"/>
  <c r="CY66" i="17"/>
  <c r="B66" i="17"/>
  <c r="CZ65" i="17"/>
  <c r="CY65" i="17"/>
  <c r="B65" i="17"/>
  <c r="CZ64" i="17"/>
  <c r="CY64" i="17"/>
  <c r="B64" i="17"/>
  <c r="CZ63" i="17"/>
  <c r="CY63" i="17"/>
  <c r="B63" i="17"/>
  <c r="CZ62" i="17"/>
  <c r="CY62" i="17"/>
  <c r="B62" i="17"/>
  <c r="CZ61" i="17"/>
  <c r="CY61" i="17"/>
  <c r="B61" i="17"/>
  <c r="CZ60" i="17"/>
  <c r="CY60" i="17"/>
  <c r="B60" i="17"/>
  <c r="CZ58" i="17"/>
  <c r="CY58" i="17"/>
  <c r="B58" i="17"/>
  <c r="CZ57" i="17"/>
  <c r="CY57" i="17"/>
  <c r="B57" i="17"/>
  <c r="CZ56" i="17"/>
  <c r="CY56" i="17"/>
  <c r="B56" i="17"/>
  <c r="CZ55" i="17"/>
  <c r="CY55" i="17"/>
  <c r="B55" i="17"/>
  <c r="CZ54" i="17"/>
  <c r="CY54" i="17"/>
  <c r="B54" i="17"/>
  <c r="CZ52" i="17"/>
  <c r="CY52" i="17"/>
  <c r="B52" i="17"/>
  <c r="CZ51" i="17"/>
  <c r="CY51" i="17"/>
  <c r="B51" i="17"/>
  <c r="CZ50" i="17"/>
  <c r="CY50" i="17"/>
  <c r="B50" i="17"/>
  <c r="CZ48" i="17"/>
  <c r="CY48" i="17"/>
  <c r="B48" i="17"/>
  <c r="CZ46" i="17"/>
  <c r="CY46" i="17"/>
  <c r="B46" i="17"/>
  <c r="CZ45" i="17"/>
  <c r="CY45" i="17"/>
  <c r="B45" i="17"/>
  <c r="CZ44" i="17"/>
  <c r="CY44" i="17"/>
  <c r="B44" i="17"/>
  <c r="CZ43" i="17"/>
  <c r="CY43" i="17"/>
  <c r="B43" i="17"/>
  <c r="CZ42" i="17"/>
  <c r="CY42" i="17"/>
  <c r="B42" i="17"/>
  <c r="CZ41" i="17"/>
  <c r="CY41" i="17"/>
  <c r="B41" i="17"/>
  <c r="BV47" i="17" s="1"/>
  <c r="CZ39" i="17"/>
  <c r="CY39" i="17"/>
  <c r="B39" i="17"/>
  <c r="CZ38" i="17"/>
  <c r="CY38" i="17"/>
  <c r="B38" i="17"/>
  <c r="CZ36" i="17"/>
  <c r="CY36" i="17"/>
  <c r="B36" i="17"/>
  <c r="CZ35" i="17"/>
  <c r="CY35" i="17"/>
  <c r="B35" i="17"/>
  <c r="CS37" i="17" s="1"/>
  <c r="CZ33" i="17"/>
  <c r="CY33" i="17"/>
  <c r="B33" i="17"/>
  <c r="CZ32" i="17"/>
  <c r="CY32" i="17"/>
  <c r="B32" i="17"/>
  <c r="CZ31" i="17"/>
  <c r="CY31" i="17"/>
  <c r="B31" i="17"/>
  <c r="CZ30" i="17"/>
  <c r="CY30" i="17"/>
  <c r="B30" i="17"/>
  <c r="CZ29" i="17"/>
  <c r="CY29" i="17"/>
  <c r="B29" i="17"/>
  <c r="CZ28" i="17"/>
  <c r="CY28" i="17"/>
  <c r="B28" i="17"/>
  <c r="CZ26" i="17"/>
  <c r="CY26" i="17"/>
  <c r="B26" i="17"/>
  <c r="CZ25" i="17"/>
  <c r="CY25" i="17"/>
  <c r="B25" i="17"/>
  <c r="CY27" i="17" s="1"/>
  <c r="CZ23" i="17"/>
  <c r="CY23" i="17"/>
  <c r="B23" i="17"/>
  <c r="CZ22" i="17"/>
  <c r="CY22" i="17"/>
  <c r="B22" i="17"/>
  <c r="CZ21" i="17"/>
  <c r="CY21" i="17"/>
  <c r="B21" i="17"/>
  <c r="CM24" i="17" s="1"/>
  <c r="CZ19" i="17"/>
  <c r="CY19" i="17"/>
  <c r="B19" i="17"/>
  <c r="CZ18" i="17"/>
  <c r="CY18" i="17"/>
  <c r="B18" i="17"/>
  <c r="CZ17" i="17"/>
  <c r="CY17" i="17"/>
  <c r="B17" i="17"/>
  <c r="CZ16" i="17"/>
  <c r="CY16" i="17"/>
  <c r="B16" i="17"/>
  <c r="CZ15" i="17"/>
  <c r="CY15" i="17"/>
  <c r="B15" i="17"/>
  <c r="CZ14" i="17"/>
  <c r="CY14" i="17"/>
  <c r="B14" i="17"/>
  <c r="CZ13" i="17"/>
  <c r="CY13" i="17"/>
  <c r="B13" i="17"/>
  <c r="CZ12" i="17"/>
  <c r="CY12" i="17"/>
  <c r="B12" i="17"/>
  <c r="CZ11" i="17"/>
  <c r="CY11" i="17"/>
  <c r="B11" i="17"/>
  <c r="CZ9" i="17"/>
  <c r="CY9" i="17"/>
  <c r="B9" i="17"/>
  <c r="CZ8" i="17"/>
  <c r="CY8" i="17"/>
  <c r="B8" i="17"/>
  <c r="CZ7" i="17"/>
  <c r="CY7" i="17"/>
  <c r="B7" i="17"/>
  <c r="CZ6" i="17"/>
  <c r="CY6" i="17"/>
  <c r="B6" i="17"/>
  <c r="CZ5" i="17"/>
  <c r="CY5" i="17"/>
  <c r="B5" i="17"/>
  <c r="CZ4" i="17"/>
  <c r="CY4" i="17"/>
  <c r="B4" i="17"/>
  <c r="CZ3" i="17"/>
  <c r="CY3" i="17"/>
  <c r="B3" i="17"/>
  <c r="CU10" i="17" s="1"/>
  <c r="CZ118" i="16"/>
  <c r="CY118" i="16"/>
  <c r="B118" i="16"/>
  <c r="CZ117" i="16"/>
  <c r="CY117" i="16"/>
  <c r="B117" i="16"/>
  <c r="CZ116" i="16"/>
  <c r="CY116" i="16"/>
  <c r="B116" i="16"/>
  <c r="CZ114" i="16"/>
  <c r="CY114" i="16"/>
  <c r="B114" i="16"/>
  <c r="CZ113" i="16"/>
  <c r="CY113" i="16"/>
  <c r="B113" i="16"/>
  <c r="CZ112" i="16"/>
  <c r="CY112" i="16"/>
  <c r="B112" i="16"/>
  <c r="CZ111" i="16"/>
  <c r="CY111" i="16"/>
  <c r="B111" i="16"/>
  <c r="CO115" i="16" s="1"/>
  <c r="CZ109" i="16"/>
  <c r="CY109" i="16"/>
  <c r="B109" i="16"/>
  <c r="CZ108" i="16"/>
  <c r="CY108" i="16"/>
  <c r="B108" i="16"/>
  <c r="CZ107" i="16"/>
  <c r="CY107" i="16"/>
  <c r="B107" i="16"/>
  <c r="CZ106" i="16"/>
  <c r="CY106" i="16"/>
  <c r="B106" i="16"/>
  <c r="CZ105" i="16"/>
  <c r="CY105" i="16"/>
  <c r="B105" i="16"/>
  <c r="CZ104" i="16"/>
  <c r="CY104" i="16"/>
  <c r="B104" i="16"/>
  <c r="CZ103" i="16"/>
  <c r="CY103" i="16"/>
  <c r="B103" i="16"/>
  <c r="CZ102" i="16"/>
  <c r="CY102" i="16"/>
  <c r="B102" i="16"/>
  <c r="CZ101" i="16"/>
  <c r="CY101" i="16"/>
  <c r="B101" i="16"/>
  <c r="CZ100" i="16"/>
  <c r="CY100" i="16"/>
  <c r="B100" i="16"/>
  <c r="BL110" i="16" s="1"/>
  <c r="CZ98" i="16"/>
  <c r="CY98" i="16"/>
  <c r="B98" i="16"/>
  <c r="CZ97" i="16"/>
  <c r="CY97" i="16"/>
  <c r="B97" i="16"/>
  <c r="CZ96" i="16"/>
  <c r="CY96" i="16"/>
  <c r="B96" i="16"/>
  <c r="CB99" i="16" s="1"/>
  <c r="CZ94" i="16"/>
  <c r="CY94" i="16"/>
  <c r="B94" i="16"/>
  <c r="CZ93" i="16"/>
  <c r="CY93" i="16"/>
  <c r="B93" i="16"/>
  <c r="CZ91" i="16"/>
  <c r="CY91" i="16"/>
  <c r="B91" i="16"/>
  <c r="CZ90" i="16"/>
  <c r="CY90" i="16"/>
  <c r="B90" i="16"/>
  <c r="CZ89" i="16"/>
  <c r="CY89" i="16"/>
  <c r="B89" i="16"/>
  <c r="CZ87" i="16"/>
  <c r="CY87" i="16"/>
  <c r="B87" i="16"/>
  <c r="CZ86" i="16"/>
  <c r="CY86" i="16"/>
  <c r="B86" i="16"/>
  <c r="CZ85" i="16"/>
  <c r="CY85" i="16"/>
  <c r="B85" i="16"/>
  <c r="CZ84" i="16"/>
  <c r="CY84" i="16"/>
  <c r="B84" i="16"/>
  <c r="CZ83" i="16"/>
  <c r="CY83" i="16"/>
  <c r="B83" i="16"/>
  <c r="CZ82" i="16"/>
  <c r="CY82" i="16"/>
  <c r="B82" i="16"/>
  <c r="CZ80" i="16"/>
  <c r="CY80" i="16"/>
  <c r="B80" i="16"/>
  <c r="CZ78" i="16"/>
  <c r="CY78" i="16"/>
  <c r="B78" i="16"/>
  <c r="CZ77" i="16"/>
  <c r="CY77" i="16"/>
  <c r="B77" i="16"/>
  <c r="CZ76" i="16"/>
  <c r="CY76" i="16"/>
  <c r="B76" i="16"/>
  <c r="CZ75" i="16"/>
  <c r="CY75" i="16"/>
  <c r="B75" i="16"/>
  <c r="CZ74" i="16"/>
  <c r="CY74" i="16"/>
  <c r="B74" i="16"/>
  <c r="CZ73" i="16"/>
  <c r="CY73" i="16"/>
  <c r="B73" i="16"/>
  <c r="CZ72" i="16"/>
  <c r="CY72" i="16"/>
  <c r="B72" i="16"/>
  <c r="CZ70" i="16"/>
  <c r="CY70" i="16"/>
  <c r="B70" i="16"/>
  <c r="CZ69" i="16"/>
  <c r="CY69" i="16"/>
  <c r="B69" i="16"/>
  <c r="CZ68" i="16"/>
  <c r="CY68" i="16"/>
  <c r="B68" i="16"/>
  <c r="CZ67" i="16"/>
  <c r="CY67" i="16"/>
  <c r="B67" i="16"/>
  <c r="CZ66" i="16"/>
  <c r="CY66" i="16"/>
  <c r="B66" i="16"/>
  <c r="CZ65" i="16"/>
  <c r="CY65" i="16"/>
  <c r="B65" i="16"/>
  <c r="CZ64" i="16"/>
  <c r="CY64" i="16"/>
  <c r="B64" i="16"/>
  <c r="CZ63" i="16"/>
  <c r="CY63" i="16"/>
  <c r="B63" i="16"/>
  <c r="CZ62" i="16"/>
  <c r="CY62" i="16"/>
  <c r="B62" i="16"/>
  <c r="CZ61" i="16"/>
  <c r="CY61" i="16"/>
  <c r="B61" i="16"/>
  <c r="CZ60" i="16"/>
  <c r="CY60" i="16"/>
  <c r="B60" i="16"/>
  <c r="CZ58" i="16"/>
  <c r="CY58" i="16"/>
  <c r="B58" i="16"/>
  <c r="CZ57" i="16"/>
  <c r="CY57" i="16"/>
  <c r="B57" i="16"/>
  <c r="CZ56" i="16"/>
  <c r="CY56" i="16"/>
  <c r="B56" i="16"/>
  <c r="CZ55" i="16"/>
  <c r="CY55" i="16"/>
  <c r="B55" i="16"/>
  <c r="CZ54" i="16"/>
  <c r="CY54" i="16"/>
  <c r="B54" i="16"/>
  <c r="CZ52" i="16"/>
  <c r="CY52" i="16"/>
  <c r="B52" i="16"/>
  <c r="CZ51" i="16"/>
  <c r="CY51" i="16"/>
  <c r="B51" i="16"/>
  <c r="CZ50" i="16"/>
  <c r="CY50" i="16"/>
  <c r="B50" i="16"/>
  <c r="CY53" i="16" s="1"/>
  <c r="CZ48" i="16"/>
  <c r="CY48" i="16"/>
  <c r="B48" i="16"/>
  <c r="CZ46" i="16"/>
  <c r="CY46" i="16"/>
  <c r="B46" i="16"/>
  <c r="CZ45" i="16"/>
  <c r="CY45" i="16"/>
  <c r="B45" i="16"/>
  <c r="CZ44" i="16"/>
  <c r="CY44" i="16"/>
  <c r="B44" i="16"/>
  <c r="CZ43" i="16"/>
  <c r="CY43" i="16"/>
  <c r="B43" i="16"/>
  <c r="CZ42" i="16"/>
  <c r="CY42" i="16"/>
  <c r="B42" i="16"/>
  <c r="CZ41" i="16"/>
  <c r="CY41" i="16"/>
  <c r="B41" i="16"/>
  <c r="CW47" i="16" s="1"/>
  <c r="CZ39" i="16"/>
  <c r="CY39" i="16"/>
  <c r="B39" i="16"/>
  <c r="CZ38" i="16"/>
  <c r="CY38" i="16"/>
  <c r="B38" i="16"/>
  <c r="CZ37" i="16"/>
  <c r="CY37" i="16"/>
  <c r="CX37" i="16"/>
  <c r="CW37" i="16"/>
  <c r="CS37" i="16"/>
  <c r="CR37" i="16"/>
  <c r="CO37" i="16"/>
  <c r="CM37" i="16"/>
  <c r="CL37" i="16"/>
  <c r="CK37" i="16"/>
  <c r="CG37" i="16"/>
  <c r="CF37" i="16"/>
  <c r="CE37" i="16"/>
  <c r="CD37" i="16"/>
  <c r="CC37" i="16"/>
  <c r="BZ37" i="16"/>
  <c r="BU37" i="16"/>
  <c r="BT37" i="16"/>
  <c r="BS37" i="16"/>
  <c r="BR37" i="16"/>
  <c r="BQ37" i="16"/>
  <c r="BP37" i="16"/>
  <c r="BO37" i="16"/>
  <c r="BN37" i="16"/>
  <c r="BH37" i="16"/>
  <c r="BF37" i="16"/>
  <c r="BE37" i="16"/>
  <c r="BD37" i="16"/>
  <c r="BC37" i="16"/>
  <c r="BB37" i="16"/>
  <c r="BA37" i="16"/>
  <c r="AW37" i="16"/>
  <c r="AV37" i="16"/>
  <c r="AS37" i="16"/>
  <c r="AQ37" i="16"/>
  <c r="AP37" i="16"/>
  <c r="AO37" i="16"/>
  <c r="AK37" i="16"/>
  <c r="AJ37" i="16"/>
  <c r="AI37" i="16"/>
  <c r="AH37" i="16"/>
  <c r="AG37" i="16"/>
  <c r="AD37" i="16"/>
  <c r="Y37" i="16"/>
  <c r="X37" i="16"/>
  <c r="W37" i="16"/>
  <c r="V37" i="16"/>
  <c r="U37" i="16"/>
  <c r="CZ36" i="16"/>
  <c r="CY36" i="16"/>
  <c r="B36" i="16"/>
  <c r="CZ35" i="16"/>
  <c r="CY35" i="16"/>
  <c r="B35" i="16"/>
  <c r="CZ33" i="16"/>
  <c r="CY33" i="16"/>
  <c r="B33" i="16"/>
  <c r="CZ32" i="16"/>
  <c r="CY32" i="16"/>
  <c r="B32" i="16"/>
  <c r="CZ31" i="16"/>
  <c r="CY31" i="16"/>
  <c r="B31" i="16"/>
  <c r="CZ30" i="16"/>
  <c r="CY30" i="16"/>
  <c r="B30" i="16"/>
  <c r="CZ29" i="16"/>
  <c r="CY29" i="16"/>
  <c r="B29" i="16"/>
  <c r="CZ28" i="16"/>
  <c r="CY28" i="16"/>
  <c r="B28" i="16"/>
  <c r="CZ26" i="16"/>
  <c r="CY26" i="16"/>
  <c r="B26" i="16"/>
  <c r="CZ25" i="16"/>
  <c r="CY25" i="16"/>
  <c r="B25" i="16"/>
  <c r="CZ23" i="16"/>
  <c r="CY23" i="16"/>
  <c r="B23" i="16"/>
  <c r="CZ22" i="16"/>
  <c r="CY22" i="16"/>
  <c r="B22" i="16"/>
  <c r="CZ21" i="16"/>
  <c r="CY21" i="16"/>
  <c r="B21" i="16"/>
  <c r="CY24" i="16" s="1"/>
  <c r="CZ19" i="16"/>
  <c r="CY19" i="16"/>
  <c r="B19" i="16"/>
  <c r="CZ18" i="16"/>
  <c r="CY18" i="16"/>
  <c r="B18" i="16"/>
  <c r="CZ17" i="16"/>
  <c r="CY17" i="16"/>
  <c r="B17" i="16"/>
  <c r="CZ16" i="16"/>
  <c r="CY16" i="16"/>
  <c r="B16" i="16"/>
  <c r="CZ15" i="16"/>
  <c r="CY15" i="16"/>
  <c r="B15" i="16"/>
  <c r="CZ14" i="16"/>
  <c r="CY14" i="16"/>
  <c r="B14" i="16"/>
  <c r="CZ13" i="16"/>
  <c r="CY13" i="16"/>
  <c r="B13" i="16"/>
  <c r="CZ12" i="16"/>
  <c r="CY12" i="16"/>
  <c r="B12" i="16"/>
  <c r="CZ11" i="16"/>
  <c r="CY11" i="16"/>
  <c r="B11" i="16"/>
  <c r="CN20" i="16" s="1"/>
  <c r="CZ9" i="16"/>
  <c r="CY9" i="16"/>
  <c r="B9" i="16"/>
  <c r="CZ8" i="16"/>
  <c r="CY8" i="16"/>
  <c r="B8" i="16"/>
  <c r="CZ7" i="16"/>
  <c r="CY7" i="16"/>
  <c r="B7" i="16"/>
  <c r="CZ6" i="16"/>
  <c r="CY6" i="16"/>
  <c r="B6" i="16"/>
  <c r="CZ5" i="16"/>
  <c r="CY5" i="16"/>
  <c r="B5" i="16"/>
  <c r="CZ4" i="16"/>
  <c r="CY4" i="16"/>
  <c r="B4" i="16"/>
  <c r="CZ3" i="16"/>
  <c r="CY3" i="16"/>
  <c r="B3" i="16"/>
  <c r="CM10" i="16" s="1"/>
  <c r="CZ118" i="15"/>
  <c r="CY118" i="15"/>
  <c r="B118" i="15"/>
  <c r="CZ117" i="15"/>
  <c r="CY117" i="15"/>
  <c r="B117" i="15"/>
  <c r="CZ116" i="15"/>
  <c r="CY116" i="15"/>
  <c r="B116" i="15"/>
  <c r="CO119" i="15" s="1"/>
  <c r="CZ114" i="15"/>
  <c r="CY114" i="15"/>
  <c r="B114" i="15"/>
  <c r="CZ113" i="15"/>
  <c r="CY113" i="15"/>
  <c r="B113" i="15"/>
  <c r="CZ112" i="15"/>
  <c r="CY112" i="15"/>
  <c r="B112" i="15"/>
  <c r="CZ111" i="15"/>
  <c r="CY111" i="15"/>
  <c r="B111" i="15"/>
  <c r="CZ109" i="15"/>
  <c r="CY109" i="15"/>
  <c r="B109" i="15"/>
  <c r="CZ108" i="15"/>
  <c r="CY108" i="15"/>
  <c r="B108" i="15"/>
  <c r="CZ107" i="15"/>
  <c r="CY107" i="15"/>
  <c r="B107" i="15"/>
  <c r="CZ106" i="15"/>
  <c r="CY106" i="15"/>
  <c r="B106" i="15"/>
  <c r="CZ105" i="15"/>
  <c r="CY105" i="15"/>
  <c r="B105" i="15"/>
  <c r="CZ104" i="15"/>
  <c r="CY104" i="15"/>
  <c r="B104" i="15"/>
  <c r="CZ103" i="15"/>
  <c r="CY103" i="15"/>
  <c r="B103" i="15"/>
  <c r="CZ102" i="15"/>
  <c r="CY102" i="15"/>
  <c r="B102" i="15"/>
  <c r="CZ101" i="15"/>
  <c r="CY101" i="15"/>
  <c r="B101" i="15"/>
  <c r="CZ100" i="15"/>
  <c r="CY100" i="15"/>
  <c r="B100" i="15"/>
  <c r="CZ98" i="15"/>
  <c r="CY98" i="15"/>
  <c r="B98" i="15"/>
  <c r="CZ97" i="15"/>
  <c r="CY97" i="15"/>
  <c r="B97" i="15"/>
  <c r="CZ96" i="15"/>
  <c r="CY96" i="15"/>
  <c r="B96" i="15"/>
  <c r="CZ94" i="15"/>
  <c r="CY94" i="15"/>
  <c r="B94" i="15"/>
  <c r="CZ93" i="15"/>
  <c r="CY93" i="15"/>
  <c r="B93" i="15"/>
  <c r="CV95" i="15" s="1"/>
  <c r="CZ91" i="15"/>
  <c r="CY91" i="15"/>
  <c r="B91" i="15"/>
  <c r="CZ90" i="15"/>
  <c r="CY90" i="15"/>
  <c r="B90" i="15"/>
  <c r="CZ89" i="15"/>
  <c r="CY89" i="15"/>
  <c r="B89" i="15"/>
  <c r="CZ87" i="15"/>
  <c r="CY87" i="15"/>
  <c r="B87" i="15"/>
  <c r="CZ86" i="15"/>
  <c r="CY86" i="15"/>
  <c r="B86" i="15"/>
  <c r="CZ85" i="15"/>
  <c r="CY85" i="15"/>
  <c r="B85" i="15"/>
  <c r="CZ84" i="15"/>
  <c r="CY84" i="15"/>
  <c r="B84" i="15"/>
  <c r="CZ83" i="15"/>
  <c r="CY83" i="15"/>
  <c r="B83" i="15"/>
  <c r="CZ82" i="15"/>
  <c r="CY82" i="15"/>
  <c r="B82" i="15"/>
  <c r="CP88" i="15" s="1"/>
  <c r="CZ80" i="15"/>
  <c r="CY80" i="15"/>
  <c r="B80" i="15"/>
  <c r="CZ78" i="15"/>
  <c r="CY78" i="15"/>
  <c r="B78" i="15"/>
  <c r="CZ77" i="15"/>
  <c r="CY77" i="15"/>
  <c r="B77" i="15"/>
  <c r="CZ76" i="15"/>
  <c r="CY76" i="15"/>
  <c r="B76" i="15"/>
  <c r="CZ75" i="15"/>
  <c r="CY75" i="15"/>
  <c r="B75" i="15"/>
  <c r="CZ74" i="15"/>
  <c r="CY74" i="15"/>
  <c r="B74" i="15"/>
  <c r="CZ73" i="15"/>
  <c r="CY73" i="15"/>
  <c r="B73" i="15"/>
  <c r="CZ72" i="15"/>
  <c r="CY72" i="15"/>
  <c r="B72" i="15"/>
  <c r="CZ70" i="15"/>
  <c r="CY70" i="15"/>
  <c r="B70" i="15"/>
  <c r="CZ69" i="15"/>
  <c r="CY69" i="15"/>
  <c r="B69" i="15"/>
  <c r="CZ68" i="15"/>
  <c r="CY68" i="15"/>
  <c r="B68" i="15"/>
  <c r="CZ67" i="15"/>
  <c r="CY67" i="15"/>
  <c r="B67" i="15"/>
  <c r="CZ66" i="15"/>
  <c r="CY66" i="15"/>
  <c r="B66" i="15"/>
  <c r="CZ65" i="15"/>
  <c r="CY65" i="15"/>
  <c r="B65" i="15"/>
  <c r="CZ64" i="15"/>
  <c r="CY64" i="15"/>
  <c r="B64" i="15"/>
  <c r="CZ63" i="15"/>
  <c r="CY63" i="15"/>
  <c r="B63" i="15"/>
  <c r="CZ62" i="15"/>
  <c r="CY62" i="15"/>
  <c r="B62" i="15"/>
  <c r="CZ61" i="15"/>
  <c r="CY61" i="15"/>
  <c r="B61" i="15"/>
  <c r="CZ60" i="15"/>
  <c r="CY60" i="15"/>
  <c r="B60" i="15"/>
  <c r="CZ58" i="15"/>
  <c r="CY58" i="15"/>
  <c r="B58" i="15"/>
  <c r="CZ57" i="15"/>
  <c r="CY57" i="15"/>
  <c r="B57" i="15"/>
  <c r="CZ56" i="15"/>
  <c r="CY56" i="15"/>
  <c r="B56" i="15"/>
  <c r="CZ55" i="15"/>
  <c r="CY55" i="15"/>
  <c r="B55" i="15"/>
  <c r="CZ54" i="15"/>
  <c r="CY54" i="15"/>
  <c r="B54" i="15"/>
  <c r="CY59" i="15" s="1"/>
  <c r="CZ52" i="15"/>
  <c r="CY52" i="15"/>
  <c r="B52" i="15"/>
  <c r="CZ51" i="15"/>
  <c r="CY51" i="15"/>
  <c r="B51" i="15"/>
  <c r="CZ50" i="15"/>
  <c r="CY50" i="15"/>
  <c r="B50" i="15"/>
  <c r="CX53" i="15" s="1"/>
  <c r="CZ48" i="15"/>
  <c r="CY48" i="15"/>
  <c r="B48" i="15"/>
  <c r="AM49" i="15" s="1"/>
  <c r="CZ46" i="15"/>
  <c r="CY46" i="15"/>
  <c r="B46" i="15"/>
  <c r="CZ45" i="15"/>
  <c r="CY45" i="15"/>
  <c r="B45" i="15"/>
  <c r="CZ44" i="15"/>
  <c r="CY44" i="15"/>
  <c r="B44" i="15"/>
  <c r="CZ43" i="15"/>
  <c r="CY43" i="15"/>
  <c r="B43" i="15"/>
  <c r="CZ42" i="15"/>
  <c r="CY42" i="15"/>
  <c r="B42" i="15"/>
  <c r="CZ41" i="15"/>
  <c r="CY41" i="15"/>
  <c r="B41" i="15"/>
  <c r="CZ39" i="15"/>
  <c r="CY39" i="15"/>
  <c r="B39" i="15"/>
  <c r="CZ38" i="15"/>
  <c r="CY38" i="15"/>
  <c r="B38" i="15"/>
  <c r="CQ40" i="15" s="1"/>
  <c r="CZ36" i="15"/>
  <c r="CY36" i="15"/>
  <c r="B36" i="15"/>
  <c r="CZ35" i="15"/>
  <c r="CY35" i="15"/>
  <c r="B35" i="15"/>
  <c r="CE37" i="15" s="1"/>
  <c r="CZ33" i="15"/>
  <c r="CY33" i="15"/>
  <c r="B33" i="15"/>
  <c r="CZ32" i="15"/>
  <c r="CY32" i="15"/>
  <c r="B32" i="15"/>
  <c r="CZ31" i="15"/>
  <c r="CY31" i="15"/>
  <c r="B31" i="15"/>
  <c r="CZ30" i="15"/>
  <c r="CY30" i="15"/>
  <c r="B30" i="15"/>
  <c r="CZ29" i="15"/>
  <c r="CY29" i="15"/>
  <c r="B29" i="15"/>
  <c r="CZ28" i="15"/>
  <c r="CY28" i="15"/>
  <c r="B28" i="15"/>
  <c r="CZ26" i="15"/>
  <c r="CY26" i="15"/>
  <c r="B26" i="15"/>
  <c r="CZ25" i="15"/>
  <c r="CY25" i="15"/>
  <c r="B25" i="15"/>
  <c r="BX27" i="15" s="1"/>
  <c r="CZ23" i="15"/>
  <c r="CY23" i="15"/>
  <c r="B23" i="15"/>
  <c r="CZ22" i="15"/>
  <c r="CY22" i="15"/>
  <c r="B22" i="15"/>
  <c r="CZ21" i="15"/>
  <c r="CY21" i="15"/>
  <c r="B21" i="15"/>
  <c r="CZ19" i="15"/>
  <c r="CY19" i="15"/>
  <c r="B19" i="15"/>
  <c r="CZ18" i="15"/>
  <c r="CY18" i="15"/>
  <c r="B18" i="15"/>
  <c r="CZ17" i="15"/>
  <c r="CY17" i="15"/>
  <c r="B17" i="15"/>
  <c r="CZ16" i="15"/>
  <c r="CY16" i="15"/>
  <c r="B16" i="15"/>
  <c r="CZ15" i="15"/>
  <c r="CY15" i="15"/>
  <c r="B15" i="15"/>
  <c r="CZ14" i="15"/>
  <c r="CY14" i="15"/>
  <c r="B14" i="15"/>
  <c r="CZ13" i="15"/>
  <c r="CY13" i="15"/>
  <c r="B13" i="15"/>
  <c r="CZ12" i="15"/>
  <c r="CY12" i="15"/>
  <c r="B12" i="15"/>
  <c r="CZ11" i="15"/>
  <c r="CY11" i="15"/>
  <c r="B11" i="15"/>
  <c r="CQ20" i="15" s="1"/>
  <c r="CZ9" i="15"/>
  <c r="CY9" i="15"/>
  <c r="B9" i="15"/>
  <c r="CZ8" i="15"/>
  <c r="CY8" i="15"/>
  <c r="B8" i="15"/>
  <c r="CZ7" i="15"/>
  <c r="CY7" i="15"/>
  <c r="B7" i="15"/>
  <c r="CZ6" i="15"/>
  <c r="CY6" i="15"/>
  <c r="B6" i="15"/>
  <c r="CZ5" i="15"/>
  <c r="CY5" i="15"/>
  <c r="B5" i="15"/>
  <c r="CZ4" i="15"/>
  <c r="CY4" i="15"/>
  <c r="B4" i="15"/>
  <c r="CZ3" i="15"/>
  <c r="CY3" i="15"/>
  <c r="B3" i="15"/>
  <c r="CT10" i="15" s="1"/>
  <c r="CZ118" i="14"/>
  <c r="CY118" i="14"/>
  <c r="B118" i="14"/>
  <c r="CZ117" i="14"/>
  <c r="CY117" i="14"/>
  <c r="B117" i="14"/>
  <c r="CZ116" i="14"/>
  <c r="CY116" i="14"/>
  <c r="B116" i="14"/>
  <c r="CZ114" i="14"/>
  <c r="CY114" i="14"/>
  <c r="B114" i="14"/>
  <c r="CZ113" i="14"/>
  <c r="CY113" i="14"/>
  <c r="B113" i="14"/>
  <c r="CZ112" i="14"/>
  <c r="CY112" i="14"/>
  <c r="B112" i="14"/>
  <c r="CZ111" i="14"/>
  <c r="CY111" i="14"/>
  <c r="B111" i="14"/>
  <c r="CZ109" i="14"/>
  <c r="CY109" i="14"/>
  <c r="B109" i="14"/>
  <c r="CZ108" i="14"/>
  <c r="CY108" i="14"/>
  <c r="B108" i="14"/>
  <c r="CZ107" i="14"/>
  <c r="CY107" i="14"/>
  <c r="B107" i="14"/>
  <c r="CZ106" i="14"/>
  <c r="CY106" i="14"/>
  <c r="B106" i="14"/>
  <c r="CZ105" i="14"/>
  <c r="CY105" i="14"/>
  <c r="B105" i="14"/>
  <c r="CZ104" i="14"/>
  <c r="CY104" i="14"/>
  <c r="B104" i="14"/>
  <c r="CZ103" i="14"/>
  <c r="CY103" i="14"/>
  <c r="B103" i="14"/>
  <c r="CZ102" i="14"/>
  <c r="CY102" i="14"/>
  <c r="B102" i="14"/>
  <c r="CZ101" i="14"/>
  <c r="CY101" i="14"/>
  <c r="B101" i="14"/>
  <c r="CZ100" i="14"/>
  <c r="CY100" i="14"/>
  <c r="B100" i="14"/>
  <c r="CZ98" i="14"/>
  <c r="CY98" i="14"/>
  <c r="B98" i="14"/>
  <c r="CZ97" i="14"/>
  <c r="CY97" i="14"/>
  <c r="B97" i="14"/>
  <c r="CZ96" i="14"/>
  <c r="CY96" i="14"/>
  <c r="B96" i="14"/>
  <c r="BH99" i="14" s="1"/>
  <c r="CZ94" i="14"/>
  <c r="CY94" i="14"/>
  <c r="B94" i="14"/>
  <c r="CZ93" i="14"/>
  <c r="CY93" i="14"/>
  <c r="B93" i="14"/>
  <c r="CZ91" i="14"/>
  <c r="CY91" i="14"/>
  <c r="B91" i="14"/>
  <c r="CZ90" i="14"/>
  <c r="CY90" i="14"/>
  <c r="B90" i="14"/>
  <c r="CZ89" i="14"/>
  <c r="CY89" i="14"/>
  <c r="B89" i="14"/>
  <c r="CZ87" i="14"/>
  <c r="CY87" i="14"/>
  <c r="B87" i="14"/>
  <c r="CZ86" i="14"/>
  <c r="CY86" i="14"/>
  <c r="B86" i="14"/>
  <c r="CZ85" i="14"/>
  <c r="CY85" i="14"/>
  <c r="B85" i="14"/>
  <c r="CZ84" i="14"/>
  <c r="CY84" i="14"/>
  <c r="B84" i="14"/>
  <c r="CZ83" i="14"/>
  <c r="CY83" i="14"/>
  <c r="B83" i="14"/>
  <c r="CZ82" i="14"/>
  <c r="CY82" i="14"/>
  <c r="B82" i="14"/>
  <c r="CZ80" i="14"/>
  <c r="CY80" i="14"/>
  <c r="B80" i="14"/>
  <c r="CH81" i="14" s="1"/>
  <c r="CZ78" i="14"/>
  <c r="CY78" i="14"/>
  <c r="B78" i="14"/>
  <c r="CZ77" i="14"/>
  <c r="CY77" i="14"/>
  <c r="B77" i="14"/>
  <c r="CZ76" i="14"/>
  <c r="CY76" i="14"/>
  <c r="B76" i="14"/>
  <c r="CZ75" i="14"/>
  <c r="CY75" i="14"/>
  <c r="B75" i="14"/>
  <c r="CZ74" i="14"/>
  <c r="CY74" i="14"/>
  <c r="B74" i="14"/>
  <c r="CZ73" i="14"/>
  <c r="CY73" i="14"/>
  <c r="B73" i="14"/>
  <c r="CZ72" i="14"/>
  <c r="CY72" i="14"/>
  <c r="B72" i="14"/>
  <c r="CZ70" i="14"/>
  <c r="CY70" i="14"/>
  <c r="B70" i="14"/>
  <c r="CZ69" i="14"/>
  <c r="CY69" i="14"/>
  <c r="B69" i="14"/>
  <c r="CZ68" i="14"/>
  <c r="CY68" i="14"/>
  <c r="B68" i="14"/>
  <c r="CZ67" i="14"/>
  <c r="CY67" i="14"/>
  <c r="B67" i="14"/>
  <c r="CZ66" i="14"/>
  <c r="CY66" i="14"/>
  <c r="B66" i="14"/>
  <c r="CZ65" i="14"/>
  <c r="CY65" i="14"/>
  <c r="B65" i="14"/>
  <c r="CZ64" i="14"/>
  <c r="CY64" i="14"/>
  <c r="B64" i="14"/>
  <c r="CZ63" i="14"/>
  <c r="CY63" i="14"/>
  <c r="B63" i="14"/>
  <c r="CZ62" i="14"/>
  <c r="CY62" i="14"/>
  <c r="B62" i="14"/>
  <c r="CZ61" i="14"/>
  <c r="CY61" i="14"/>
  <c r="B61" i="14"/>
  <c r="CZ60" i="14"/>
  <c r="CY60" i="14"/>
  <c r="B60" i="14"/>
  <c r="CZ58" i="14"/>
  <c r="CY58" i="14"/>
  <c r="B58" i="14"/>
  <c r="CZ57" i="14"/>
  <c r="CY57" i="14"/>
  <c r="B57" i="14"/>
  <c r="CZ56" i="14"/>
  <c r="CY56" i="14"/>
  <c r="B56" i="14"/>
  <c r="CZ55" i="14"/>
  <c r="CY55" i="14"/>
  <c r="B55" i="14"/>
  <c r="CZ54" i="14"/>
  <c r="CY54" i="14"/>
  <c r="B54" i="14"/>
  <c r="CZ52" i="14"/>
  <c r="CY52" i="14"/>
  <c r="B52" i="14"/>
  <c r="CZ51" i="14"/>
  <c r="CY51" i="14"/>
  <c r="B51" i="14"/>
  <c r="CZ50" i="14"/>
  <c r="CY50" i="14"/>
  <c r="B50" i="14"/>
  <c r="CP53" i="14" s="1"/>
  <c r="CZ48" i="14"/>
  <c r="CY48" i="14"/>
  <c r="B48" i="14"/>
  <c r="CE49" i="14" s="1"/>
  <c r="CZ46" i="14"/>
  <c r="CY46" i="14"/>
  <c r="B46" i="14"/>
  <c r="CZ45" i="14"/>
  <c r="CY45" i="14"/>
  <c r="B45" i="14"/>
  <c r="CZ44" i="14"/>
  <c r="CY44" i="14"/>
  <c r="B44" i="14"/>
  <c r="CZ43" i="14"/>
  <c r="CY43" i="14"/>
  <c r="B43" i="14"/>
  <c r="CZ42" i="14"/>
  <c r="CY42" i="14"/>
  <c r="B42" i="14"/>
  <c r="CZ41" i="14"/>
  <c r="CY41" i="14"/>
  <c r="B41" i="14"/>
  <c r="CZ39" i="14"/>
  <c r="CY39" i="14"/>
  <c r="B39" i="14"/>
  <c r="CZ38" i="14"/>
  <c r="CY38" i="14"/>
  <c r="B38" i="14"/>
  <c r="CZ36" i="14"/>
  <c r="CY36" i="14"/>
  <c r="B36" i="14"/>
  <c r="CZ35" i="14"/>
  <c r="CY35" i="14"/>
  <c r="B35" i="14"/>
  <c r="CZ33" i="14"/>
  <c r="CY33" i="14"/>
  <c r="B33" i="14"/>
  <c r="CZ32" i="14"/>
  <c r="CY32" i="14"/>
  <c r="B32" i="14"/>
  <c r="CZ31" i="14"/>
  <c r="CY31" i="14"/>
  <c r="B31" i="14"/>
  <c r="CZ30" i="14"/>
  <c r="CY30" i="14"/>
  <c r="B30" i="14"/>
  <c r="CZ29" i="14"/>
  <c r="CY29" i="14"/>
  <c r="B29" i="14"/>
  <c r="CZ28" i="14"/>
  <c r="CY28" i="14"/>
  <c r="B28" i="14"/>
  <c r="CQ34" i="14" s="1"/>
  <c r="CZ26" i="14"/>
  <c r="CY26" i="14"/>
  <c r="B26" i="14"/>
  <c r="CZ25" i="14"/>
  <c r="CY25" i="14"/>
  <c r="B25" i="14"/>
  <c r="CK27" i="14" s="1"/>
  <c r="CZ23" i="14"/>
  <c r="CY23" i="14"/>
  <c r="B23" i="14"/>
  <c r="CZ22" i="14"/>
  <c r="CY22" i="14"/>
  <c r="B22" i="14"/>
  <c r="CZ21" i="14"/>
  <c r="CY21" i="14"/>
  <c r="B21" i="14"/>
  <c r="CN24" i="14" s="1"/>
  <c r="CZ19" i="14"/>
  <c r="CY19" i="14"/>
  <c r="B19" i="14"/>
  <c r="CZ18" i="14"/>
  <c r="CY18" i="14"/>
  <c r="B18" i="14"/>
  <c r="CZ17" i="14"/>
  <c r="CY17" i="14"/>
  <c r="B17" i="14"/>
  <c r="CZ16" i="14"/>
  <c r="CY16" i="14"/>
  <c r="B16" i="14"/>
  <c r="CZ15" i="14"/>
  <c r="CY15" i="14"/>
  <c r="B15" i="14"/>
  <c r="CZ14" i="14"/>
  <c r="CY14" i="14"/>
  <c r="B14" i="14"/>
  <c r="CZ13" i="14"/>
  <c r="CY13" i="14"/>
  <c r="B13" i="14"/>
  <c r="CZ12" i="14"/>
  <c r="CY12" i="14"/>
  <c r="B12" i="14"/>
  <c r="CZ11" i="14"/>
  <c r="CY11" i="14"/>
  <c r="B11" i="14"/>
  <c r="CZ9" i="14"/>
  <c r="CY9" i="14"/>
  <c r="B9" i="14"/>
  <c r="CZ8" i="14"/>
  <c r="CY8" i="14"/>
  <c r="B8" i="14"/>
  <c r="CZ7" i="14"/>
  <c r="CY7" i="14"/>
  <c r="B7" i="14"/>
  <c r="CZ6" i="14"/>
  <c r="CY6" i="14"/>
  <c r="B6" i="14"/>
  <c r="CZ5" i="14"/>
  <c r="CY5" i="14"/>
  <c r="B5" i="14"/>
  <c r="CZ4" i="14"/>
  <c r="CY4" i="14"/>
  <c r="B4" i="14"/>
  <c r="CZ3" i="14"/>
  <c r="CY3" i="14"/>
  <c r="B3" i="14"/>
  <c r="CZ118" i="13"/>
  <c r="CY118" i="13"/>
  <c r="B118" i="13"/>
  <c r="CZ117" i="13"/>
  <c r="CY117" i="13"/>
  <c r="B117" i="13"/>
  <c r="CZ116" i="13"/>
  <c r="CY116" i="13"/>
  <c r="B116" i="13"/>
  <c r="CZ114" i="13"/>
  <c r="CY114" i="13"/>
  <c r="B114" i="13"/>
  <c r="CZ113" i="13"/>
  <c r="CY113" i="13"/>
  <c r="B113" i="13"/>
  <c r="CZ112" i="13"/>
  <c r="CY112" i="13"/>
  <c r="B112" i="13"/>
  <c r="CZ111" i="13"/>
  <c r="CY111" i="13"/>
  <c r="B111" i="13"/>
  <c r="CZ109" i="13"/>
  <c r="CY109" i="13"/>
  <c r="B109" i="13"/>
  <c r="CZ108" i="13"/>
  <c r="CY108" i="13"/>
  <c r="B108" i="13"/>
  <c r="CZ107" i="13"/>
  <c r="CY107" i="13"/>
  <c r="B107" i="13"/>
  <c r="CZ106" i="13"/>
  <c r="CY106" i="13"/>
  <c r="B106" i="13"/>
  <c r="CZ105" i="13"/>
  <c r="CY105" i="13"/>
  <c r="B105" i="13"/>
  <c r="CZ104" i="13"/>
  <c r="CY104" i="13"/>
  <c r="B104" i="13"/>
  <c r="CZ103" i="13"/>
  <c r="CY103" i="13"/>
  <c r="B103" i="13"/>
  <c r="CZ102" i="13"/>
  <c r="CY102" i="13"/>
  <c r="B102" i="13"/>
  <c r="CZ101" i="13"/>
  <c r="CY101" i="13"/>
  <c r="B101" i="13"/>
  <c r="CZ100" i="13"/>
  <c r="CY100" i="13"/>
  <c r="B100" i="13"/>
  <c r="CZ98" i="13"/>
  <c r="CY98" i="13"/>
  <c r="B98" i="13"/>
  <c r="CZ97" i="13"/>
  <c r="CY97" i="13"/>
  <c r="B97" i="13"/>
  <c r="CZ96" i="13"/>
  <c r="CY96" i="13"/>
  <c r="B96" i="13"/>
  <c r="AM99" i="13" s="1"/>
  <c r="CZ94" i="13"/>
  <c r="CY94" i="13"/>
  <c r="B94" i="13"/>
  <c r="CZ93" i="13"/>
  <c r="CY93" i="13"/>
  <c r="B93" i="13"/>
  <c r="CZ91" i="13"/>
  <c r="CY91" i="13"/>
  <c r="B91" i="13"/>
  <c r="CZ90" i="13"/>
  <c r="CY90" i="13"/>
  <c r="B90" i="13"/>
  <c r="CZ89" i="13"/>
  <c r="CY89" i="13"/>
  <c r="B89" i="13"/>
  <c r="CZ87" i="13"/>
  <c r="CY87" i="13"/>
  <c r="B87" i="13"/>
  <c r="CZ86" i="13"/>
  <c r="CY86" i="13"/>
  <c r="B86" i="13"/>
  <c r="CZ85" i="13"/>
  <c r="CY85" i="13"/>
  <c r="B85" i="13"/>
  <c r="CZ84" i="13"/>
  <c r="CY84" i="13"/>
  <c r="B84" i="13"/>
  <c r="CZ83" i="13"/>
  <c r="CY83" i="13"/>
  <c r="B83" i="13"/>
  <c r="CZ82" i="13"/>
  <c r="CY82" i="13"/>
  <c r="B82" i="13"/>
  <c r="CZ80" i="13"/>
  <c r="CY80" i="13"/>
  <c r="B80" i="13"/>
  <c r="CZ78" i="13"/>
  <c r="CY78" i="13"/>
  <c r="B78" i="13"/>
  <c r="CZ77" i="13"/>
  <c r="CY77" i="13"/>
  <c r="B77" i="13"/>
  <c r="CZ76" i="13"/>
  <c r="CY76" i="13"/>
  <c r="B76" i="13"/>
  <c r="CZ75" i="13"/>
  <c r="CY75" i="13"/>
  <c r="B75" i="13"/>
  <c r="CZ74" i="13"/>
  <c r="CY74" i="13"/>
  <c r="B74" i="13"/>
  <c r="CZ73" i="13"/>
  <c r="CY73" i="13"/>
  <c r="B73" i="13"/>
  <c r="CZ72" i="13"/>
  <c r="CY72" i="13"/>
  <c r="B72" i="13"/>
  <c r="CZ70" i="13"/>
  <c r="CY70" i="13"/>
  <c r="B70" i="13"/>
  <c r="CZ69" i="13"/>
  <c r="CY69" i="13"/>
  <c r="B69" i="13"/>
  <c r="CZ68" i="13"/>
  <c r="CY68" i="13"/>
  <c r="B68" i="13"/>
  <c r="CZ67" i="13"/>
  <c r="CY67" i="13"/>
  <c r="B67" i="13"/>
  <c r="CZ66" i="13"/>
  <c r="CY66" i="13"/>
  <c r="B66" i="13"/>
  <c r="CZ65" i="13"/>
  <c r="CY65" i="13"/>
  <c r="B65" i="13"/>
  <c r="CZ64" i="13"/>
  <c r="CY64" i="13"/>
  <c r="B64" i="13"/>
  <c r="CZ63" i="13"/>
  <c r="CY63" i="13"/>
  <c r="B63" i="13"/>
  <c r="CZ62" i="13"/>
  <c r="CY62" i="13"/>
  <c r="B62" i="13"/>
  <c r="CZ61" i="13"/>
  <c r="CY61" i="13"/>
  <c r="B61" i="13"/>
  <c r="CZ60" i="13"/>
  <c r="CY60" i="13"/>
  <c r="B60" i="13"/>
  <c r="CK71" i="13" s="1"/>
  <c r="CZ58" i="13"/>
  <c r="CY58" i="13"/>
  <c r="B58" i="13"/>
  <c r="CZ57" i="13"/>
  <c r="CY57" i="13"/>
  <c r="B57" i="13"/>
  <c r="CZ56" i="13"/>
  <c r="CY56" i="13"/>
  <c r="B56" i="13"/>
  <c r="CZ55" i="13"/>
  <c r="CY55" i="13"/>
  <c r="B55" i="13"/>
  <c r="CZ54" i="13"/>
  <c r="CY54" i="13"/>
  <c r="B54" i="13"/>
  <c r="AT59" i="13" s="1"/>
  <c r="CZ52" i="13"/>
  <c r="CY52" i="13"/>
  <c r="B52" i="13"/>
  <c r="CZ51" i="13"/>
  <c r="CY51" i="13"/>
  <c r="B51" i="13"/>
  <c r="CZ50" i="13"/>
  <c r="CY50" i="13"/>
  <c r="B50" i="13"/>
  <c r="BY53" i="13" s="1"/>
  <c r="CZ48" i="13"/>
  <c r="CY48" i="13"/>
  <c r="B48" i="13"/>
  <c r="CZ46" i="13"/>
  <c r="CY46" i="13"/>
  <c r="B46" i="13"/>
  <c r="CZ45" i="13"/>
  <c r="CY45" i="13"/>
  <c r="B45" i="13"/>
  <c r="CZ44" i="13"/>
  <c r="CY44" i="13"/>
  <c r="B44" i="13"/>
  <c r="CZ43" i="13"/>
  <c r="CY43" i="13"/>
  <c r="B43" i="13"/>
  <c r="CZ42" i="13"/>
  <c r="CY42" i="13"/>
  <c r="B42" i="13"/>
  <c r="CZ41" i="13"/>
  <c r="CY41" i="13"/>
  <c r="B41" i="13"/>
  <c r="CZ39" i="13"/>
  <c r="CY39" i="13"/>
  <c r="B39" i="13"/>
  <c r="CZ38" i="13"/>
  <c r="CY38" i="13"/>
  <c r="B38" i="13"/>
  <c r="CU40" i="13" s="1"/>
  <c r="CZ36" i="13"/>
  <c r="CY36" i="13"/>
  <c r="B36" i="13"/>
  <c r="CZ35" i="13"/>
  <c r="CY35" i="13"/>
  <c r="B35" i="13"/>
  <c r="CZ33" i="13"/>
  <c r="CY33" i="13"/>
  <c r="B33" i="13"/>
  <c r="CZ32" i="13"/>
  <c r="CY32" i="13"/>
  <c r="B32" i="13"/>
  <c r="CZ31" i="13"/>
  <c r="CY31" i="13"/>
  <c r="B31" i="13"/>
  <c r="CZ30" i="13"/>
  <c r="CY30" i="13"/>
  <c r="B30" i="13"/>
  <c r="CZ29" i="13"/>
  <c r="CY29" i="13"/>
  <c r="B29" i="13"/>
  <c r="CZ28" i="13"/>
  <c r="CY28" i="13"/>
  <c r="B28" i="13"/>
  <c r="CZ26" i="13"/>
  <c r="CY26" i="13"/>
  <c r="B26" i="13"/>
  <c r="CZ25" i="13"/>
  <c r="CY25" i="13"/>
  <c r="B25" i="13"/>
  <c r="CH27" i="13" s="1"/>
  <c r="CZ23" i="13"/>
  <c r="CY23" i="13"/>
  <c r="B23" i="13"/>
  <c r="CZ22" i="13"/>
  <c r="CY22" i="13"/>
  <c r="B22" i="13"/>
  <c r="CZ21" i="13"/>
  <c r="CY21" i="13"/>
  <c r="B21" i="13"/>
  <c r="CZ19" i="13"/>
  <c r="CY19" i="13"/>
  <c r="B19" i="13"/>
  <c r="CZ18" i="13"/>
  <c r="CY18" i="13"/>
  <c r="B18" i="13"/>
  <c r="CZ17" i="13"/>
  <c r="CY17" i="13"/>
  <c r="B17" i="13"/>
  <c r="CZ16" i="13"/>
  <c r="CY16" i="13"/>
  <c r="B16" i="13"/>
  <c r="CZ15" i="13"/>
  <c r="CY15" i="13"/>
  <c r="B15" i="13"/>
  <c r="CZ14" i="13"/>
  <c r="CY14" i="13"/>
  <c r="B14" i="13"/>
  <c r="CZ13" i="13"/>
  <c r="CY13" i="13"/>
  <c r="B13" i="13"/>
  <c r="CZ12" i="13"/>
  <c r="CY12" i="13"/>
  <c r="B12" i="13"/>
  <c r="CZ11" i="13"/>
  <c r="CY11" i="13"/>
  <c r="B11" i="13"/>
  <c r="CZ9" i="13"/>
  <c r="CY9" i="13"/>
  <c r="B9" i="13"/>
  <c r="CZ8" i="13"/>
  <c r="CY8" i="13"/>
  <c r="B8" i="13"/>
  <c r="CZ7" i="13"/>
  <c r="CY7" i="13"/>
  <c r="B7" i="13"/>
  <c r="CZ6" i="13"/>
  <c r="CY6" i="13"/>
  <c r="B6" i="13"/>
  <c r="CZ5" i="13"/>
  <c r="CY5" i="13"/>
  <c r="B5" i="13"/>
  <c r="CZ4" i="13"/>
  <c r="CY4" i="13"/>
  <c r="B4" i="13"/>
  <c r="CZ3" i="13"/>
  <c r="CY3" i="13"/>
  <c r="B3" i="13"/>
  <c r="CK10" i="13" s="1"/>
  <c r="CZ118" i="12"/>
  <c r="CY118" i="12"/>
  <c r="B118" i="12"/>
  <c r="CZ117" i="12"/>
  <c r="CY117" i="12"/>
  <c r="B117" i="12"/>
  <c r="CZ116" i="12"/>
  <c r="CY116" i="12"/>
  <c r="B116" i="12"/>
  <c r="CC119" i="12" s="1"/>
  <c r="CZ114" i="12"/>
  <c r="CY114" i="12"/>
  <c r="B114" i="12"/>
  <c r="CZ113" i="12"/>
  <c r="CY113" i="12"/>
  <c r="B113" i="12"/>
  <c r="CZ112" i="12"/>
  <c r="CY112" i="12"/>
  <c r="B112" i="12"/>
  <c r="CZ111" i="12"/>
  <c r="CY111" i="12"/>
  <c r="B111" i="12"/>
  <c r="AR115" i="12" s="1"/>
  <c r="CZ109" i="12"/>
  <c r="CY109" i="12"/>
  <c r="B109" i="12"/>
  <c r="CZ108" i="12"/>
  <c r="CY108" i="12"/>
  <c r="B108" i="12"/>
  <c r="CZ107" i="12"/>
  <c r="CY107" i="12"/>
  <c r="B107" i="12"/>
  <c r="CZ106" i="12"/>
  <c r="CY106" i="12"/>
  <c r="B106" i="12"/>
  <c r="CZ105" i="12"/>
  <c r="CY105" i="12"/>
  <c r="B105" i="12"/>
  <c r="CZ104" i="12"/>
  <c r="CY104" i="12"/>
  <c r="B104" i="12"/>
  <c r="CZ103" i="12"/>
  <c r="CY103" i="12"/>
  <c r="B103" i="12"/>
  <c r="CZ102" i="12"/>
  <c r="CY102" i="12"/>
  <c r="B102" i="12"/>
  <c r="CZ101" i="12"/>
  <c r="CY101" i="12"/>
  <c r="B101" i="12"/>
  <c r="CZ100" i="12"/>
  <c r="CY100" i="12"/>
  <c r="B100" i="12"/>
  <c r="CZ98" i="12"/>
  <c r="CY98" i="12"/>
  <c r="B98" i="12"/>
  <c r="CZ97" i="12"/>
  <c r="CY97" i="12"/>
  <c r="B97" i="12"/>
  <c r="CZ96" i="12"/>
  <c r="CY96" i="12"/>
  <c r="B96" i="12"/>
  <c r="BV99" i="12" s="1"/>
  <c r="CZ94" i="12"/>
  <c r="CY94" i="12"/>
  <c r="B94" i="12"/>
  <c r="CZ93" i="12"/>
  <c r="CY93" i="12"/>
  <c r="B93" i="12"/>
  <c r="CI95" i="12" s="1"/>
  <c r="CZ91" i="12"/>
  <c r="CY91" i="12"/>
  <c r="B91" i="12"/>
  <c r="CZ90" i="12"/>
  <c r="CY90" i="12"/>
  <c r="B90" i="12"/>
  <c r="CZ89" i="12"/>
  <c r="CY89" i="12"/>
  <c r="B89" i="12"/>
  <c r="CN92" i="12" s="1"/>
  <c r="CZ87" i="12"/>
  <c r="CY87" i="12"/>
  <c r="B87" i="12"/>
  <c r="CZ86" i="12"/>
  <c r="CY86" i="12"/>
  <c r="B86" i="12"/>
  <c r="CZ85" i="12"/>
  <c r="CY85" i="12"/>
  <c r="B85" i="12"/>
  <c r="CZ84" i="12"/>
  <c r="CY84" i="12"/>
  <c r="B84" i="12"/>
  <c r="CZ83" i="12"/>
  <c r="CY83" i="12"/>
  <c r="B83" i="12"/>
  <c r="CZ82" i="12"/>
  <c r="CY82" i="12"/>
  <c r="B82" i="12"/>
  <c r="CZ81" i="12"/>
  <c r="CY81" i="12"/>
  <c r="CX81" i="12"/>
  <c r="CV81" i="12"/>
  <c r="CU81" i="12"/>
  <c r="CT81" i="12"/>
  <c r="CS81" i="12"/>
  <c r="CR81" i="12"/>
  <c r="CQ81" i="12"/>
  <c r="CP81" i="12"/>
  <c r="CO81" i="12"/>
  <c r="CM81" i="12"/>
  <c r="CL81" i="12"/>
  <c r="CJ81" i="12"/>
  <c r="CI81" i="12"/>
  <c r="CH81" i="12"/>
  <c r="CG81" i="12"/>
  <c r="CF81" i="12"/>
  <c r="CE81" i="12"/>
  <c r="CD81" i="12"/>
  <c r="CC81" i="12"/>
  <c r="CB81" i="12"/>
  <c r="BZ81" i="12"/>
  <c r="BX81" i="12"/>
  <c r="BW81" i="12"/>
  <c r="BV81" i="12"/>
  <c r="BU81" i="12"/>
  <c r="BT81" i="12"/>
  <c r="BS81" i="12"/>
  <c r="BR81" i="12"/>
  <c r="BQ81" i="12"/>
  <c r="BP81" i="12"/>
  <c r="BO81" i="12"/>
  <c r="BL81" i="12"/>
  <c r="BK81" i="12"/>
  <c r="BJ81" i="12"/>
  <c r="BI81" i="12"/>
  <c r="BH81" i="12"/>
  <c r="BG81" i="12"/>
  <c r="BF81" i="12"/>
  <c r="BE81" i="12"/>
  <c r="BD81" i="12"/>
  <c r="BC81" i="12"/>
  <c r="BB81" i="12"/>
  <c r="AY81" i="12"/>
  <c r="AX81" i="12"/>
  <c r="AW81" i="12"/>
  <c r="AV81" i="12"/>
  <c r="AU81" i="12"/>
  <c r="AT81" i="12"/>
  <c r="AS81" i="12"/>
  <c r="AR81" i="12"/>
  <c r="AQ81" i="12"/>
  <c r="AP81" i="12"/>
  <c r="AN81" i="12"/>
  <c r="AL81" i="12"/>
  <c r="AK81" i="12"/>
  <c r="AJ81" i="12"/>
  <c r="AI81" i="12"/>
  <c r="AH81" i="12"/>
  <c r="AG81" i="12"/>
  <c r="AF81" i="12"/>
  <c r="AE81" i="12"/>
  <c r="AD81" i="12"/>
  <c r="AB81" i="12"/>
  <c r="AA81" i="12"/>
  <c r="Y81" i="12"/>
  <c r="X81" i="12"/>
  <c r="W81" i="12"/>
  <c r="V81" i="12"/>
  <c r="U81" i="12"/>
  <c r="T81" i="12"/>
  <c r="S81" i="12"/>
  <c r="R81" i="12"/>
  <c r="P81" i="12"/>
  <c r="O81" i="12"/>
  <c r="N81" i="12"/>
  <c r="L81" i="12"/>
  <c r="K81" i="12"/>
  <c r="J81" i="12"/>
  <c r="I81" i="12"/>
  <c r="H81" i="12"/>
  <c r="G81" i="12"/>
  <c r="CZ80" i="12"/>
  <c r="CY80" i="12"/>
  <c r="B80" i="12"/>
  <c r="CZ78" i="12"/>
  <c r="CY78" i="12"/>
  <c r="B78" i="12"/>
  <c r="CZ77" i="12"/>
  <c r="CY77" i="12"/>
  <c r="B77" i="12"/>
  <c r="CZ76" i="12"/>
  <c r="CY76" i="12"/>
  <c r="B76" i="12"/>
  <c r="CZ75" i="12"/>
  <c r="CY75" i="12"/>
  <c r="B75" i="12"/>
  <c r="CZ74" i="12"/>
  <c r="CY74" i="12"/>
  <c r="B74" i="12"/>
  <c r="CZ73" i="12"/>
  <c r="CY73" i="12"/>
  <c r="B73" i="12"/>
  <c r="CZ72" i="12"/>
  <c r="CY72" i="12"/>
  <c r="B72" i="12"/>
  <c r="CP79" i="12" s="1"/>
  <c r="CZ70" i="12"/>
  <c r="CY70" i="12"/>
  <c r="B70" i="12"/>
  <c r="CZ69" i="12"/>
  <c r="CY69" i="12"/>
  <c r="B69" i="12"/>
  <c r="CZ68" i="12"/>
  <c r="CY68" i="12"/>
  <c r="B68" i="12"/>
  <c r="CZ67" i="12"/>
  <c r="CY67" i="12"/>
  <c r="B67" i="12"/>
  <c r="CZ66" i="12"/>
  <c r="CY66" i="12"/>
  <c r="B66" i="12"/>
  <c r="CZ65" i="12"/>
  <c r="CY65" i="12"/>
  <c r="B65" i="12"/>
  <c r="CZ64" i="12"/>
  <c r="CY64" i="12"/>
  <c r="B64" i="12"/>
  <c r="CZ63" i="12"/>
  <c r="CY63" i="12"/>
  <c r="B63" i="12"/>
  <c r="CZ62" i="12"/>
  <c r="CY62" i="12"/>
  <c r="B62" i="12"/>
  <c r="CZ61" i="12"/>
  <c r="CY61" i="12"/>
  <c r="B61" i="12"/>
  <c r="CZ60" i="12"/>
  <c r="CY60" i="12"/>
  <c r="B60" i="12"/>
  <c r="CZ58" i="12"/>
  <c r="CY58" i="12"/>
  <c r="B58" i="12"/>
  <c r="CZ57" i="12"/>
  <c r="CY57" i="12"/>
  <c r="B57" i="12"/>
  <c r="CZ56" i="12"/>
  <c r="CY56" i="12"/>
  <c r="B56" i="12"/>
  <c r="CZ55" i="12"/>
  <c r="CY55" i="12"/>
  <c r="B55" i="12"/>
  <c r="CZ54" i="12"/>
  <c r="CY54" i="12"/>
  <c r="B54" i="12"/>
  <c r="CH59" i="12" s="1"/>
  <c r="CZ52" i="12"/>
  <c r="CY52" i="12"/>
  <c r="B52" i="12"/>
  <c r="CZ51" i="12"/>
  <c r="CY51" i="12"/>
  <c r="B51" i="12"/>
  <c r="CZ50" i="12"/>
  <c r="CY50" i="12"/>
  <c r="B50" i="12"/>
  <c r="CZ48" i="12"/>
  <c r="CY48" i="12"/>
  <c r="B48" i="12"/>
  <c r="CZ46" i="12"/>
  <c r="CY46" i="12"/>
  <c r="B46" i="12"/>
  <c r="CZ45" i="12"/>
  <c r="CY45" i="12"/>
  <c r="B45" i="12"/>
  <c r="CZ44" i="12"/>
  <c r="CY44" i="12"/>
  <c r="B44" i="12"/>
  <c r="CZ43" i="12"/>
  <c r="CY43" i="12"/>
  <c r="B43" i="12"/>
  <c r="CZ42" i="12"/>
  <c r="CY42" i="12"/>
  <c r="B42" i="12"/>
  <c r="CZ41" i="12"/>
  <c r="CY41" i="12"/>
  <c r="B41" i="12"/>
  <c r="CN47" i="12" s="1"/>
  <c r="CZ39" i="12"/>
  <c r="CY39" i="12"/>
  <c r="B39" i="12"/>
  <c r="CZ38" i="12"/>
  <c r="CY38" i="12"/>
  <c r="B38" i="12"/>
  <c r="BZ40" i="12" s="1"/>
  <c r="CZ36" i="12"/>
  <c r="CY36" i="12"/>
  <c r="B36" i="12"/>
  <c r="CZ35" i="12"/>
  <c r="CY35" i="12"/>
  <c r="B35" i="12"/>
  <c r="BZ37" i="12" s="1"/>
  <c r="CZ33" i="12"/>
  <c r="CY33" i="12"/>
  <c r="B33" i="12"/>
  <c r="CZ32" i="12"/>
  <c r="CY32" i="12"/>
  <c r="B32" i="12"/>
  <c r="CZ31" i="12"/>
  <c r="CY31" i="12"/>
  <c r="B31" i="12"/>
  <c r="CZ30" i="12"/>
  <c r="CY30" i="12"/>
  <c r="B30" i="12"/>
  <c r="CZ29" i="12"/>
  <c r="CY29" i="12"/>
  <c r="B29" i="12"/>
  <c r="CZ28" i="12"/>
  <c r="CY28" i="12"/>
  <c r="B28" i="12"/>
  <c r="CZ26" i="12"/>
  <c r="CY26" i="12"/>
  <c r="B26" i="12"/>
  <c r="CZ25" i="12"/>
  <c r="CY25" i="12"/>
  <c r="B25" i="12"/>
  <c r="CZ23" i="12"/>
  <c r="CY23" i="12"/>
  <c r="B23" i="12"/>
  <c r="CZ22" i="12"/>
  <c r="CY22" i="12"/>
  <c r="B22" i="12"/>
  <c r="CZ21" i="12"/>
  <c r="CY21" i="12"/>
  <c r="B21" i="12"/>
  <c r="CK24" i="12" s="1"/>
  <c r="CZ19" i="12"/>
  <c r="CY19" i="12"/>
  <c r="B19" i="12"/>
  <c r="CZ18" i="12"/>
  <c r="CY18" i="12"/>
  <c r="B18" i="12"/>
  <c r="CZ17" i="12"/>
  <c r="CY17" i="12"/>
  <c r="B17" i="12"/>
  <c r="CZ16" i="12"/>
  <c r="CY16" i="12"/>
  <c r="B16" i="12"/>
  <c r="CZ15" i="12"/>
  <c r="CY15" i="12"/>
  <c r="B15" i="12"/>
  <c r="CZ14" i="12"/>
  <c r="CY14" i="12"/>
  <c r="B14" i="12"/>
  <c r="CZ13" i="12"/>
  <c r="CY13" i="12"/>
  <c r="B13" i="12"/>
  <c r="CZ12" i="12"/>
  <c r="CY12" i="12"/>
  <c r="B12" i="12"/>
  <c r="CZ11" i="12"/>
  <c r="CY11" i="12"/>
  <c r="B11" i="12"/>
  <c r="CZ9" i="12"/>
  <c r="CY9" i="12"/>
  <c r="B9" i="12"/>
  <c r="CZ8" i="12"/>
  <c r="CY8" i="12"/>
  <c r="B8" i="12"/>
  <c r="CZ7" i="12"/>
  <c r="CY7" i="12"/>
  <c r="B7" i="12"/>
  <c r="CZ6" i="12"/>
  <c r="CY6" i="12"/>
  <c r="B6" i="12"/>
  <c r="CZ5" i="12"/>
  <c r="CY5" i="12"/>
  <c r="B5" i="12"/>
  <c r="CZ4" i="12"/>
  <c r="CY4" i="12"/>
  <c r="B4" i="12"/>
  <c r="CZ3" i="12"/>
  <c r="CY3" i="12"/>
  <c r="B3" i="12"/>
  <c r="CM10" i="12" s="1"/>
  <c r="CZ118" i="11"/>
  <c r="CY118" i="11"/>
  <c r="B118" i="11"/>
  <c r="CZ117" i="11"/>
  <c r="CY117" i="11"/>
  <c r="B117" i="11"/>
  <c r="CZ116" i="11"/>
  <c r="CY116" i="11"/>
  <c r="B116" i="11"/>
  <c r="CZ114" i="11"/>
  <c r="CY114" i="11"/>
  <c r="B114" i="11"/>
  <c r="CZ113" i="11"/>
  <c r="CY113" i="11"/>
  <c r="B113" i="11"/>
  <c r="CZ112" i="11"/>
  <c r="CY112" i="11"/>
  <c r="B112" i="11"/>
  <c r="CZ111" i="11"/>
  <c r="CY111" i="11"/>
  <c r="B111" i="11"/>
  <c r="CZ109" i="11"/>
  <c r="CY109" i="11"/>
  <c r="B109" i="11"/>
  <c r="CZ108" i="11"/>
  <c r="CY108" i="11"/>
  <c r="B108" i="11"/>
  <c r="CZ107" i="11"/>
  <c r="CY107" i="11"/>
  <c r="B107" i="11"/>
  <c r="CZ106" i="11"/>
  <c r="CY106" i="11"/>
  <c r="B106" i="11"/>
  <c r="CZ105" i="11"/>
  <c r="CY105" i="11"/>
  <c r="B105" i="11"/>
  <c r="CZ104" i="11"/>
  <c r="CY104" i="11"/>
  <c r="B104" i="11"/>
  <c r="CZ103" i="11"/>
  <c r="CY103" i="11"/>
  <c r="B103" i="11"/>
  <c r="CZ102" i="11"/>
  <c r="CY102" i="11"/>
  <c r="B102" i="11"/>
  <c r="CZ101" i="11"/>
  <c r="CY101" i="11"/>
  <c r="B101" i="11"/>
  <c r="CZ100" i="11"/>
  <c r="CY100" i="11"/>
  <c r="B100" i="11"/>
  <c r="CZ98" i="11"/>
  <c r="CY98" i="11"/>
  <c r="B98" i="11"/>
  <c r="CZ97" i="11"/>
  <c r="CY97" i="11"/>
  <c r="B97" i="11"/>
  <c r="CZ96" i="11"/>
  <c r="CY96" i="11"/>
  <c r="B96" i="11"/>
  <c r="CZ94" i="11"/>
  <c r="CY94" i="11"/>
  <c r="B94" i="11"/>
  <c r="CZ93" i="11"/>
  <c r="CY93" i="11"/>
  <c r="B93" i="11"/>
  <c r="CZ91" i="11"/>
  <c r="CY91" i="11"/>
  <c r="B91" i="11"/>
  <c r="CZ90" i="11"/>
  <c r="CY90" i="11"/>
  <c r="B90" i="11"/>
  <c r="CZ89" i="11"/>
  <c r="CY89" i="11"/>
  <c r="B89" i="11"/>
  <c r="CZ87" i="11"/>
  <c r="CY87" i="11"/>
  <c r="B87" i="11"/>
  <c r="CZ86" i="11"/>
  <c r="CY86" i="11"/>
  <c r="B86" i="11"/>
  <c r="CZ85" i="11"/>
  <c r="CY85" i="11"/>
  <c r="B85" i="11"/>
  <c r="CZ84" i="11"/>
  <c r="CY84" i="11"/>
  <c r="B84" i="11"/>
  <c r="CZ83" i="11"/>
  <c r="CY83" i="11"/>
  <c r="B83" i="11"/>
  <c r="CZ82" i="11"/>
  <c r="CY82" i="11"/>
  <c r="B82" i="11"/>
  <c r="CZ80" i="11"/>
  <c r="CY80" i="11"/>
  <c r="B80" i="11"/>
  <c r="CZ78" i="11"/>
  <c r="CY78" i="11"/>
  <c r="B78" i="11"/>
  <c r="CZ77" i="11"/>
  <c r="CY77" i="11"/>
  <c r="B77" i="11"/>
  <c r="CZ76" i="11"/>
  <c r="CY76" i="11"/>
  <c r="B76" i="11"/>
  <c r="CZ75" i="11"/>
  <c r="CY75" i="11"/>
  <c r="B75" i="11"/>
  <c r="CZ74" i="11"/>
  <c r="CY74" i="11"/>
  <c r="B74" i="11"/>
  <c r="CZ73" i="11"/>
  <c r="CY73" i="11"/>
  <c r="B73" i="11"/>
  <c r="CZ72" i="11"/>
  <c r="CY72" i="11"/>
  <c r="B72" i="11"/>
  <c r="CZ70" i="11"/>
  <c r="CY70" i="11"/>
  <c r="B70" i="11"/>
  <c r="CZ69" i="11"/>
  <c r="CY69" i="11"/>
  <c r="B69" i="11"/>
  <c r="CZ68" i="11"/>
  <c r="CY68" i="11"/>
  <c r="B68" i="11"/>
  <c r="CZ67" i="11"/>
  <c r="CY67" i="11"/>
  <c r="B67" i="11"/>
  <c r="CZ66" i="11"/>
  <c r="CY66" i="11"/>
  <c r="B66" i="11"/>
  <c r="CZ65" i="11"/>
  <c r="CY65" i="11"/>
  <c r="B65" i="11"/>
  <c r="CZ64" i="11"/>
  <c r="CY64" i="11"/>
  <c r="B64" i="11"/>
  <c r="CZ63" i="11"/>
  <c r="CY63" i="11"/>
  <c r="B63" i="11"/>
  <c r="CZ62" i="11"/>
  <c r="CY62" i="11"/>
  <c r="B62" i="11"/>
  <c r="CZ61" i="11"/>
  <c r="CY61" i="11"/>
  <c r="B61" i="11"/>
  <c r="CZ60" i="11"/>
  <c r="CY60" i="11"/>
  <c r="B60" i="11"/>
  <c r="CZ58" i="11"/>
  <c r="CY58" i="11"/>
  <c r="B58" i="11"/>
  <c r="CZ57" i="11"/>
  <c r="CY57" i="11"/>
  <c r="B57" i="11"/>
  <c r="CZ56" i="11"/>
  <c r="CY56" i="11"/>
  <c r="B56" i="11"/>
  <c r="CZ55" i="11"/>
  <c r="CY55" i="11"/>
  <c r="B55" i="11"/>
  <c r="CZ54" i="11"/>
  <c r="CY54" i="11"/>
  <c r="B54" i="11"/>
  <c r="CZ52" i="11"/>
  <c r="CY52" i="11"/>
  <c r="B52" i="11"/>
  <c r="CZ51" i="11"/>
  <c r="CY51" i="11"/>
  <c r="B51" i="11"/>
  <c r="CZ50" i="11"/>
  <c r="CY50" i="11"/>
  <c r="B50" i="11"/>
  <c r="CZ48" i="11"/>
  <c r="CY48" i="11"/>
  <c r="B48" i="11"/>
  <c r="CZ46" i="11"/>
  <c r="CY46" i="11"/>
  <c r="B46" i="11"/>
  <c r="CZ45" i="11"/>
  <c r="CY45" i="11"/>
  <c r="B45" i="11"/>
  <c r="CZ44" i="11"/>
  <c r="CY44" i="11"/>
  <c r="B44" i="11"/>
  <c r="CZ43" i="11"/>
  <c r="CY43" i="11"/>
  <c r="B43" i="11"/>
  <c r="CZ42" i="11"/>
  <c r="CY42" i="11"/>
  <c r="B42" i="11"/>
  <c r="CZ41" i="11"/>
  <c r="CY41" i="11"/>
  <c r="B41" i="11"/>
  <c r="CZ39" i="11"/>
  <c r="CY39" i="11"/>
  <c r="B39" i="11"/>
  <c r="CZ38" i="11"/>
  <c r="CY38" i="11"/>
  <c r="B38" i="11"/>
  <c r="CZ36" i="11"/>
  <c r="CY36" i="11"/>
  <c r="B36" i="11"/>
  <c r="CZ35" i="11"/>
  <c r="CY35" i="11"/>
  <c r="B35" i="11"/>
  <c r="CZ33" i="11"/>
  <c r="CY33" i="11"/>
  <c r="B33" i="11"/>
  <c r="CZ32" i="11"/>
  <c r="CY32" i="11"/>
  <c r="B32" i="11"/>
  <c r="CZ31" i="11"/>
  <c r="CY31" i="11"/>
  <c r="B31" i="11"/>
  <c r="CZ30" i="11"/>
  <c r="CY30" i="11"/>
  <c r="B30" i="11"/>
  <c r="CZ29" i="11"/>
  <c r="CY29" i="11"/>
  <c r="B29" i="11"/>
  <c r="CZ28" i="11"/>
  <c r="CY28" i="11"/>
  <c r="B28" i="11"/>
  <c r="CZ26" i="11"/>
  <c r="CY26" i="11"/>
  <c r="B26" i="11"/>
  <c r="CZ25" i="11"/>
  <c r="CY25" i="11"/>
  <c r="B25" i="11"/>
  <c r="CZ23" i="11"/>
  <c r="CY23" i="11"/>
  <c r="B23" i="11"/>
  <c r="CZ22" i="11"/>
  <c r="CY22" i="11"/>
  <c r="B22" i="11"/>
  <c r="CZ21" i="11"/>
  <c r="CY21" i="11"/>
  <c r="B21" i="11"/>
  <c r="CZ19" i="11"/>
  <c r="CY19" i="11"/>
  <c r="B19" i="11"/>
  <c r="CZ18" i="11"/>
  <c r="CY18" i="11"/>
  <c r="B18" i="11"/>
  <c r="CZ17" i="11"/>
  <c r="CY17" i="11"/>
  <c r="B17" i="11"/>
  <c r="CZ16" i="11"/>
  <c r="CY16" i="11"/>
  <c r="B16" i="11"/>
  <c r="CZ15" i="11"/>
  <c r="CY15" i="11"/>
  <c r="B15" i="11"/>
  <c r="CZ14" i="11"/>
  <c r="CY14" i="11"/>
  <c r="B14" i="11"/>
  <c r="CZ13" i="11"/>
  <c r="CY13" i="11"/>
  <c r="B13" i="11"/>
  <c r="CZ12" i="11"/>
  <c r="CY12" i="11"/>
  <c r="B12" i="11"/>
  <c r="CZ11" i="11"/>
  <c r="CY11" i="11"/>
  <c r="B11" i="11"/>
  <c r="CZ9" i="11"/>
  <c r="CY9" i="11"/>
  <c r="B9" i="11"/>
  <c r="CZ8" i="11"/>
  <c r="CY8" i="11"/>
  <c r="B8" i="11"/>
  <c r="CZ7" i="11"/>
  <c r="CY7" i="11"/>
  <c r="B7" i="11"/>
  <c r="CZ6" i="11"/>
  <c r="CY6" i="11"/>
  <c r="B6" i="11"/>
  <c r="CZ5" i="11"/>
  <c r="CY5" i="11"/>
  <c r="B5" i="11"/>
  <c r="CZ4" i="11"/>
  <c r="CY4" i="11"/>
  <c r="B4" i="11"/>
  <c r="CZ3" i="11"/>
  <c r="CY3" i="11"/>
  <c r="B3" i="11"/>
  <c r="B113" i="1"/>
  <c r="B112" i="1"/>
  <c r="CZ113" i="1"/>
  <c r="CY113" i="1"/>
  <c r="CZ112" i="1"/>
  <c r="CY112" i="1"/>
  <c r="CZ109" i="1"/>
  <c r="CY109" i="1"/>
  <c r="CZ105" i="1"/>
  <c r="CY105" i="1"/>
  <c r="CZ76" i="1"/>
  <c r="CY76" i="1"/>
  <c r="CZ60" i="1"/>
  <c r="CY60" i="1"/>
  <c r="B60" i="1"/>
  <c r="CY119" i="21" l="1"/>
  <c r="CX119" i="21"/>
  <c r="CR119" i="21"/>
  <c r="CO119" i="21"/>
  <c r="CG119" i="21"/>
  <c r="CF119" i="21"/>
  <c r="CD119" i="21"/>
  <c r="CC119" i="21"/>
  <c r="BS119" i="21"/>
  <c r="BR119" i="21"/>
  <c r="BN119" i="21"/>
  <c r="BK119" i="21"/>
  <c r="BB119" i="21"/>
  <c r="BA119" i="21"/>
  <c r="AZ119" i="21"/>
  <c r="AY119" i="21"/>
  <c r="AN119" i="21"/>
  <c r="AM119" i="21"/>
  <c r="AH119" i="21"/>
  <c r="AE119" i="21"/>
  <c r="W119" i="21"/>
  <c r="U119" i="21"/>
  <c r="T119" i="21"/>
  <c r="S119" i="21"/>
  <c r="H119" i="21"/>
  <c r="G119" i="21"/>
  <c r="D119" i="21"/>
  <c r="CU115" i="21"/>
  <c r="CT115" i="21"/>
  <c r="CR115" i="21"/>
  <c r="CP115" i="21"/>
  <c r="CN115" i="21"/>
  <c r="CM115" i="21"/>
  <c r="CL115" i="21"/>
  <c r="CJ115" i="21"/>
  <c r="CI115" i="21"/>
  <c r="CF115" i="21"/>
  <c r="CC115" i="21"/>
  <c r="CB115" i="21"/>
  <c r="CA115" i="21"/>
  <c r="BX115" i="21"/>
  <c r="BW115" i="21"/>
  <c r="BV115" i="21"/>
  <c r="BU115" i="21"/>
  <c r="BT115" i="21"/>
  <c r="BO115" i="21"/>
  <c r="BN115" i="21"/>
  <c r="BL115" i="21"/>
  <c r="BK115" i="21"/>
  <c r="BI115" i="21"/>
  <c r="BH115" i="21"/>
  <c r="BG115" i="21"/>
  <c r="BF115" i="21"/>
  <c r="BE115" i="21"/>
  <c r="AY115" i="21"/>
  <c r="AX115" i="21"/>
  <c r="AW115" i="21"/>
  <c r="AV115" i="21"/>
  <c r="AT115" i="21"/>
  <c r="AS115" i="21"/>
  <c r="AR115" i="21"/>
  <c r="AP115" i="21"/>
  <c r="AN115" i="21"/>
  <c r="AJ115" i="21"/>
  <c r="AI115" i="21"/>
  <c r="AH115" i="21"/>
  <c r="AG115" i="21"/>
  <c r="AE115" i="21"/>
  <c r="AB115" i="21"/>
  <c r="AA115" i="21"/>
  <c r="Z115" i="21"/>
  <c r="X115" i="21"/>
  <c r="U115" i="21"/>
  <c r="T115" i="21"/>
  <c r="S115" i="21"/>
  <c r="R115" i="21"/>
  <c r="N115" i="21"/>
  <c r="M115" i="21"/>
  <c r="L115" i="21"/>
  <c r="J115" i="21"/>
  <c r="I115" i="21"/>
  <c r="F115" i="21"/>
  <c r="D115" i="21"/>
  <c r="CV115" i="21"/>
  <c r="CZ110" i="21"/>
  <c r="CY110" i="21"/>
  <c r="CM110" i="21"/>
  <c r="CJ110" i="21"/>
  <c r="CH110" i="21"/>
  <c r="BW110" i="21"/>
  <c r="BV110" i="21"/>
  <c r="BU110" i="21"/>
  <c r="BI110" i="21"/>
  <c r="BE110" i="21"/>
  <c r="BB110" i="21"/>
  <c r="AR110" i="21"/>
  <c r="AQ110" i="21"/>
  <c r="AO110" i="21"/>
  <c r="AD110" i="21"/>
  <c r="Y110" i="21"/>
  <c r="V110" i="21"/>
  <c r="L110" i="21"/>
  <c r="J110" i="21"/>
  <c r="I110" i="21"/>
  <c r="BL110" i="21"/>
  <c r="CW99" i="21"/>
  <c r="CV99" i="21"/>
  <c r="CU99" i="21"/>
  <c r="CO99" i="21"/>
  <c r="CN99" i="21"/>
  <c r="CL99" i="21"/>
  <c r="CJ99" i="21"/>
  <c r="CI99" i="21"/>
  <c r="CH99" i="21"/>
  <c r="CG99" i="21"/>
  <c r="BZ99" i="21"/>
  <c r="BY99" i="21"/>
  <c r="BX99" i="21"/>
  <c r="BW99" i="21"/>
  <c r="BU99" i="21"/>
  <c r="BQ99" i="21"/>
  <c r="BP99" i="21"/>
  <c r="BO99" i="21"/>
  <c r="BK99" i="21"/>
  <c r="BJ99" i="21"/>
  <c r="BH99" i="21"/>
  <c r="BD99" i="21"/>
  <c r="BC99" i="21"/>
  <c r="BB99" i="21"/>
  <c r="BA99" i="21"/>
  <c r="AV99" i="21"/>
  <c r="AT99" i="21"/>
  <c r="AS99" i="21"/>
  <c r="AQ99" i="21"/>
  <c r="AO99" i="21"/>
  <c r="AM99" i="21"/>
  <c r="AK99" i="21"/>
  <c r="AJ99" i="21"/>
  <c r="AF99" i="21"/>
  <c r="AD99" i="21"/>
  <c r="AB99" i="21"/>
  <c r="Z99" i="21"/>
  <c r="Y99" i="21"/>
  <c r="V99" i="21"/>
  <c r="U99" i="21"/>
  <c r="P99" i="21"/>
  <c r="O99" i="21"/>
  <c r="N99" i="21"/>
  <c r="M99" i="21"/>
  <c r="J99" i="21"/>
  <c r="G99" i="21"/>
  <c r="F99" i="21"/>
  <c r="D99" i="21"/>
  <c r="CX99" i="21"/>
  <c r="CY99" i="21"/>
  <c r="CR95" i="21"/>
  <c r="CL95" i="21"/>
  <c r="BX95" i="21"/>
  <c r="BN95" i="21"/>
  <c r="BG95" i="21"/>
  <c r="AS95" i="21"/>
  <c r="AG95" i="21"/>
  <c r="AC95" i="21"/>
  <c r="O95" i="21"/>
  <c r="C95" i="21"/>
  <c r="CU92" i="21"/>
  <c r="CR92" i="21"/>
  <c r="CO92" i="21"/>
  <c r="CL92" i="21"/>
  <c r="CJ92" i="21"/>
  <c r="CF92" i="21"/>
  <c r="BZ92" i="21"/>
  <c r="BY92" i="21"/>
  <c r="BX92" i="21"/>
  <c r="BU92" i="21"/>
  <c r="BO92" i="21"/>
  <c r="BM92" i="21"/>
  <c r="BK92" i="21"/>
  <c r="BF92" i="21"/>
  <c r="BE92" i="21"/>
  <c r="BA92" i="21"/>
  <c r="AU92" i="21"/>
  <c r="AS92" i="21"/>
  <c r="AR92" i="21"/>
  <c r="AP92" i="21"/>
  <c r="AJ92" i="21"/>
  <c r="AH92" i="21"/>
  <c r="AE92" i="21"/>
  <c r="AA92" i="21"/>
  <c r="Y92" i="21"/>
  <c r="V92" i="21"/>
  <c r="O92" i="21"/>
  <c r="M92" i="21"/>
  <c r="L92" i="21"/>
  <c r="K92" i="21"/>
  <c r="F92" i="21"/>
  <c r="CS92" i="21"/>
  <c r="CG88" i="21"/>
  <c r="BC88" i="21"/>
  <c r="W88" i="21"/>
  <c r="CY81" i="21"/>
  <c r="CX81" i="21"/>
  <c r="CV81" i="21"/>
  <c r="CT81" i="21"/>
  <c r="CS81" i="21"/>
  <c r="CP81" i="21"/>
  <c r="CN81" i="21"/>
  <c r="CJ81" i="21"/>
  <c r="CI81" i="21"/>
  <c r="CH81" i="21"/>
  <c r="CG81" i="21"/>
  <c r="CE81" i="21"/>
  <c r="CC81" i="21"/>
  <c r="CA81" i="21"/>
  <c r="BZ81" i="21"/>
  <c r="BX81" i="21"/>
  <c r="BT81" i="21"/>
  <c r="BS81" i="21"/>
  <c r="BR81" i="21"/>
  <c r="BN81" i="21"/>
  <c r="BL81" i="21"/>
  <c r="BK81" i="21"/>
  <c r="BJ81" i="21"/>
  <c r="BI81" i="21"/>
  <c r="BH81" i="21"/>
  <c r="BF81" i="21"/>
  <c r="BE81" i="21"/>
  <c r="BC81" i="21"/>
  <c r="AX81" i="21"/>
  <c r="AW81" i="21"/>
  <c r="AV81" i="21"/>
  <c r="AU81" i="21"/>
  <c r="AT81" i="21"/>
  <c r="AS81" i="21"/>
  <c r="AQ81" i="21"/>
  <c r="AP81" i="21"/>
  <c r="AM81" i="21"/>
  <c r="AK81" i="21"/>
  <c r="AH81" i="21"/>
  <c r="AG81" i="21"/>
  <c r="AF81" i="21"/>
  <c r="AE81" i="21"/>
  <c r="AD81" i="21"/>
  <c r="Z81" i="21"/>
  <c r="Y81" i="21"/>
  <c r="W81" i="21"/>
  <c r="V81" i="21"/>
  <c r="T81" i="21"/>
  <c r="S81" i="21"/>
  <c r="P81" i="21"/>
  <c r="O81" i="21"/>
  <c r="M81" i="21"/>
  <c r="K81" i="21"/>
  <c r="I81" i="21"/>
  <c r="H81" i="21"/>
  <c r="G81" i="21"/>
  <c r="D81" i="21"/>
  <c r="C81" i="21"/>
  <c r="CZ81" i="21"/>
  <c r="CU79" i="21"/>
  <c r="CK79" i="21"/>
  <c r="CE79" i="21"/>
  <c r="BR79" i="21"/>
  <c r="BH79" i="21"/>
  <c r="BC79" i="21"/>
  <c r="AQ79" i="21"/>
  <c r="AF79" i="21"/>
  <c r="AA79" i="21"/>
  <c r="M79" i="21"/>
  <c r="E79" i="21"/>
  <c r="CA79" i="21"/>
  <c r="CT71" i="21"/>
  <c r="CQ71" i="21"/>
  <c r="CP71" i="21"/>
  <c r="CO71" i="21"/>
  <c r="CM71" i="21"/>
  <c r="CH71" i="21"/>
  <c r="CF71" i="21"/>
  <c r="CE71" i="21"/>
  <c r="CA71" i="21"/>
  <c r="BY71" i="21"/>
  <c r="BW71" i="21"/>
  <c r="BU71" i="21"/>
  <c r="BQ71" i="21"/>
  <c r="BP71" i="21"/>
  <c r="BO71" i="21"/>
  <c r="BN71" i="21"/>
  <c r="BH71" i="21"/>
  <c r="BG71" i="21"/>
  <c r="BF71" i="21"/>
  <c r="BB71" i="21"/>
  <c r="BA71" i="21"/>
  <c r="AY71" i="21"/>
  <c r="AX71" i="21"/>
  <c r="AU71" i="21"/>
  <c r="AR71" i="21"/>
  <c r="AP71" i="21"/>
  <c r="AO71" i="21"/>
  <c r="AM71" i="21"/>
  <c r="AK71" i="21"/>
  <c r="AJ71" i="21"/>
  <c r="AF71" i="21"/>
  <c r="AE71" i="21"/>
  <c r="Z71" i="21"/>
  <c r="Y71" i="21"/>
  <c r="X71" i="21"/>
  <c r="W71" i="21"/>
  <c r="S71" i="21"/>
  <c r="R71" i="21"/>
  <c r="Q71" i="21"/>
  <c r="O71" i="21"/>
  <c r="M71" i="21"/>
  <c r="H71" i="21"/>
  <c r="G71" i="21"/>
  <c r="E71" i="21"/>
  <c r="CZ71" i="21"/>
  <c r="CY71" i="21"/>
  <c r="CS59" i="21"/>
  <c r="CR59" i="21"/>
  <c r="CG59" i="21"/>
  <c r="BX59" i="21"/>
  <c r="BT59" i="21"/>
  <c r="BJ59" i="21"/>
  <c r="AY59" i="21"/>
  <c r="AX59" i="21"/>
  <c r="AK59" i="21"/>
  <c r="AC59" i="21"/>
  <c r="AB59" i="21"/>
  <c r="Q59" i="21"/>
  <c r="J59" i="21"/>
  <c r="E59" i="21"/>
  <c r="CQ53" i="21"/>
  <c r="CP53" i="21"/>
  <c r="CH53" i="21"/>
  <c r="CF53" i="21"/>
  <c r="BV53" i="21"/>
  <c r="BU53" i="21"/>
  <c r="BK53" i="21"/>
  <c r="BJ53" i="21"/>
  <c r="BC53" i="21"/>
  <c r="BA53" i="21"/>
  <c r="AR53" i="21"/>
  <c r="AQ53" i="21"/>
  <c r="AH53" i="21"/>
  <c r="AG53" i="21"/>
  <c r="Y53" i="21"/>
  <c r="X53" i="21"/>
  <c r="O53" i="21"/>
  <c r="M53" i="21"/>
  <c r="F53" i="21"/>
  <c r="E53" i="21"/>
  <c r="CR53" i="21"/>
  <c r="CZ53" i="21"/>
  <c r="CX49" i="21"/>
  <c r="CW49" i="21"/>
  <c r="CT49" i="21"/>
  <c r="CS49" i="21"/>
  <c r="CR49" i="21"/>
  <c r="CQ49" i="21"/>
  <c r="CP49" i="21"/>
  <c r="CO49" i="21"/>
  <c r="CN49" i="21"/>
  <c r="CL49" i="21"/>
  <c r="CK49" i="21"/>
  <c r="CJ49" i="21"/>
  <c r="CI49" i="21"/>
  <c r="CF49" i="21"/>
  <c r="CE49" i="21"/>
  <c r="CD49" i="21"/>
  <c r="CC49" i="21"/>
  <c r="CB49" i="21"/>
  <c r="BZ49" i="21"/>
  <c r="BY49" i="21"/>
  <c r="BX49" i="21"/>
  <c r="BW49" i="21"/>
  <c r="BV49" i="21"/>
  <c r="BT49" i="21"/>
  <c r="BR49" i="21"/>
  <c r="BQ49" i="21"/>
  <c r="BP49" i="21"/>
  <c r="BN49" i="21"/>
  <c r="BM49" i="21"/>
  <c r="BL49" i="21"/>
  <c r="BK49" i="21"/>
  <c r="BJ49" i="21"/>
  <c r="BI49" i="21"/>
  <c r="BG49" i="21"/>
  <c r="BF49" i="21"/>
  <c r="BD49" i="21"/>
  <c r="BB49" i="21"/>
  <c r="BA49" i="21"/>
  <c r="AZ49" i="21"/>
  <c r="AY49" i="21"/>
  <c r="AX49" i="21"/>
  <c r="AW49" i="21"/>
  <c r="AV49" i="21"/>
  <c r="AT49" i="21"/>
  <c r="AS49" i="21"/>
  <c r="AR49" i="21"/>
  <c r="AO49" i="21"/>
  <c r="AN49" i="21"/>
  <c r="AM49" i="21"/>
  <c r="AL49" i="21"/>
  <c r="AK49" i="21"/>
  <c r="AJ49" i="21"/>
  <c r="AI49" i="21"/>
  <c r="AG49" i="21"/>
  <c r="AF49" i="21"/>
  <c r="AD49" i="21"/>
  <c r="AC49" i="21"/>
  <c r="AA49" i="21"/>
  <c r="Z49" i="21"/>
  <c r="Y49" i="21"/>
  <c r="X49" i="21"/>
  <c r="W49" i="21"/>
  <c r="V49" i="21"/>
  <c r="T49" i="21"/>
  <c r="R49" i="21"/>
  <c r="Q49" i="21"/>
  <c r="P49" i="21"/>
  <c r="O49" i="21"/>
  <c r="M49" i="21"/>
  <c r="L49" i="21"/>
  <c r="K49" i="21"/>
  <c r="J49" i="21"/>
  <c r="I49" i="21"/>
  <c r="F49" i="21"/>
  <c r="E49" i="21"/>
  <c r="D49" i="21"/>
  <c r="C49" i="21"/>
  <c r="CZ49" i="21"/>
  <c r="CT47" i="21"/>
  <c r="CL47" i="21"/>
  <c r="CK47" i="21"/>
  <c r="CA47" i="21"/>
  <c r="BS47" i="21"/>
  <c r="BR47" i="21"/>
  <c r="BG47" i="21"/>
  <c r="AY47" i="21"/>
  <c r="AX47" i="21"/>
  <c r="AP47" i="21"/>
  <c r="AF47" i="21"/>
  <c r="AE47" i="21"/>
  <c r="V47" i="21"/>
  <c r="N47" i="21"/>
  <c r="M47" i="21"/>
  <c r="CG47" i="21"/>
  <c r="CI47" i="21"/>
  <c r="CZ47" i="21"/>
  <c r="CZ40" i="21"/>
  <c r="CH40" i="21"/>
  <c r="CG40" i="21"/>
  <c r="BP40" i="21"/>
  <c r="BO40" i="21"/>
  <c r="AW40" i="21"/>
  <c r="AT40" i="21"/>
  <c r="AD40" i="21"/>
  <c r="AC40" i="21"/>
  <c r="J40" i="21"/>
  <c r="I40" i="21"/>
  <c r="CS40" i="21"/>
  <c r="CY37" i="21"/>
  <c r="CX37" i="21"/>
  <c r="CS37" i="21"/>
  <c r="CR37" i="21"/>
  <c r="CQ37" i="21"/>
  <c r="CN37" i="21"/>
  <c r="CM37" i="21"/>
  <c r="CI37" i="21"/>
  <c r="CF37" i="21"/>
  <c r="CE37" i="21"/>
  <c r="CD37" i="21"/>
  <c r="BZ37" i="21"/>
  <c r="BY37" i="21"/>
  <c r="BW37" i="21"/>
  <c r="BV37" i="21"/>
  <c r="BU37" i="21"/>
  <c r="BP37" i="21"/>
  <c r="BN37" i="21"/>
  <c r="BK37" i="21"/>
  <c r="BJ37" i="21"/>
  <c r="BH37" i="21"/>
  <c r="BG37" i="21"/>
  <c r="BD37" i="21"/>
  <c r="BC37" i="21"/>
  <c r="BA37" i="21"/>
  <c r="AV37" i="21"/>
  <c r="AU37" i="21"/>
  <c r="AT37" i="21"/>
  <c r="AS37" i="21"/>
  <c r="AM37" i="21"/>
  <c r="AL37" i="21"/>
  <c r="AK37" i="21"/>
  <c r="AI37" i="21"/>
  <c r="AH37" i="21"/>
  <c r="AE37" i="21"/>
  <c r="Z37" i="21"/>
  <c r="Y37" i="21"/>
  <c r="X37" i="21"/>
  <c r="U37" i="21"/>
  <c r="T37" i="21"/>
  <c r="S37" i="21"/>
  <c r="R37" i="21"/>
  <c r="Q37" i="21"/>
  <c r="J37" i="21"/>
  <c r="I37" i="21"/>
  <c r="G37" i="21"/>
  <c r="F37" i="21"/>
  <c r="C37" i="21"/>
  <c r="CZ37" i="21"/>
  <c r="BI34" i="21"/>
  <c r="CX27" i="21"/>
  <c r="CX24" i="21"/>
  <c r="CW24" i="21"/>
  <c r="CO24" i="21"/>
  <c r="CN24" i="21"/>
  <c r="CF24" i="21"/>
  <c r="CC24" i="21"/>
  <c r="BU24" i="21"/>
  <c r="BT24" i="21"/>
  <c r="BM24" i="21"/>
  <c r="BJ24" i="21"/>
  <c r="BD24" i="21"/>
  <c r="BA24" i="21"/>
  <c r="AS24" i="21"/>
  <c r="AR24" i="21"/>
  <c r="AI24" i="21"/>
  <c r="AH24" i="21"/>
  <c r="AA24" i="21"/>
  <c r="W24" i="21"/>
  <c r="Q24" i="21"/>
  <c r="O24" i="21"/>
  <c r="G24" i="21"/>
  <c r="F24" i="21"/>
  <c r="CP24" i="21"/>
  <c r="CU10" i="21"/>
  <c r="CT10" i="21"/>
  <c r="CN10" i="21"/>
  <c r="CL10" i="21"/>
  <c r="CF10" i="21"/>
  <c r="CE10" i="21"/>
  <c r="BY10" i="21"/>
  <c r="BX10" i="21"/>
  <c r="BR10" i="21"/>
  <c r="BQ10" i="21"/>
  <c r="BK10" i="21"/>
  <c r="BJ10" i="21"/>
  <c r="BD10" i="21"/>
  <c r="BB10" i="21"/>
  <c r="AV10" i="21"/>
  <c r="AU10" i="21"/>
  <c r="AO10" i="21"/>
  <c r="AN10" i="21"/>
  <c r="AH10" i="21"/>
  <c r="AG10" i="21"/>
  <c r="AA10" i="21"/>
  <c r="Z10" i="21"/>
  <c r="T10" i="21"/>
  <c r="R10" i="21"/>
  <c r="L10" i="21"/>
  <c r="K10" i="21"/>
  <c r="E10" i="21"/>
  <c r="D10" i="21"/>
  <c r="CZ10" i="21"/>
  <c r="CX119" i="20"/>
  <c r="CU119" i="20"/>
  <c r="CR119" i="20"/>
  <c r="CK119" i="20"/>
  <c r="CF119" i="20"/>
  <c r="BS119" i="20"/>
  <c r="BR119" i="20"/>
  <c r="BQ119" i="20"/>
  <c r="BP119" i="20"/>
  <c r="BC119" i="20"/>
  <c r="AZ119" i="20"/>
  <c r="AY119" i="20"/>
  <c r="AR119" i="20"/>
  <c r="AJ119" i="20"/>
  <c r="AB119" i="20"/>
  <c r="AA119" i="20"/>
  <c r="X119" i="20"/>
  <c r="T119" i="20"/>
  <c r="J119" i="20"/>
  <c r="G119" i="20"/>
  <c r="C119" i="20"/>
  <c r="CD119" i="20"/>
  <c r="CS115" i="20"/>
  <c r="CR115" i="20"/>
  <c r="CL115" i="20"/>
  <c r="CF115" i="20"/>
  <c r="BO115" i="20"/>
  <c r="BE115" i="20"/>
  <c r="BB115" i="20"/>
  <c r="AT115" i="20"/>
  <c r="AF115" i="20"/>
  <c r="AD115" i="20"/>
  <c r="Y115" i="20"/>
  <c r="M115" i="20"/>
  <c r="L115" i="20"/>
  <c r="AR115" i="20"/>
  <c r="CM110" i="20"/>
  <c r="CL110" i="20"/>
  <c r="CG110" i="20"/>
  <c r="BV110" i="20"/>
  <c r="BU110" i="20"/>
  <c r="BM110" i="20"/>
  <c r="BJ110" i="20"/>
  <c r="AY110" i="20"/>
  <c r="AX110" i="20"/>
  <c r="AP110" i="20"/>
  <c r="U110" i="20"/>
  <c r="T110" i="20"/>
  <c r="I110" i="20"/>
  <c r="G110" i="20"/>
  <c r="F110" i="20"/>
  <c r="CN99" i="20"/>
  <c r="CM99" i="20"/>
  <c r="CG99" i="20"/>
  <c r="CF99" i="20"/>
  <c r="BS99" i="20"/>
  <c r="BP99" i="20"/>
  <c r="BM99" i="20"/>
  <c r="BC99" i="20"/>
  <c r="BB99" i="20"/>
  <c r="AJ99" i="20"/>
  <c r="AI99" i="20"/>
  <c r="AD99" i="20"/>
  <c r="AC99" i="20"/>
  <c r="R99" i="20"/>
  <c r="M99" i="20"/>
  <c r="L99" i="20"/>
  <c r="CW95" i="20"/>
  <c r="CN95" i="20"/>
  <c r="CM95" i="20"/>
  <c r="CL95" i="20"/>
  <c r="CE95" i="20"/>
  <c r="BS95" i="20"/>
  <c r="BP95" i="20"/>
  <c r="BF95" i="20"/>
  <c r="BE95" i="20"/>
  <c r="BD95" i="20"/>
  <c r="AV95" i="20"/>
  <c r="AQ95" i="20"/>
  <c r="AM95" i="20"/>
  <c r="AL95" i="20"/>
  <c r="AG95" i="20"/>
  <c r="U95" i="20"/>
  <c r="N95" i="20"/>
  <c r="I95" i="20"/>
  <c r="E95" i="20"/>
  <c r="D95" i="20"/>
  <c r="BO92" i="20"/>
  <c r="BE92" i="20"/>
  <c r="BD92" i="20"/>
  <c r="O92" i="20"/>
  <c r="J92" i="20"/>
  <c r="C92" i="20"/>
  <c r="CA92" i="20"/>
  <c r="CU88" i="20"/>
  <c r="CR88" i="20"/>
  <c r="CQ88" i="20"/>
  <c r="AW88" i="20"/>
  <c r="AR88" i="20"/>
  <c r="AQ88" i="20"/>
  <c r="CM88" i="20"/>
  <c r="CX81" i="20"/>
  <c r="CW81" i="20"/>
  <c r="CS81" i="20"/>
  <c r="CR81" i="20"/>
  <c r="CP81" i="20"/>
  <c r="CO81" i="20"/>
  <c r="CL81" i="20"/>
  <c r="CK81" i="20"/>
  <c r="CI81" i="20"/>
  <c r="CH81" i="20"/>
  <c r="CC81" i="20"/>
  <c r="CB81" i="20"/>
  <c r="CA81" i="20"/>
  <c r="BY81" i="20"/>
  <c r="BV81" i="20"/>
  <c r="BU81" i="20"/>
  <c r="BT81" i="20"/>
  <c r="CW27" i="20"/>
  <c r="CV27" i="20"/>
  <c r="CS27" i="20"/>
  <c r="CR27" i="20"/>
  <c r="CP27" i="20"/>
  <c r="CO27" i="20"/>
  <c r="CJ27" i="20"/>
  <c r="CH27" i="20"/>
  <c r="CG27" i="20"/>
  <c r="CF27" i="20"/>
  <c r="CC27" i="20"/>
  <c r="CB27" i="20"/>
  <c r="CA27" i="20"/>
  <c r="BX27" i="20"/>
  <c r="BS27" i="20"/>
  <c r="BR27" i="20"/>
  <c r="BQ27" i="20"/>
  <c r="BO27" i="20"/>
  <c r="BN27" i="20"/>
  <c r="BJ27" i="20"/>
  <c r="BH27" i="20"/>
  <c r="BE27" i="20"/>
  <c r="BD27" i="20"/>
  <c r="BC27" i="20"/>
  <c r="AW27" i="20"/>
  <c r="AV27" i="20"/>
  <c r="AU27" i="20"/>
  <c r="AT27" i="20"/>
  <c r="AS27" i="20"/>
  <c r="AP27" i="20"/>
  <c r="AN27" i="20"/>
  <c r="AJ27" i="20"/>
  <c r="AH27" i="20"/>
  <c r="AG27" i="20"/>
  <c r="AE27" i="20"/>
  <c r="AD27" i="20"/>
  <c r="Z27" i="20"/>
  <c r="W27" i="20"/>
  <c r="V27" i="20"/>
  <c r="U27" i="20"/>
  <c r="R27" i="20"/>
  <c r="Q27" i="20"/>
  <c r="P27" i="20"/>
  <c r="N27" i="20"/>
  <c r="H27" i="20"/>
  <c r="G27" i="20"/>
  <c r="F27" i="20"/>
  <c r="D27" i="20"/>
  <c r="CQ27" i="20"/>
  <c r="CW24" i="20"/>
  <c r="CT24" i="20"/>
  <c r="CS24" i="20"/>
  <c r="BR24" i="20"/>
  <c r="BN24" i="20"/>
  <c r="BM24" i="20"/>
  <c r="AK24" i="20"/>
  <c r="AI24" i="20"/>
  <c r="AH24" i="20"/>
  <c r="G24" i="20"/>
  <c r="E24" i="20"/>
  <c r="D24" i="20"/>
  <c r="AV24" i="20"/>
  <c r="BR20" i="20"/>
  <c r="CW20" i="20"/>
  <c r="CX10" i="20"/>
  <c r="CQ10" i="20"/>
  <c r="BR10" i="20"/>
  <c r="BQ10" i="20"/>
  <c r="R10" i="20"/>
  <c r="CX119" i="19"/>
  <c r="BA119" i="19"/>
  <c r="AD119" i="19"/>
  <c r="AB119" i="19"/>
  <c r="AA119" i="19"/>
  <c r="CO37" i="18"/>
  <c r="CG37" i="18"/>
  <c r="CF37" i="18"/>
  <c r="AX37" i="18"/>
  <c r="AL37" i="18"/>
  <c r="AK37" i="18"/>
  <c r="N37" i="18"/>
  <c r="AJ34" i="18"/>
  <c r="CS27" i="18"/>
  <c r="CH27" i="18"/>
  <c r="CG27" i="18"/>
  <c r="BY27" i="18"/>
  <c r="BN27" i="18"/>
  <c r="BM27" i="18"/>
  <c r="BA27" i="18"/>
  <c r="AT27" i="18"/>
  <c r="AS27" i="18"/>
  <c r="AG27" i="18"/>
  <c r="Y27" i="18"/>
  <c r="X27" i="18"/>
  <c r="L27" i="18"/>
  <c r="F27" i="18"/>
  <c r="CY24" i="18"/>
  <c r="CO24" i="18"/>
  <c r="CN24" i="18"/>
  <c r="CD24" i="18"/>
  <c r="BU24" i="18"/>
  <c r="BT24" i="18"/>
  <c r="BH24" i="18"/>
  <c r="BA24" i="18"/>
  <c r="AX24" i="18"/>
  <c r="AM24" i="18"/>
  <c r="AG24" i="18"/>
  <c r="AD24" i="18"/>
  <c r="T24" i="18"/>
  <c r="K24" i="18"/>
  <c r="H24" i="18"/>
  <c r="CI24" i="18"/>
  <c r="BU20" i="18"/>
  <c r="Z20" i="18"/>
  <c r="CL10" i="18"/>
  <c r="CD10" i="18"/>
  <c r="BH10" i="18"/>
  <c r="BB10" i="18"/>
  <c r="BA10" i="18"/>
  <c r="AP10" i="18"/>
  <c r="L10" i="18"/>
  <c r="F10" i="18"/>
  <c r="CN119" i="17"/>
  <c r="CM119" i="17"/>
  <c r="BQ119" i="17"/>
  <c r="BP119" i="17"/>
  <c r="BO119" i="17"/>
  <c r="U119" i="17"/>
  <c r="T119" i="17"/>
  <c r="S119" i="17"/>
  <c r="CD115" i="17"/>
  <c r="O115" i="17"/>
  <c r="BP115" i="17"/>
  <c r="BE115" i="17"/>
  <c r="BQ110" i="17"/>
  <c r="M110" i="17"/>
  <c r="CG110" i="17"/>
  <c r="CY99" i="17"/>
  <c r="CV99" i="17"/>
  <c r="CU99" i="17"/>
  <c r="CQ99" i="17"/>
  <c r="CN99" i="17"/>
  <c r="CG99" i="17"/>
  <c r="BT99" i="17"/>
  <c r="BQ99" i="17"/>
  <c r="BP99" i="17"/>
  <c r="BI99" i="17"/>
  <c r="BE99" i="17"/>
  <c r="BB99" i="17"/>
  <c r="BA99" i="17"/>
  <c r="AF99" i="17"/>
  <c r="AE99" i="17"/>
  <c r="AD99" i="17"/>
  <c r="AC99" i="17"/>
  <c r="AB99" i="17"/>
  <c r="AA99" i="17"/>
  <c r="Y99" i="17"/>
  <c r="E99" i="17"/>
  <c r="CT95" i="17"/>
  <c r="CO95" i="17"/>
  <c r="CN95" i="17"/>
  <c r="CL95" i="17"/>
  <c r="CK95" i="17"/>
  <c r="CA95" i="17"/>
  <c r="BO95" i="17"/>
  <c r="BN95" i="17"/>
  <c r="BM95" i="17"/>
  <c r="BA95" i="17"/>
  <c r="AZ95" i="17"/>
  <c r="AH95" i="17"/>
  <c r="AF95" i="17"/>
  <c r="AE95" i="17"/>
  <c r="AC95" i="17"/>
  <c r="AA95" i="17"/>
  <c r="W95" i="17"/>
  <c r="V95" i="17"/>
  <c r="E95" i="17"/>
  <c r="CN92" i="17"/>
  <c r="CK92" i="17"/>
  <c r="CJ92" i="17"/>
  <c r="CF92" i="17"/>
  <c r="AV92" i="17"/>
  <c r="AE92" i="17"/>
  <c r="AD92" i="17"/>
  <c r="AC92" i="17"/>
  <c r="CA92" i="17"/>
  <c r="AI88" i="17"/>
  <c r="BG88" i="17"/>
  <c r="CX81" i="17"/>
  <c r="CU81" i="17"/>
  <c r="CT81" i="17"/>
  <c r="CR81" i="17"/>
  <c r="CQ81" i="17"/>
  <c r="CO81" i="17"/>
  <c r="CN81" i="17"/>
  <c r="CM81" i="17"/>
  <c r="CL81" i="17"/>
  <c r="CK81" i="17"/>
  <c r="CH81" i="17"/>
  <c r="CG81" i="17"/>
  <c r="CE81" i="17"/>
  <c r="CD81" i="17"/>
  <c r="CC81" i="17"/>
  <c r="CB81" i="17"/>
  <c r="BZ81" i="17"/>
  <c r="BY81" i="17"/>
  <c r="BW81" i="17"/>
  <c r="BU81" i="17"/>
  <c r="BT81" i="17"/>
  <c r="BR81" i="17"/>
  <c r="BQ81" i="17"/>
  <c r="BP81" i="17"/>
  <c r="BO81" i="17"/>
  <c r="BN81" i="17"/>
  <c r="BM81" i="17"/>
  <c r="BJ81" i="17"/>
  <c r="BH81" i="17"/>
  <c r="BG81" i="17"/>
  <c r="BE81" i="17"/>
  <c r="BD81" i="17"/>
  <c r="BC81" i="17"/>
  <c r="BB81" i="17"/>
  <c r="BA81" i="17"/>
  <c r="AY81" i="17"/>
  <c r="AX81" i="17"/>
  <c r="AW81" i="17"/>
  <c r="AT81" i="17"/>
  <c r="AR81" i="17"/>
  <c r="AQ81" i="17"/>
  <c r="AP81" i="17"/>
  <c r="AO81" i="17"/>
  <c r="AM81" i="17"/>
  <c r="AL81" i="17"/>
  <c r="AK81" i="17"/>
  <c r="AJ81" i="17"/>
  <c r="AH81" i="17"/>
  <c r="AG81" i="17"/>
  <c r="AD81" i="17"/>
  <c r="AC81" i="17"/>
  <c r="AA81" i="17"/>
  <c r="Z81" i="17"/>
  <c r="Y81" i="17"/>
  <c r="X81" i="17"/>
  <c r="W81" i="17"/>
  <c r="U81" i="17"/>
  <c r="T81" i="17"/>
  <c r="R81" i="17"/>
  <c r="Q81" i="17"/>
  <c r="N81" i="17"/>
  <c r="M81" i="17"/>
  <c r="L81" i="17"/>
  <c r="K81" i="17"/>
  <c r="J81" i="17"/>
  <c r="H81" i="17"/>
  <c r="G81" i="17"/>
  <c r="E81" i="17"/>
  <c r="C81" i="17"/>
  <c r="CZ81" i="17"/>
  <c r="CY81" i="17"/>
  <c r="CR79" i="17"/>
  <c r="AN79" i="17"/>
  <c r="CE79" i="17"/>
  <c r="CY71" i="17"/>
  <c r="CX71" i="17"/>
  <c r="CW71" i="17"/>
  <c r="CR71" i="17"/>
  <c r="CF71" i="17"/>
  <c r="CD71" i="17"/>
  <c r="BV71" i="17"/>
  <c r="BT71" i="17"/>
  <c r="BR71" i="17"/>
  <c r="BQ71" i="17"/>
  <c r="BB71" i="17"/>
  <c r="BA71" i="17"/>
  <c r="AY71" i="17"/>
  <c r="AX71" i="17"/>
  <c r="AV71" i="17"/>
  <c r="AT71" i="17"/>
  <c r="AE71" i="17"/>
  <c r="AB71" i="17"/>
  <c r="AA71" i="17"/>
  <c r="X71" i="17"/>
  <c r="T71" i="17"/>
  <c r="S71" i="17"/>
  <c r="I71" i="17"/>
  <c r="H71" i="17"/>
  <c r="CO71" i="17"/>
  <c r="CH71" i="17"/>
  <c r="CV59" i="17"/>
  <c r="CU59" i="17"/>
  <c r="BW59" i="17"/>
  <c r="BV59" i="17"/>
  <c r="BU59" i="17"/>
  <c r="BT59" i="17"/>
  <c r="BL59" i="17"/>
  <c r="AE59" i="17"/>
  <c r="AD59" i="17"/>
  <c r="AB59" i="17"/>
  <c r="AA59" i="17"/>
  <c r="Y59" i="17"/>
  <c r="CO59" i="17"/>
  <c r="CQ53" i="17"/>
  <c r="CP53" i="17"/>
  <c r="BN53" i="17"/>
  <c r="BL53" i="17"/>
  <c r="BK53" i="17"/>
  <c r="BI53" i="17"/>
  <c r="X53" i="17"/>
  <c r="W53" i="17"/>
  <c r="V53" i="17"/>
  <c r="U53" i="17"/>
  <c r="CE53" i="17"/>
  <c r="CY49" i="17"/>
  <c r="CP49" i="17"/>
  <c r="CO49" i="17"/>
  <c r="CM49" i="17"/>
  <c r="CA49" i="17"/>
  <c r="BZ49" i="17"/>
  <c r="BY49" i="17"/>
  <c r="BV49" i="17"/>
  <c r="BH49" i="17"/>
  <c r="BF49" i="17"/>
  <c r="BE49" i="17"/>
  <c r="BB49" i="17"/>
  <c r="BA49" i="17"/>
  <c r="AQ49" i="17"/>
  <c r="AM49" i="17"/>
  <c r="Y49" i="17"/>
  <c r="X49" i="17"/>
  <c r="W49" i="17"/>
  <c r="V49" i="17"/>
  <c r="Q49" i="17"/>
  <c r="O49" i="17"/>
  <c r="E49" i="17"/>
  <c r="CP47" i="17"/>
  <c r="CM47" i="17"/>
  <c r="CL47" i="17"/>
  <c r="CJ47" i="17"/>
  <c r="CH47" i="17"/>
  <c r="CF47" i="17"/>
  <c r="BU47" i="17"/>
  <c r="BS47" i="17"/>
  <c r="BR47" i="17"/>
  <c r="BP47" i="17"/>
  <c r="BO47" i="17"/>
  <c r="BN47" i="17"/>
  <c r="BC47" i="17"/>
  <c r="BB47" i="17"/>
  <c r="AY47" i="17"/>
  <c r="AX47" i="17"/>
  <c r="AV47" i="17"/>
  <c r="AK47" i="17"/>
  <c r="AJ47" i="17"/>
  <c r="AI47" i="17"/>
  <c r="AH47" i="17"/>
  <c r="AF47" i="17"/>
  <c r="AA47" i="17"/>
  <c r="Z47" i="17"/>
  <c r="R47" i="17"/>
  <c r="P47" i="17"/>
  <c r="L47" i="17"/>
  <c r="K47" i="17"/>
  <c r="J47" i="17"/>
  <c r="CZ47" i="17"/>
  <c r="CY47" i="17"/>
  <c r="CV40" i="17"/>
  <c r="CU40" i="17"/>
  <c r="CT40" i="17"/>
  <c r="CS40" i="17"/>
  <c r="CR40" i="17"/>
  <c r="CO40" i="17"/>
  <c r="CN40" i="17"/>
  <c r="CM40" i="17"/>
  <c r="CL40" i="17"/>
  <c r="CI40" i="17"/>
  <c r="CH40" i="17"/>
  <c r="CF40" i="17"/>
  <c r="CE40" i="17"/>
  <c r="CD40" i="17"/>
  <c r="CA40" i="17"/>
  <c r="BZ40" i="17"/>
  <c r="BX40" i="17"/>
  <c r="BV40" i="17"/>
  <c r="BU40" i="17"/>
  <c r="BT40" i="17"/>
  <c r="BS40" i="17"/>
  <c r="BR40" i="17"/>
  <c r="BP40" i="17"/>
  <c r="BL40" i="17"/>
  <c r="BK40" i="17"/>
  <c r="BI40" i="17"/>
  <c r="BH40" i="17"/>
  <c r="BG40" i="17"/>
  <c r="BF40" i="17"/>
  <c r="BE40" i="17"/>
  <c r="BD40" i="17"/>
  <c r="BC40" i="17"/>
  <c r="BB40" i="17"/>
  <c r="AV40" i="17"/>
  <c r="AU40" i="17"/>
  <c r="AT40" i="17"/>
  <c r="AS40" i="17"/>
  <c r="AR40" i="17"/>
  <c r="AQ40" i="17"/>
  <c r="AP40" i="17"/>
  <c r="AN40" i="17"/>
  <c r="AM40" i="17"/>
  <c r="AI40" i="17"/>
  <c r="AH40" i="17"/>
  <c r="AF40" i="17"/>
  <c r="AE40" i="17"/>
  <c r="AD40" i="17"/>
  <c r="AB40" i="17"/>
  <c r="AA40" i="17"/>
  <c r="Z40" i="17"/>
  <c r="Y40" i="17"/>
  <c r="U40" i="17"/>
  <c r="T40" i="17"/>
  <c r="S40" i="17"/>
  <c r="R40" i="17"/>
  <c r="O40" i="17"/>
  <c r="N40" i="17"/>
  <c r="M40" i="17"/>
  <c r="L40" i="17"/>
  <c r="K40" i="17"/>
  <c r="G40" i="17"/>
  <c r="F40" i="17"/>
  <c r="D40" i="17"/>
  <c r="C40" i="17"/>
  <c r="CZ40" i="17"/>
  <c r="CY40" i="17"/>
  <c r="CV34" i="17"/>
  <c r="CM27" i="17"/>
  <c r="CL27" i="17"/>
  <c r="CH27" i="17"/>
  <c r="BJ27" i="17"/>
  <c r="BI27" i="17"/>
  <c r="BH27" i="17"/>
  <c r="AN27" i="17"/>
  <c r="AM27" i="17"/>
  <c r="AH27" i="17"/>
  <c r="L27" i="17"/>
  <c r="K27" i="17"/>
  <c r="J27" i="17"/>
  <c r="CZ24" i="17"/>
  <c r="CY24" i="17"/>
  <c r="CT24" i="17"/>
  <c r="CS24" i="17"/>
  <c r="CR24" i="17"/>
  <c r="CQ24" i="17"/>
  <c r="CN24" i="17"/>
  <c r="CL24" i="17"/>
  <c r="CI24" i="17"/>
  <c r="CF24" i="17"/>
  <c r="CE24" i="17"/>
  <c r="CD24" i="17"/>
  <c r="CC24" i="17"/>
  <c r="CB24" i="17"/>
  <c r="CA24" i="17"/>
  <c r="BV24" i="17"/>
  <c r="BR24" i="17"/>
  <c r="BQ24" i="17"/>
  <c r="BP24" i="17"/>
  <c r="BO24" i="17"/>
  <c r="BN24" i="17"/>
  <c r="BL24" i="17"/>
  <c r="BK24" i="17"/>
  <c r="BI24" i="17"/>
  <c r="BD24" i="17"/>
  <c r="BB24" i="17"/>
  <c r="AZ24" i="17"/>
  <c r="AY24" i="17"/>
  <c r="AX24" i="17"/>
  <c r="AV24" i="17"/>
  <c r="AU24" i="17"/>
  <c r="AT24" i="17"/>
  <c r="AS24" i="17"/>
  <c r="AM24" i="17"/>
  <c r="AK24" i="17"/>
  <c r="AI24" i="17"/>
  <c r="AH24" i="17"/>
  <c r="AG24" i="17"/>
  <c r="AF24" i="17"/>
  <c r="AE24" i="17"/>
  <c r="AA24" i="17"/>
  <c r="Z24" i="17"/>
  <c r="V24" i="17"/>
  <c r="T24" i="17"/>
  <c r="S24" i="17"/>
  <c r="R24" i="17"/>
  <c r="P24" i="17"/>
  <c r="M24" i="17"/>
  <c r="L24" i="17"/>
  <c r="K24" i="17"/>
  <c r="I24" i="17"/>
  <c r="F24" i="17"/>
  <c r="C24" i="17"/>
  <c r="CY20" i="17"/>
  <c r="CC20" i="17"/>
  <c r="CA20" i="17"/>
  <c r="BZ20" i="17"/>
  <c r="BY20" i="17"/>
  <c r="BH20" i="17"/>
  <c r="BG20" i="17"/>
  <c r="BF20" i="17"/>
  <c r="AY20" i="17"/>
  <c r="AE20" i="17"/>
  <c r="AD20" i="17"/>
  <c r="AB20" i="17"/>
  <c r="Y20" i="17"/>
  <c r="G20" i="17"/>
  <c r="F20" i="17"/>
  <c r="E20" i="17"/>
  <c r="CP20" i="17"/>
  <c r="CF10" i="17"/>
  <c r="CE10" i="17"/>
  <c r="BJ10" i="17"/>
  <c r="BG10" i="17"/>
  <c r="AK10" i="17"/>
  <c r="AI10" i="17"/>
  <c r="M10" i="17"/>
  <c r="L10" i="17"/>
  <c r="CB10" i="17"/>
  <c r="CY10" i="17"/>
  <c r="CW119" i="16"/>
  <c r="CV119" i="16"/>
  <c r="CR119" i="16"/>
  <c r="CP119" i="16"/>
  <c r="BZ119" i="16"/>
  <c r="BT119" i="16"/>
  <c r="BR119" i="16"/>
  <c r="BO119" i="16"/>
  <c r="AV119" i="16"/>
  <c r="AR119" i="16"/>
  <c r="AN119" i="16"/>
  <c r="AG119" i="16"/>
  <c r="AD119" i="16"/>
  <c r="AB119" i="16"/>
  <c r="X119" i="16"/>
  <c r="H119" i="16"/>
  <c r="CU115" i="16"/>
  <c r="CT115" i="16"/>
  <c r="BE115" i="16"/>
  <c r="BC115" i="16"/>
  <c r="AY115" i="16"/>
  <c r="AW115" i="16"/>
  <c r="CM110" i="16"/>
  <c r="CI110" i="16"/>
  <c r="AG110" i="16"/>
  <c r="AB110" i="16"/>
  <c r="CZ99" i="16"/>
  <c r="CY99" i="16"/>
  <c r="BM99" i="16"/>
  <c r="BA99" i="16"/>
  <c r="AZ99" i="16"/>
  <c r="AR99" i="16"/>
  <c r="AP99" i="16"/>
  <c r="N99" i="16"/>
  <c r="H99" i="16"/>
  <c r="F99" i="16"/>
  <c r="CP95" i="16"/>
  <c r="CO95" i="16"/>
  <c r="CM95" i="16"/>
  <c r="CK95" i="16"/>
  <c r="AQ95" i="16"/>
  <c r="AO95" i="16"/>
  <c r="AI95" i="16"/>
  <c r="AG95" i="16"/>
  <c r="BM95" i="16"/>
  <c r="CZ92" i="16"/>
  <c r="CJ92" i="16"/>
  <c r="CI92" i="16"/>
  <c r="CE92" i="16"/>
  <c r="CC92" i="16"/>
  <c r="BS92" i="16"/>
  <c r="BR92" i="16"/>
  <c r="BQ92" i="16"/>
  <c r="BO92" i="16"/>
  <c r="AY92" i="16"/>
  <c r="AS92" i="16"/>
  <c r="AQ92" i="16"/>
  <c r="AP92" i="16"/>
  <c r="AO92" i="16"/>
  <c r="AN92" i="16"/>
  <c r="AM92" i="16"/>
  <c r="AJ92" i="16"/>
  <c r="R92" i="16"/>
  <c r="Q92" i="16"/>
  <c r="O92" i="16"/>
  <c r="K92" i="16"/>
  <c r="C92" i="16"/>
  <c r="CK92" i="16"/>
  <c r="CU88" i="16"/>
  <c r="CT88" i="16"/>
  <c r="CR88" i="16"/>
  <c r="CP88" i="16"/>
  <c r="CL88" i="16"/>
  <c r="BE88" i="16"/>
  <c r="AV88" i="16"/>
  <c r="AT88" i="16"/>
  <c r="AK88" i="16"/>
  <c r="AJ88" i="16"/>
  <c r="H88" i="16"/>
  <c r="G88" i="16"/>
  <c r="F88" i="16"/>
  <c r="BS88" i="16"/>
  <c r="CZ81" i="16"/>
  <c r="CY81" i="16"/>
  <c r="CX81" i="16"/>
  <c r="CW81" i="16"/>
  <c r="CU81" i="16"/>
  <c r="CS81" i="16"/>
  <c r="CP81" i="16"/>
  <c r="CM81" i="16"/>
  <c r="CL81" i="16"/>
  <c r="CK81" i="16"/>
  <c r="CI81" i="16"/>
  <c r="CH81" i="16"/>
  <c r="CG81" i="16"/>
  <c r="CE81" i="16"/>
  <c r="CB81" i="16"/>
  <c r="BZ81" i="16"/>
  <c r="BY81" i="16"/>
  <c r="BW81" i="16"/>
  <c r="BU81" i="16"/>
  <c r="BT81" i="16"/>
  <c r="BS81" i="16"/>
  <c r="BP81" i="16"/>
  <c r="BN81" i="16"/>
  <c r="BK81" i="16"/>
  <c r="BJ81" i="16"/>
  <c r="BI81" i="16"/>
  <c r="BH81" i="16"/>
  <c r="BG81" i="16"/>
  <c r="BF81" i="16"/>
  <c r="BB81" i="16"/>
  <c r="AY81" i="16"/>
  <c r="AW81" i="16"/>
  <c r="AV81" i="16"/>
  <c r="AU81" i="16"/>
  <c r="AT81" i="16"/>
  <c r="AS81" i="16"/>
  <c r="AR81" i="16"/>
  <c r="AP81" i="16"/>
  <c r="AM81" i="16"/>
  <c r="AK81" i="16"/>
  <c r="AH81" i="16"/>
  <c r="AG81" i="16"/>
  <c r="AF81" i="16"/>
  <c r="AE81" i="16"/>
  <c r="AC81" i="16"/>
  <c r="AA81" i="16"/>
  <c r="Y81" i="16"/>
  <c r="W81" i="16"/>
  <c r="U81" i="16"/>
  <c r="T81" i="16"/>
  <c r="S81" i="16"/>
  <c r="O81" i="16"/>
  <c r="N81" i="16"/>
  <c r="M81" i="16"/>
  <c r="L81" i="16"/>
  <c r="K81" i="16"/>
  <c r="I81" i="16"/>
  <c r="G81" i="16"/>
  <c r="F81" i="16"/>
  <c r="E81" i="16"/>
  <c r="CX79" i="16"/>
  <c r="CV79" i="16"/>
  <c r="CT79" i="16"/>
  <c r="CR79" i="16"/>
  <c r="BX79" i="16"/>
  <c r="BO79" i="16"/>
  <c r="BJ79" i="16"/>
  <c r="BH79" i="16"/>
  <c r="BG79" i="16"/>
  <c r="AY79" i="16"/>
  <c r="AE79" i="16"/>
  <c r="AB79" i="16"/>
  <c r="Z79" i="16"/>
  <c r="X79" i="16"/>
  <c r="W79" i="16"/>
  <c r="R79" i="16"/>
  <c r="CA79" i="16"/>
  <c r="CY79" i="16"/>
  <c r="BU71" i="16"/>
  <c r="AN71" i="16"/>
  <c r="Z71" i="16"/>
  <c r="CS59" i="16"/>
  <c r="CR59" i="16"/>
  <c r="CQ59" i="16"/>
  <c r="CP59" i="16"/>
  <c r="CM59" i="16"/>
  <c r="CG59" i="16"/>
  <c r="CF59" i="16"/>
  <c r="CE59" i="16"/>
  <c r="BX59" i="16"/>
  <c r="BS59" i="16"/>
  <c r="BR59" i="16"/>
  <c r="BQ59" i="16"/>
  <c r="BO59" i="16"/>
  <c r="BM59" i="16"/>
  <c r="BL59" i="16"/>
  <c r="BK59" i="16"/>
  <c r="AZ59" i="16"/>
  <c r="AY59" i="16"/>
  <c r="AX59" i="16"/>
  <c r="AW59" i="16"/>
  <c r="AV59" i="16"/>
  <c r="AO59" i="16"/>
  <c r="AN59" i="16"/>
  <c r="AM59" i="16"/>
  <c r="AH59" i="16"/>
  <c r="AA59" i="16"/>
  <c r="Z59" i="16"/>
  <c r="Y59" i="16"/>
  <c r="X59" i="16"/>
  <c r="W59" i="16"/>
  <c r="V59" i="16"/>
  <c r="U59" i="16"/>
  <c r="J59" i="16"/>
  <c r="I59" i="16"/>
  <c r="G59" i="16"/>
  <c r="E59" i="16"/>
  <c r="D59" i="16"/>
  <c r="CD59" i="16"/>
  <c r="CU53" i="16"/>
  <c r="CT53" i="16"/>
  <c r="CS53" i="16"/>
  <c r="BW53" i="16"/>
  <c r="BV53" i="16"/>
  <c r="BU53" i="16"/>
  <c r="BT53" i="16"/>
  <c r="BS53" i="16"/>
  <c r="AW53" i="16"/>
  <c r="AV53" i="16"/>
  <c r="AL53" i="16"/>
  <c r="AK53" i="16"/>
  <c r="AJ53" i="16"/>
  <c r="S53" i="16"/>
  <c r="R53" i="16"/>
  <c r="L53" i="16"/>
  <c r="K53" i="16"/>
  <c r="J53" i="16"/>
  <c r="CJ53" i="16"/>
  <c r="CS49" i="16"/>
  <c r="CR49" i="16"/>
  <c r="BW49" i="16"/>
  <c r="BV49" i="16"/>
  <c r="BU49" i="16"/>
  <c r="BT49" i="16"/>
  <c r="AY49" i="16"/>
  <c r="AX49" i="16"/>
  <c r="AS49" i="16"/>
  <c r="AR49" i="16"/>
  <c r="W49" i="16"/>
  <c r="V49" i="16"/>
  <c r="U49" i="16"/>
  <c r="T49" i="16"/>
  <c r="CP47" i="16"/>
  <c r="CO47" i="16"/>
  <c r="BT47" i="16"/>
  <c r="BS47" i="16"/>
  <c r="BR47" i="16"/>
  <c r="BQ47" i="16"/>
  <c r="AV47" i="16"/>
  <c r="AU47" i="16"/>
  <c r="AP47" i="16"/>
  <c r="AO47" i="16"/>
  <c r="U47" i="16"/>
  <c r="T47" i="16"/>
  <c r="S47" i="16"/>
  <c r="R47" i="16"/>
  <c r="CZ47" i="16"/>
  <c r="CY47" i="16"/>
  <c r="CW40" i="16"/>
  <c r="CN40" i="16"/>
  <c r="CM40" i="16"/>
  <c r="CD40" i="16"/>
  <c r="CC40" i="16"/>
  <c r="CB40" i="16"/>
  <c r="CA40" i="16"/>
  <c r="BZ40" i="16"/>
  <c r="BH40" i="16"/>
  <c r="BG40" i="16"/>
  <c r="BF40" i="16"/>
  <c r="BE40" i="16"/>
  <c r="BD40" i="16"/>
  <c r="BC40" i="16"/>
  <c r="AT40" i="16"/>
  <c r="AJ40" i="16"/>
  <c r="AI40" i="16"/>
  <c r="AD40" i="16"/>
  <c r="AC40" i="16"/>
  <c r="Y40" i="16"/>
  <c r="X40" i="16"/>
  <c r="W40" i="16"/>
  <c r="J40" i="16"/>
  <c r="I40" i="16"/>
  <c r="H40" i="16"/>
  <c r="G40" i="16"/>
  <c r="F40" i="16"/>
  <c r="E40" i="16"/>
  <c r="BN88" i="18"/>
  <c r="BE81" i="18"/>
  <c r="AK81" i="18"/>
  <c r="Y81" i="18"/>
  <c r="H81" i="18"/>
  <c r="CI71" i="18"/>
  <c r="BT71" i="18"/>
  <c r="BJ71" i="18"/>
  <c r="AL71" i="18"/>
  <c r="W71" i="18"/>
  <c r="G71" i="18"/>
  <c r="AZ59" i="18"/>
  <c r="AJ59" i="18"/>
  <c r="L59" i="18"/>
  <c r="CZ53" i="18"/>
  <c r="BV53" i="18"/>
  <c r="AZ49" i="18"/>
  <c r="AL49" i="18"/>
  <c r="Y49" i="18"/>
  <c r="F49" i="18"/>
  <c r="CW40" i="18"/>
  <c r="CB40" i="18"/>
  <c r="CA40" i="18"/>
  <c r="AT40" i="18"/>
  <c r="AD40" i="18"/>
  <c r="J40" i="18"/>
  <c r="CG40" i="18"/>
  <c r="T37" i="16"/>
  <c r="S37" i="16"/>
  <c r="R37" i="16"/>
  <c r="L37" i="16"/>
  <c r="J37" i="16"/>
  <c r="I37" i="16"/>
  <c r="H37" i="16"/>
  <c r="G37" i="16"/>
  <c r="F37" i="16"/>
  <c r="E37" i="16"/>
  <c r="CY34" i="16"/>
  <c r="CX34" i="16"/>
  <c r="CC34" i="16"/>
  <c r="CB34" i="16"/>
  <c r="BC34" i="16"/>
  <c r="BB34" i="16"/>
  <c r="AG34" i="16"/>
  <c r="AF34" i="16"/>
  <c r="G34" i="16"/>
  <c r="F34" i="16"/>
  <c r="AV34" i="16"/>
  <c r="CX27" i="16"/>
  <c r="CW27" i="16"/>
  <c r="CS27" i="16"/>
  <c r="CR27" i="16"/>
  <c r="CQ27" i="16"/>
  <c r="CN27" i="16"/>
  <c r="CE27" i="16"/>
  <c r="CD27" i="16"/>
  <c r="CC27" i="16"/>
  <c r="CB27" i="16"/>
  <c r="CA27" i="16"/>
  <c r="BZ27" i="16"/>
  <c r="BY27" i="16"/>
  <c r="BQ27" i="16"/>
  <c r="BN27" i="16"/>
  <c r="BI27" i="16"/>
  <c r="BH27" i="16"/>
  <c r="BG27" i="16"/>
  <c r="BB27" i="16"/>
  <c r="BA27" i="16"/>
  <c r="AW27" i="16"/>
  <c r="AV27" i="16"/>
  <c r="AU27" i="16"/>
  <c r="AR27" i="16"/>
  <c r="AI27" i="16"/>
  <c r="AH27" i="16"/>
  <c r="AG27" i="16"/>
  <c r="AF27" i="16"/>
  <c r="AE27" i="16"/>
  <c r="AD27" i="16"/>
  <c r="AC27" i="16"/>
  <c r="U27" i="16"/>
  <c r="R27" i="16"/>
  <c r="M27" i="16"/>
  <c r="L27" i="16"/>
  <c r="K27" i="16"/>
  <c r="H27" i="16"/>
  <c r="F27" i="16"/>
  <c r="E27" i="16"/>
  <c r="CS24" i="16"/>
  <c r="CR24" i="16"/>
  <c r="CQ24" i="16"/>
  <c r="CP24" i="16"/>
  <c r="CO24" i="16"/>
  <c r="CN24" i="16"/>
  <c r="CM24" i="16"/>
  <c r="CA24" i="16"/>
  <c r="BZ24" i="16"/>
  <c r="BY24" i="16"/>
  <c r="BU24" i="16"/>
  <c r="BT24" i="16"/>
  <c r="BQ24" i="16"/>
  <c r="BO24" i="16"/>
  <c r="BF24" i="16"/>
  <c r="BE24" i="16"/>
  <c r="BB24" i="16"/>
  <c r="AW24" i="16"/>
  <c r="AV24" i="16"/>
  <c r="AU24" i="16"/>
  <c r="AT24" i="16"/>
  <c r="AH24" i="16"/>
  <c r="AG24" i="16"/>
  <c r="AF24" i="16"/>
  <c r="AE24" i="16"/>
  <c r="AD24" i="16"/>
  <c r="AC24" i="16"/>
  <c r="Y24" i="16"/>
  <c r="M24" i="16"/>
  <c r="L24" i="16"/>
  <c r="K24" i="16"/>
  <c r="J24" i="16"/>
  <c r="I24" i="16"/>
  <c r="F24" i="16"/>
  <c r="CF24" i="16"/>
  <c r="CT20" i="16"/>
  <c r="CS20" i="16"/>
  <c r="CR20" i="16"/>
  <c r="CB20" i="16"/>
  <c r="BX20" i="16"/>
  <c r="BW20" i="16"/>
  <c r="BG20" i="16"/>
  <c r="BF20" i="16"/>
  <c r="AZ20" i="16"/>
  <c r="AI20" i="16"/>
  <c r="AH20" i="16"/>
  <c r="AG20" i="16"/>
  <c r="N20" i="16"/>
  <c r="M20" i="16"/>
  <c r="L20" i="16"/>
  <c r="CE20" i="16"/>
  <c r="CS10" i="16"/>
  <c r="CP10" i="16"/>
  <c r="BU10" i="16"/>
  <c r="BT10" i="16"/>
  <c r="BC10" i="16"/>
  <c r="BB10" i="16"/>
  <c r="AH10" i="16"/>
  <c r="AE10" i="16"/>
  <c r="J10" i="16"/>
  <c r="I10" i="16"/>
  <c r="BQ10" i="16"/>
  <c r="CW119" i="15"/>
  <c r="CU119" i="15"/>
  <c r="CR119" i="15"/>
  <c r="CM119" i="15"/>
  <c r="CL119" i="15"/>
  <c r="CK119" i="15"/>
  <c r="CJ119" i="15"/>
  <c r="CD119" i="15"/>
  <c r="CA119" i="15"/>
  <c r="BZ119" i="15"/>
  <c r="BW119" i="15"/>
  <c r="BT119" i="15"/>
  <c r="BR119" i="15"/>
  <c r="BQ119" i="15"/>
  <c r="BM119" i="15"/>
  <c r="BK119" i="15"/>
  <c r="BH119" i="15"/>
  <c r="BC119" i="15"/>
  <c r="BB119" i="15"/>
  <c r="BA119" i="15"/>
  <c r="AZ119" i="15"/>
  <c r="AT119" i="15"/>
  <c r="AQ119" i="15"/>
  <c r="AP119" i="15"/>
  <c r="AM119" i="15"/>
  <c r="AJ119" i="15"/>
  <c r="AH119" i="15"/>
  <c r="AG119" i="15"/>
  <c r="AC119" i="15"/>
  <c r="AA119" i="15"/>
  <c r="X119" i="15"/>
  <c r="S119" i="15"/>
  <c r="R119" i="15"/>
  <c r="Q119" i="15"/>
  <c r="P119" i="15"/>
  <c r="K119" i="15"/>
  <c r="I119" i="15"/>
  <c r="G119" i="15"/>
  <c r="D119" i="15"/>
  <c r="C119" i="15"/>
  <c r="CQ115" i="15"/>
  <c r="CO115" i="15"/>
  <c r="CN115" i="15"/>
  <c r="CI115" i="15"/>
  <c r="CH115" i="15"/>
  <c r="CG115" i="15"/>
  <c r="CF115" i="15"/>
  <c r="CC115" i="15"/>
  <c r="CA115" i="15"/>
  <c r="BS115" i="15"/>
  <c r="BR115" i="15"/>
  <c r="BO115" i="15"/>
  <c r="BK115" i="15"/>
  <c r="BJ115" i="15"/>
  <c r="BG115" i="15"/>
  <c r="BF115" i="15"/>
  <c r="BE115" i="15"/>
  <c r="BD115" i="15"/>
  <c r="AS115" i="15"/>
  <c r="AR115" i="15"/>
  <c r="AQ115" i="15"/>
  <c r="AP115" i="15"/>
  <c r="AK115" i="15"/>
  <c r="AI115" i="15"/>
  <c r="AH115" i="15"/>
  <c r="AE115" i="15"/>
  <c r="AD115" i="15"/>
  <c r="U115" i="15"/>
  <c r="T115" i="15"/>
  <c r="O115" i="15"/>
  <c r="N115" i="15"/>
  <c r="M115" i="15"/>
  <c r="L115" i="15"/>
  <c r="I115" i="15"/>
  <c r="G115" i="15"/>
  <c r="F115" i="15"/>
  <c r="CX115" i="15"/>
  <c r="CY115" i="15"/>
  <c r="CV110" i="15"/>
  <c r="BV110" i="15"/>
  <c r="BU110" i="15"/>
  <c r="BM110" i="15"/>
  <c r="BL110" i="15"/>
  <c r="BI110" i="15"/>
  <c r="BH110" i="15"/>
  <c r="AX110" i="15"/>
  <c r="AK110" i="15"/>
  <c r="AJ110" i="15"/>
  <c r="U110" i="15"/>
  <c r="O110" i="15"/>
  <c r="N110" i="15"/>
  <c r="CN110" i="15"/>
  <c r="BH99" i="15"/>
  <c r="CY95" i="15"/>
  <c r="CX95" i="15"/>
  <c r="CU95" i="15"/>
  <c r="CT95" i="15"/>
  <c r="CR95" i="15"/>
  <c r="CQ95" i="15"/>
  <c r="CN95" i="15"/>
  <c r="CL95" i="15"/>
  <c r="CK95" i="15"/>
  <c r="CH95" i="15"/>
  <c r="CF95" i="15"/>
  <c r="CE95" i="15"/>
  <c r="CD95" i="15"/>
  <c r="CA95" i="15"/>
  <c r="BY95" i="15"/>
  <c r="BX95" i="15"/>
  <c r="BT95" i="15"/>
  <c r="BS95" i="15"/>
  <c r="BR95" i="15"/>
  <c r="BQ95" i="15"/>
  <c r="BN95" i="15"/>
  <c r="BL95" i="15"/>
  <c r="BK95" i="15"/>
  <c r="BG95" i="15"/>
  <c r="BF95" i="15"/>
  <c r="BE95" i="15"/>
  <c r="BD95" i="15"/>
  <c r="BA95" i="15"/>
  <c r="AY95" i="15"/>
  <c r="AX95" i="15"/>
  <c r="AT95" i="15"/>
  <c r="AS95" i="15"/>
  <c r="AR95" i="15"/>
  <c r="AQ95" i="15"/>
  <c r="AN95" i="15"/>
  <c r="AL95" i="15"/>
  <c r="AJ95" i="15"/>
  <c r="AG95" i="15"/>
  <c r="AF95" i="15"/>
  <c r="AE95" i="15"/>
  <c r="AD95" i="15"/>
  <c r="AA95" i="15"/>
  <c r="X95" i="15"/>
  <c r="W95" i="15"/>
  <c r="T95" i="15"/>
  <c r="S95" i="15"/>
  <c r="R95" i="15"/>
  <c r="Q95" i="15"/>
  <c r="N95" i="15"/>
  <c r="K95" i="15"/>
  <c r="J95" i="15"/>
  <c r="G95" i="15"/>
  <c r="F95" i="15"/>
  <c r="E95" i="15"/>
  <c r="D95" i="15"/>
  <c r="CY92" i="15"/>
  <c r="CX92" i="15"/>
  <c r="CO92" i="15"/>
  <c r="CL92" i="15"/>
  <c r="CJ92" i="15"/>
  <c r="CI92" i="15"/>
  <c r="CE92" i="15"/>
  <c r="CC92" i="15"/>
  <c r="CB92" i="15"/>
  <c r="BR92" i="15"/>
  <c r="BP92" i="15"/>
  <c r="BL92" i="15"/>
  <c r="BK92" i="15"/>
  <c r="BJ92" i="15"/>
  <c r="BH92" i="15"/>
  <c r="BE92" i="15"/>
  <c r="AV92" i="15"/>
  <c r="AU92" i="15"/>
  <c r="AP92" i="15"/>
  <c r="AO92" i="15"/>
  <c r="AN92" i="15"/>
  <c r="AL92" i="15"/>
  <c r="AJ92" i="15"/>
  <c r="AB92" i="15"/>
  <c r="AA92" i="15"/>
  <c r="W92" i="15"/>
  <c r="V92" i="15"/>
  <c r="U92" i="15"/>
  <c r="R92" i="15"/>
  <c r="Q92" i="15"/>
  <c r="J92" i="15"/>
  <c r="I92" i="15"/>
  <c r="E92" i="15"/>
  <c r="D92" i="15"/>
  <c r="C92" i="15"/>
  <c r="CW92" i="15"/>
  <c r="CZ92" i="15"/>
  <c r="CY88" i="15"/>
  <c r="CX88" i="15"/>
  <c r="CW88" i="15"/>
  <c r="CI88" i="15"/>
  <c r="CH88" i="15"/>
  <c r="CF88" i="15"/>
  <c r="BY88" i="15"/>
  <c r="BW88" i="15"/>
  <c r="BU88" i="15"/>
  <c r="BT88" i="15"/>
  <c r="BH88" i="15"/>
  <c r="BF88" i="15"/>
  <c r="BD88" i="15"/>
  <c r="BC88" i="15"/>
  <c r="AY88" i="15"/>
  <c r="AT88" i="15"/>
  <c r="AS88" i="15"/>
  <c r="AJ88" i="15"/>
  <c r="AE88" i="15"/>
  <c r="Y88" i="15"/>
  <c r="X88" i="15"/>
  <c r="W88" i="15"/>
  <c r="V88" i="15"/>
  <c r="U88" i="15"/>
  <c r="H88" i="15"/>
  <c r="G88" i="15"/>
  <c r="CZ88" i="15"/>
  <c r="CZ81" i="15"/>
  <c r="CY81" i="15"/>
  <c r="CX81" i="15"/>
  <c r="CW81" i="15"/>
  <c r="CU81" i="15"/>
  <c r="CS81" i="15"/>
  <c r="CO81" i="15"/>
  <c r="CN81" i="15"/>
  <c r="CM81" i="15"/>
  <c r="CL81" i="15"/>
  <c r="CK81" i="15"/>
  <c r="CI81" i="15"/>
  <c r="CH81" i="15"/>
  <c r="CG81" i="15"/>
  <c r="CF81" i="15"/>
  <c r="CB81" i="15"/>
  <c r="BZ81" i="15"/>
  <c r="BY81" i="15"/>
  <c r="BW81" i="15"/>
  <c r="BV81" i="15"/>
  <c r="BU81" i="15"/>
  <c r="BT81" i="15"/>
  <c r="BS81" i="15"/>
  <c r="BP81" i="15"/>
  <c r="BO81" i="15"/>
  <c r="BM81" i="15"/>
  <c r="BJ81" i="15"/>
  <c r="BI81" i="15"/>
  <c r="BH81" i="15"/>
  <c r="BG81" i="15"/>
  <c r="BF81" i="15"/>
  <c r="BC81" i="15"/>
  <c r="BB81" i="15"/>
  <c r="BA81" i="15"/>
  <c r="AY81" i="15"/>
  <c r="AW81" i="15"/>
  <c r="AU81" i="15"/>
  <c r="AT81" i="15"/>
  <c r="AS81" i="15"/>
  <c r="AP81" i="15"/>
  <c r="AO81" i="15"/>
  <c r="AM81" i="15"/>
  <c r="AL81" i="15"/>
  <c r="AK81" i="15"/>
  <c r="AJ81" i="15"/>
  <c r="AH81" i="15"/>
  <c r="AF81" i="15"/>
  <c r="AC81" i="15"/>
  <c r="AA81" i="15"/>
  <c r="Z81" i="15"/>
  <c r="Y81" i="15"/>
  <c r="X81" i="15"/>
  <c r="W81" i="15"/>
  <c r="V81" i="15"/>
  <c r="U81" i="15"/>
  <c r="S81" i="15"/>
  <c r="N81" i="15"/>
  <c r="M81" i="15"/>
  <c r="L81" i="15"/>
  <c r="K81" i="15"/>
  <c r="J81" i="15"/>
  <c r="I81" i="15"/>
  <c r="H81" i="15"/>
  <c r="G81" i="15"/>
  <c r="F81" i="15"/>
  <c r="CY79" i="15"/>
  <c r="CC79" i="15"/>
  <c r="CB79" i="15"/>
  <c r="BA79" i="15"/>
  <c r="AX79" i="15"/>
  <c r="CJ79" i="15"/>
  <c r="CI71" i="15"/>
  <c r="AY71" i="15"/>
  <c r="AC71" i="15"/>
  <c r="BD71" i="15"/>
  <c r="CJ59" i="15"/>
  <c r="CH59" i="15"/>
  <c r="CG59" i="15"/>
  <c r="CF59" i="15"/>
  <c r="BW59" i="15"/>
  <c r="BV59" i="15"/>
  <c r="BG59" i="15"/>
  <c r="BC59" i="15"/>
  <c r="BB59" i="15"/>
  <c r="AX59" i="15"/>
  <c r="AW59" i="15"/>
  <c r="AV59" i="15"/>
  <c r="AF59" i="15"/>
  <c r="W59" i="15"/>
  <c r="V59" i="15"/>
  <c r="S59" i="15"/>
  <c r="R59" i="15"/>
  <c r="Q59" i="15"/>
  <c r="CI59" i="15"/>
  <c r="CY53" i="15"/>
  <c r="CS53" i="15"/>
  <c r="CR53" i="15"/>
  <c r="CP53" i="15"/>
  <c r="BX53" i="15"/>
  <c r="BT53" i="15"/>
  <c r="BS53" i="15"/>
  <c r="BR53" i="15"/>
  <c r="BI53" i="15"/>
  <c r="AX53" i="15"/>
  <c r="AO53" i="15"/>
  <c r="AK53" i="15"/>
  <c r="AJ53" i="15"/>
  <c r="AI53" i="15"/>
  <c r="T53" i="15"/>
  <c r="J53" i="15"/>
  <c r="I53" i="15"/>
  <c r="G53" i="15"/>
  <c r="E53" i="15"/>
  <c r="CZ53" i="15"/>
  <c r="BB49" i="15"/>
  <c r="CQ47" i="15"/>
  <c r="BE47" i="15"/>
  <c r="AZ47" i="15"/>
  <c r="AL47" i="15"/>
  <c r="AH47" i="15"/>
  <c r="AF47" i="15"/>
  <c r="BD47" i="15"/>
  <c r="CV40" i="15"/>
  <c r="CP40" i="15"/>
  <c r="CA40" i="15"/>
  <c r="BP40" i="15"/>
  <c r="BK40" i="15"/>
  <c r="AV40" i="15"/>
  <c r="AN40" i="15"/>
  <c r="AM40" i="15"/>
  <c r="U40" i="15"/>
  <c r="P40" i="15"/>
  <c r="J40" i="15"/>
  <c r="CG37" i="15"/>
  <c r="BO37" i="15"/>
  <c r="BJ37" i="15"/>
  <c r="AQ37" i="15"/>
  <c r="X37" i="15"/>
  <c r="T37" i="15"/>
  <c r="CO34" i="15"/>
  <c r="CM34" i="15"/>
  <c r="CH34" i="15"/>
  <c r="CF34" i="15"/>
  <c r="BU34" i="15"/>
  <c r="BS34" i="15"/>
  <c r="BP34" i="15"/>
  <c r="BO34" i="15"/>
  <c r="BE34" i="15"/>
  <c r="BC34" i="15"/>
  <c r="BA34" i="15"/>
  <c r="AY34" i="15"/>
  <c r="AN34" i="15"/>
  <c r="AL34" i="15"/>
  <c r="AF34" i="15"/>
  <c r="AE34" i="15"/>
  <c r="U34" i="15"/>
  <c r="S34" i="15"/>
  <c r="Q34" i="15"/>
  <c r="O34" i="15"/>
  <c r="D34" i="15"/>
  <c r="CT27" i="15"/>
  <c r="CD27" i="15"/>
  <c r="BV27" i="15"/>
  <c r="BU27" i="15"/>
  <c r="BT27" i="15"/>
  <c r="BJ27" i="15"/>
  <c r="AT27" i="15"/>
  <c r="AO27" i="15"/>
  <c r="AK27" i="15"/>
  <c r="AJ27" i="15"/>
  <c r="AC27" i="15"/>
  <c r="J27" i="15"/>
  <c r="E27" i="15"/>
  <c r="D27" i="15"/>
  <c r="C27" i="15"/>
  <c r="CJ24" i="15"/>
  <c r="CH24" i="15"/>
  <c r="BO24" i="15"/>
  <c r="AZ24" i="15"/>
  <c r="AX24" i="15"/>
  <c r="AH24" i="15"/>
  <c r="T24" i="15"/>
  <c r="N24" i="15"/>
  <c r="CV24" i="15"/>
  <c r="CY24" i="15"/>
  <c r="BZ20" i="15"/>
  <c r="BW20" i="15"/>
  <c r="AT20" i="15"/>
  <c r="AR20" i="15"/>
  <c r="O20" i="15"/>
  <c r="N20" i="15"/>
  <c r="CR10" i="15"/>
  <c r="CP10" i="15"/>
  <c r="CO10" i="15"/>
  <c r="CN10" i="15"/>
  <c r="CK10" i="15"/>
  <c r="CJ10" i="15"/>
  <c r="CB10" i="15"/>
  <c r="BX10" i="15"/>
  <c r="BW10" i="15"/>
  <c r="BP10" i="15"/>
  <c r="BN10" i="15"/>
  <c r="BL10" i="15"/>
  <c r="BK10" i="15"/>
  <c r="BJ10" i="15"/>
  <c r="BI10" i="15"/>
  <c r="AZ10" i="15"/>
  <c r="AX10" i="15"/>
  <c r="AW10" i="15"/>
  <c r="AP10" i="15"/>
  <c r="AM10" i="15"/>
  <c r="AL10" i="15"/>
  <c r="AK10" i="15"/>
  <c r="AJ10" i="15"/>
  <c r="AI10" i="15"/>
  <c r="Z10" i="15"/>
  <c r="X10" i="15"/>
  <c r="W10" i="15"/>
  <c r="O10" i="15"/>
  <c r="M10" i="15"/>
  <c r="L10" i="15"/>
  <c r="K10" i="15"/>
  <c r="J10" i="15"/>
  <c r="I10" i="15"/>
  <c r="BY119" i="14"/>
  <c r="BK119" i="14"/>
  <c r="AZ119" i="14"/>
  <c r="AJ119" i="14"/>
  <c r="AI119" i="14"/>
  <c r="CC119" i="14"/>
  <c r="AU115" i="14"/>
  <c r="AQ115" i="14"/>
  <c r="AM115" i="14"/>
  <c r="CO115" i="14"/>
  <c r="CZ110" i="14"/>
  <c r="CW110" i="14"/>
  <c r="CU110" i="14"/>
  <c r="CT110" i="14"/>
  <c r="CS110" i="14"/>
  <c r="CR110" i="14"/>
  <c r="CM110" i="14"/>
  <c r="CA110" i="14"/>
  <c r="BZ110" i="14"/>
  <c r="BY110" i="14"/>
  <c r="BQ110" i="14"/>
  <c r="BO110" i="14"/>
  <c r="BN110" i="14"/>
  <c r="BM110" i="14"/>
  <c r="BC110" i="14"/>
  <c r="AZ110" i="14"/>
  <c r="AX110" i="14"/>
  <c r="AW110" i="14"/>
  <c r="AV110" i="14"/>
  <c r="AQ110" i="14"/>
  <c r="AO110" i="14"/>
  <c r="AN110" i="14"/>
  <c r="AA110" i="14"/>
  <c r="Z110" i="14"/>
  <c r="Y110" i="14"/>
  <c r="X110" i="14"/>
  <c r="U110" i="14"/>
  <c r="T110" i="14"/>
  <c r="S110" i="14"/>
  <c r="M110" i="14"/>
  <c r="E110" i="14"/>
  <c r="D110" i="14"/>
  <c r="CI110" i="14"/>
  <c r="CK99" i="14"/>
  <c r="BM99" i="14"/>
  <c r="BL99" i="14"/>
  <c r="R99" i="14"/>
  <c r="Q99" i="14"/>
  <c r="N99" i="14"/>
  <c r="CZ95" i="14"/>
  <c r="CY95" i="14"/>
  <c r="CX95" i="14"/>
  <c r="CW95" i="14"/>
  <c r="CV95" i="14"/>
  <c r="CU95" i="14"/>
  <c r="CP95" i="14"/>
  <c r="CM95" i="14"/>
  <c r="CL95" i="14"/>
  <c r="CK95" i="14"/>
  <c r="CJ95" i="14"/>
  <c r="CI95" i="14"/>
  <c r="CF95" i="14"/>
  <c r="CE95" i="14"/>
  <c r="CB95" i="14"/>
  <c r="BZ95" i="14"/>
  <c r="BY95" i="14"/>
  <c r="BX95" i="14"/>
  <c r="BT95" i="14"/>
  <c r="BS95" i="14"/>
  <c r="BR95" i="14"/>
  <c r="BQ95" i="14"/>
  <c r="BN95" i="14"/>
  <c r="BL95" i="14"/>
  <c r="BK95" i="14"/>
  <c r="BH95" i="14"/>
  <c r="BG95" i="14"/>
  <c r="BF95" i="14"/>
  <c r="BE95" i="14"/>
  <c r="BC95" i="14"/>
  <c r="AZ95" i="14"/>
  <c r="AV95" i="14"/>
  <c r="AU95" i="14"/>
  <c r="AT95" i="14"/>
  <c r="AS95" i="14"/>
  <c r="AR95" i="14"/>
  <c r="AQ95" i="14"/>
  <c r="AP95" i="14"/>
  <c r="AO95" i="14"/>
  <c r="AJ95" i="14"/>
  <c r="AG95" i="14"/>
  <c r="AF95" i="14"/>
  <c r="AE95" i="14"/>
  <c r="AD95" i="14"/>
  <c r="AC95" i="14"/>
  <c r="AB95" i="14"/>
  <c r="AA95" i="14"/>
  <c r="V95" i="14"/>
  <c r="T95" i="14"/>
  <c r="S95" i="14"/>
  <c r="R95" i="14"/>
  <c r="P95" i="14"/>
  <c r="O95" i="14"/>
  <c r="L95" i="14"/>
  <c r="K95" i="14"/>
  <c r="H95" i="14"/>
  <c r="F95" i="14"/>
  <c r="E95" i="14"/>
  <c r="D95" i="14"/>
  <c r="C95" i="14"/>
  <c r="CV92" i="14"/>
  <c r="CU92" i="14"/>
  <c r="CR92" i="14"/>
  <c r="BX92" i="14"/>
  <c r="BR92" i="14"/>
  <c r="BP92" i="14"/>
  <c r="AA92" i="14"/>
  <c r="X92" i="14"/>
  <c r="W92" i="14"/>
  <c r="V92" i="14"/>
  <c r="U92" i="14"/>
  <c r="D92" i="14"/>
  <c r="CZ92" i="14"/>
  <c r="CI81" i="14"/>
  <c r="CG81" i="14"/>
  <c r="CF81" i="14"/>
  <c r="CC81" i="14"/>
  <c r="BO81" i="14"/>
  <c r="BJ81" i="14"/>
  <c r="BI81" i="14"/>
  <c r="BH81" i="14"/>
  <c r="AV81" i="14"/>
  <c r="AS81" i="14"/>
  <c r="Z81" i="14"/>
  <c r="U81" i="14"/>
  <c r="S81" i="14"/>
  <c r="R81" i="14"/>
  <c r="O81" i="14"/>
  <c r="N81" i="14"/>
  <c r="M81" i="14"/>
  <c r="CC79" i="14"/>
  <c r="BX79" i="14"/>
  <c r="BL79" i="14"/>
  <c r="BK79" i="14"/>
  <c r="AB79" i="14"/>
  <c r="R79" i="14"/>
  <c r="Q79" i="14"/>
  <c r="L79" i="14"/>
  <c r="CX71" i="14"/>
  <c r="CF71" i="14"/>
  <c r="CC71" i="14"/>
  <c r="BS71" i="14"/>
  <c r="BP71" i="14"/>
  <c r="BM71" i="14"/>
  <c r="BL71" i="14"/>
  <c r="BB71" i="14"/>
  <c r="BA71" i="14"/>
  <c r="AW71" i="14"/>
  <c r="AE71" i="14"/>
  <c r="AD71" i="14"/>
  <c r="AC71" i="14"/>
  <c r="AB71" i="14"/>
  <c r="AA71" i="14"/>
  <c r="R71" i="14"/>
  <c r="O71" i="14"/>
  <c r="CU59" i="14"/>
  <c r="CS59" i="14"/>
  <c r="CR59" i="14"/>
  <c r="CO59" i="14"/>
  <c r="CM59" i="14"/>
  <c r="CL59" i="14"/>
  <c r="CB59" i="14"/>
  <c r="BW59" i="14"/>
  <c r="BV59" i="14"/>
  <c r="BU59" i="14"/>
  <c r="BL59" i="14"/>
  <c r="BK59" i="14"/>
  <c r="BI59" i="14"/>
  <c r="BF59" i="14"/>
  <c r="AU59" i="14"/>
  <c r="AT59" i="14"/>
  <c r="AS59" i="14"/>
  <c r="AR59" i="14"/>
  <c r="AN59" i="14"/>
  <c r="AL59" i="14"/>
  <c r="AK59" i="14"/>
  <c r="AB59" i="14"/>
  <c r="X59" i="14"/>
  <c r="V59" i="14"/>
  <c r="N59" i="14"/>
  <c r="M59" i="14"/>
  <c r="L59" i="14"/>
  <c r="K59" i="14"/>
  <c r="H59" i="14"/>
  <c r="CZ53" i="14"/>
  <c r="CY53" i="14"/>
  <c r="CB53" i="14"/>
  <c r="CA53" i="14"/>
  <c r="BS53" i="14"/>
  <c r="BP53" i="14"/>
  <c r="AK53" i="14"/>
  <c r="AI53" i="14"/>
  <c r="AH53" i="14"/>
  <c r="AG53" i="14"/>
  <c r="F53" i="14"/>
  <c r="E53" i="14"/>
  <c r="D53" i="14"/>
  <c r="CV49" i="14"/>
  <c r="CR49" i="14"/>
  <c r="BF49" i="14"/>
  <c r="BE49" i="14"/>
  <c r="Y49" i="14"/>
  <c r="V49" i="14"/>
  <c r="CQ47" i="14"/>
  <c r="CP47" i="14"/>
  <c r="BU47" i="14"/>
  <c r="BO47" i="14"/>
  <c r="BN47" i="14"/>
  <c r="BM47" i="14"/>
  <c r="BL47" i="14"/>
  <c r="AR47" i="14"/>
  <c r="AK47" i="14"/>
  <c r="AH47" i="14"/>
  <c r="AE47" i="14"/>
  <c r="AD47" i="14"/>
  <c r="F47" i="14"/>
  <c r="E47" i="14"/>
  <c r="D47" i="14"/>
  <c r="CZ99" i="12"/>
  <c r="CV99" i="12"/>
  <c r="CU99" i="12"/>
  <c r="CP99" i="12"/>
  <c r="CH99" i="12"/>
  <c r="CF99" i="12"/>
  <c r="BO99" i="12"/>
  <c r="BH99" i="12"/>
  <c r="BE99" i="12"/>
  <c r="BC99" i="12"/>
  <c r="AS99" i="12"/>
  <c r="AO99" i="12"/>
  <c r="AB99" i="12"/>
  <c r="Z99" i="12"/>
  <c r="V99" i="12"/>
  <c r="P99" i="12"/>
  <c r="I99" i="12"/>
  <c r="CY99" i="12"/>
  <c r="CU95" i="12"/>
  <c r="CJ95" i="12"/>
  <c r="CD95" i="12"/>
  <c r="CC95" i="12"/>
  <c r="CA95" i="12"/>
  <c r="BO95" i="12"/>
  <c r="BM95" i="12"/>
  <c r="BK95" i="12"/>
  <c r="BI95" i="12"/>
  <c r="BF95" i="12"/>
  <c r="AU95" i="12"/>
  <c r="AQ95" i="12"/>
  <c r="AN95" i="12"/>
  <c r="AD95" i="12"/>
  <c r="AC95" i="12"/>
  <c r="AB95" i="12"/>
  <c r="AA95" i="12"/>
  <c r="L95" i="12"/>
  <c r="H95" i="12"/>
  <c r="G95" i="12"/>
  <c r="C95" i="12"/>
  <c r="CU92" i="12"/>
  <c r="CS92" i="12"/>
  <c r="CQ92" i="12"/>
  <c r="CK92" i="12"/>
  <c r="CI92" i="12"/>
  <c r="CD92" i="12"/>
  <c r="CA92" i="12"/>
  <c r="BS92" i="12"/>
  <c r="BR92" i="12"/>
  <c r="BN92" i="12"/>
  <c r="BM92" i="12"/>
  <c r="BB92" i="12"/>
  <c r="AY92" i="12"/>
  <c r="AW92" i="12"/>
  <c r="AU92" i="12"/>
  <c r="AT92" i="12"/>
  <c r="AR92" i="12"/>
  <c r="AJ92" i="12"/>
  <c r="AE92" i="12"/>
  <c r="AB92" i="12"/>
  <c r="S92" i="12"/>
  <c r="R92" i="12"/>
  <c r="Q92" i="12"/>
  <c r="O92" i="12"/>
  <c r="M92" i="12"/>
  <c r="CR92" i="12"/>
  <c r="CY92" i="12"/>
  <c r="CP88" i="12"/>
  <c r="CL88" i="12"/>
  <c r="BZ88" i="12"/>
  <c r="BU88" i="12"/>
  <c r="BO88" i="12"/>
  <c r="BL88" i="12"/>
  <c r="AR88" i="12"/>
  <c r="AP88" i="12"/>
  <c r="AK88" i="12"/>
  <c r="AA88" i="12"/>
  <c r="V88" i="12"/>
  <c r="U88" i="12"/>
  <c r="G88" i="12"/>
  <c r="CN95" i="19"/>
  <c r="CJ95" i="19"/>
  <c r="CH95" i="19"/>
  <c r="CC95" i="19"/>
  <c r="BX95" i="19"/>
  <c r="BV95" i="19"/>
  <c r="BS95" i="19"/>
  <c r="BN95" i="19"/>
  <c r="BH95" i="19"/>
  <c r="BF95" i="19"/>
  <c r="BD95" i="19"/>
  <c r="BA95" i="19"/>
  <c r="AV95" i="19"/>
  <c r="AT95" i="19"/>
  <c r="AQ95" i="19"/>
  <c r="AN95" i="19"/>
  <c r="AJ95" i="19"/>
  <c r="AG95" i="19"/>
  <c r="AE95" i="19"/>
  <c r="AB95" i="19"/>
  <c r="W95" i="19"/>
  <c r="U95" i="19"/>
  <c r="R95" i="19"/>
  <c r="P95" i="19"/>
  <c r="N95" i="19"/>
  <c r="H95" i="19"/>
  <c r="F95" i="19"/>
  <c r="D95" i="19"/>
  <c r="CZ92" i="19"/>
  <c r="CY92" i="19"/>
  <c r="CX92" i="19"/>
  <c r="CP92" i="19"/>
  <c r="CN92" i="19"/>
  <c r="BW92" i="19"/>
  <c r="BV92" i="19"/>
  <c r="BS92" i="19"/>
  <c r="BJ92" i="19"/>
  <c r="BH92" i="19"/>
  <c r="AZ92" i="19"/>
  <c r="AF92" i="19"/>
  <c r="U92" i="19"/>
  <c r="S92" i="19"/>
  <c r="CT88" i="19"/>
  <c r="CA88" i="19"/>
  <c r="BQ88" i="19"/>
  <c r="AR88" i="19"/>
  <c r="AO88" i="19"/>
  <c r="Y88" i="19"/>
  <c r="BJ81" i="19"/>
  <c r="AY81" i="19"/>
  <c r="AT81" i="19"/>
  <c r="AS81" i="19"/>
  <c r="AI81" i="19"/>
  <c r="AH81" i="19"/>
  <c r="V81" i="19"/>
  <c r="M81" i="19"/>
  <c r="F81" i="19"/>
  <c r="AV79" i="19"/>
  <c r="AN79" i="19"/>
  <c r="L79" i="19"/>
  <c r="I79" i="19"/>
  <c r="CE71" i="19"/>
  <c r="BV71" i="19"/>
  <c r="BO71" i="19"/>
  <c r="AU71" i="19"/>
  <c r="AO71" i="19"/>
  <c r="AF71" i="19"/>
  <c r="Y71" i="19"/>
  <c r="F71" i="19"/>
  <c r="BP71" i="19"/>
  <c r="BV59" i="19"/>
  <c r="BO59" i="19"/>
  <c r="AO59" i="19"/>
  <c r="AA59" i="19"/>
  <c r="Y59" i="19"/>
  <c r="CL59" i="19"/>
  <c r="CL53" i="19"/>
  <c r="BH53" i="19"/>
  <c r="R53" i="19"/>
  <c r="CY49" i="19"/>
  <c r="CX49" i="19"/>
  <c r="CV49" i="19"/>
  <c r="CT49" i="19"/>
  <c r="CR49" i="19"/>
  <c r="CQ49" i="19"/>
  <c r="CP49" i="19"/>
  <c r="CO49" i="19"/>
  <c r="CL49" i="19"/>
  <c r="CH49" i="19"/>
  <c r="CD49" i="19"/>
  <c r="CC49" i="19"/>
  <c r="CA49" i="19"/>
  <c r="BX49" i="19"/>
  <c r="BT49" i="19"/>
  <c r="BQ49" i="19"/>
  <c r="BN49" i="19"/>
  <c r="BK49" i="19"/>
  <c r="BG49" i="19"/>
  <c r="BF49" i="19"/>
  <c r="BC49" i="19"/>
  <c r="AZ49" i="19"/>
  <c r="AY49" i="19"/>
  <c r="AT49" i="19"/>
  <c r="AR49" i="19"/>
  <c r="AQ49" i="19"/>
  <c r="AO49" i="19"/>
  <c r="AN49" i="19"/>
  <c r="AM49" i="19"/>
  <c r="AL49" i="19"/>
  <c r="AJ49" i="19"/>
  <c r="AG49" i="19"/>
  <c r="AF49" i="19"/>
  <c r="AE49" i="19"/>
  <c r="AD49" i="19"/>
  <c r="AC49" i="19"/>
  <c r="AA49" i="19"/>
  <c r="Z49" i="19"/>
  <c r="X49" i="19"/>
  <c r="W49" i="19"/>
  <c r="U49" i="19"/>
  <c r="S49" i="19"/>
  <c r="R49" i="19"/>
  <c r="Q49" i="19"/>
  <c r="P49" i="19"/>
  <c r="O49" i="19"/>
  <c r="L49" i="19"/>
  <c r="K49" i="19"/>
  <c r="J49" i="19"/>
  <c r="H49" i="19"/>
  <c r="G49" i="19"/>
  <c r="E49" i="19"/>
  <c r="D49" i="19"/>
  <c r="C49" i="19"/>
  <c r="CZ49" i="19"/>
  <c r="CH47" i="19"/>
  <c r="BM47" i="19"/>
  <c r="AW47" i="19"/>
  <c r="AQ47" i="19"/>
  <c r="O47" i="19"/>
  <c r="CZ40" i="19"/>
  <c r="CK40" i="19"/>
  <c r="CJ40" i="19"/>
  <c r="CF40" i="19"/>
  <c r="BK40" i="19"/>
  <c r="BC40" i="19"/>
  <c r="AS40" i="19"/>
  <c r="Q40" i="19"/>
  <c r="BE37" i="19"/>
  <c r="AC37" i="19"/>
  <c r="E37" i="19"/>
  <c r="CR34" i="19"/>
  <c r="CO34" i="19"/>
  <c r="CJ34" i="19"/>
  <c r="BV34" i="19"/>
  <c r="BT34" i="19"/>
  <c r="BM34" i="19"/>
  <c r="BA34" i="19"/>
  <c r="AY34" i="19"/>
  <c r="AR34" i="19"/>
  <c r="AN34" i="19"/>
  <c r="AC34" i="19"/>
  <c r="Y34" i="19"/>
  <c r="U34" i="19"/>
  <c r="Q34" i="19"/>
  <c r="H34" i="19"/>
  <c r="CY27" i="19"/>
  <c r="CU27" i="19"/>
  <c r="CN27" i="19"/>
  <c r="CM27" i="19"/>
  <c r="CE27" i="19"/>
  <c r="BX27" i="19"/>
  <c r="BW27" i="19"/>
  <c r="BQ27" i="19"/>
  <c r="BE27" i="19"/>
  <c r="BC27" i="19"/>
  <c r="AX27" i="19"/>
  <c r="AW27" i="19"/>
  <c r="AU27" i="19"/>
  <c r="AJ27" i="19"/>
  <c r="AG27" i="19"/>
  <c r="AA27" i="19"/>
  <c r="Z27" i="19"/>
  <c r="R27" i="19"/>
  <c r="M27" i="19"/>
  <c r="G27" i="19"/>
  <c r="E27" i="19"/>
  <c r="BZ24" i="19"/>
  <c r="AR24" i="19"/>
  <c r="CI24" i="19"/>
  <c r="AX20" i="19"/>
  <c r="V20" i="19"/>
  <c r="BV10" i="19"/>
  <c r="BT10" i="19"/>
  <c r="BD10" i="19"/>
  <c r="AS10" i="19"/>
  <c r="AC10" i="19"/>
  <c r="U10" i="19"/>
  <c r="T10" i="19"/>
  <c r="CN10" i="19"/>
  <c r="BC119" i="18"/>
  <c r="BL115" i="18"/>
  <c r="AZ115" i="18"/>
  <c r="AJ115" i="18"/>
  <c r="X115" i="18"/>
  <c r="F115" i="18"/>
  <c r="CR115" i="18"/>
  <c r="CT110" i="18"/>
  <c r="BV110" i="18"/>
  <c r="BL110" i="18"/>
  <c r="AO110" i="18"/>
  <c r="Z110" i="18"/>
  <c r="M110" i="18"/>
  <c r="CY110" i="18"/>
  <c r="CY99" i="18"/>
  <c r="CT99" i="18"/>
  <c r="CK99" i="18"/>
  <c r="CJ99" i="18"/>
  <c r="BO99" i="18"/>
  <c r="BN99" i="18"/>
  <c r="BD99" i="18"/>
  <c r="AO99" i="18"/>
  <c r="AK99" i="18"/>
  <c r="AB99" i="18"/>
  <c r="L99" i="18"/>
  <c r="J99" i="18"/>
  <c r="CX95" i="18"/>
  <c r="CW95" i="18"/>
  <c r="CV95" i="18"/>
  <c r="CR95" i="18"/>
  <c r="CQ95" i="18"/>
  <c r="CP95" i="18"/>
  <c r="CO95" i="18"/>
  <c r="CN95" i="18"/>
  <c r="CK95" i="18"/>
  <c r="CJ95" i="18"/>
  <c r="CG95" i="18"/>
  <c r="CC95" i="18"/>
  <c r="CA95" i="18"/>
  <c r="BX95" i="18"/>
  <c r="BT95" i="18"/>
  <c r="BQ95" i="18"/>
  <c r="BL95" i="18"/>
  <c r="BI95" i="18"/>
  <c r="BF95" i="18"/>
  <c r="BB95" i="18"/>
  <c r="BA95" i="18"/>
  <c r="AS95" i="18"/>
  <c r="AQ95" i="18"/>
  <c r="AN95" i="18"/>
  <c r="AH95" i="18"/>
  <c r="AF95" i="18"/>
  <c r="AA95" i="18"/>
  <c r="W95" i="18"/>
  <c r="U95" i="18"/>
  <c r="R95" i="18"/>
  <c r="O95" i="18"/>
  <c r="H95" i="18"/>
  <c r="F95" i="18"/>
  <c r="C95" i="18"/>
  <c r="CV92" i="18"/>
  <c r="CS92" i="18"/>
  <c r="CO92" i="18"/>
  <c r="CL92" i="18"/>
  <c r="CI92" i="18"/>
  <c r="CE92" i="18"/>
  <c r="CA92" i="18"/>
  <c r="BX92" i="18"/>
  <c r="BU92" i="18"/>
  <c r="BS92" i="18"/>
  <c r="BM92" i="18"/>
  <c r="BK92" i="18"/>
  <c r="BG92" i="18"/>
  <c r="BE92" i="18"/>
  <c r="BA92" i="18"/>
  <c r="AV92" i="18"/>
  <c r="AS92" i="18"/>
  <c r="AO92" i="18"/>
  <c r="AN92" i="18"/>
  <c r="AI92" i="18"/>
  <c r="AG92" i="18"/>
  <c r="AB92" i="18"/>
  <c r="Y92" i="18"/>
  <c r="U92" i="18"/>
  <c r="S92" i="18"/>
  <c r="P92" i="18"/>
  <c r="K92" i="18"/>
  <c r="H92" i="18"/>
  <c r="C92" i="18"/>
  <c r="CZ92" i="18"/>
  <c r="CH88" i="18"/>
  <c r="BD88" i="18"/>
  <c r="AE88" i="18"/>
  <c r="R88" i="18"/>
  <c r="AL81" i="18"/>
  <c r="W81" i="18"/>
  <c r="F81" i="18"/>
  <c r="CM79" i="18"/>
  <c r="AF79" i="18"/>
  <c r="AE79" i="18"/>
  <c r="CM71" i="18"/>
  <c r="BK71" i="18"/>
  <c r="AV71" i="18"/>
  <c r="AU71" i="18"/>
  <c r="AF71" i="18"/>
  <c r="U71" i="18"/>
  <c r="F71" i="18"/>
  <c r="CZ59" i="18"/>
  <c r="CG59" i="18"/>
  <c r="BW59" i="18"/>
  <c r="BG59" i="18"/>
  <c r="AK59" i="18"/>
  <c r="T59" i="18"/>
  <c r="CY53" i="18"/>
  <c r="CC53" i="18"/>
  <c r="BA53" i="18"/>
  <c r="AW53" i="18"/>
  <c r="Z53" i="18"/>
  <c r="CN53" i="18"/>
  <c r="CS49" i="18"/>
  <c r="CR49" i="18"/>
  <c r="BX49" i="18"/>
  <c r="BU49" i="18"/>
  <c r="BH49" i="18"/>
  <c r="AY49" i="18"/>
  <c r="Z49" i="18"/>
  <c r="R49" i="18"/>
  <c r="E49" i="18"/>
  <c r="CK40" i="18"/>
  <c r="BN40" i="18"/>
  <c r="BB40" i="18"/>
  <c r="AQ40" i="18"/>
  <c r="T40" i="18"/>
  <c r="CL40" i="14"/>
  <c r="CG40" i="14"/>
  <c r="BD40" i="14"/>
  <c r="BC40" i="14"/>
  <c r="AB40" i="14"/>
  <c r="W40" i="14"/>
  <c r="CC40" i="14"/>
  <c r="BZ37" i="14"/>
  <c r="AT37" i="14"/>
  <c r="R37" i="14"/>
  <c r="CX34" i="14"/>
  <c r="CE34" i="14"/>
  <c r="BY34" i="14"/>
  <c r="BX34" i="14"/>
  <c r="BU34" i="14"/>
  <c r="BT34" i="14"/>
  <c r="BC34" i="14"/>
  <c r="AZ34" i="14"/>
  <c r="AV34" i="14"/>
  <c r="AU34" i="14"/>
  <c r="AR34" i="14"/>
  <c r="Y34" i="14"/>
  <c r="S34" i="14"/>
  <c r="R34" i="14"/>
  <c r="Q34" i="14"/>
  <c r="P34" i="14"/>
  <c r="CY27" i="14"/>
  <c r="CW27" i="14"/>
  <c r="BR27" i="14"/>
  <c r="BQ27" i="14"/>
  <c r="AS27" i="14"/>
  <c r="AQ27" i="14"/>
  <c r="L27" i="14"/>
  <c r="K27" i="14"/>
  <c r="CZ24" i="14"/>
  <c r="CY24" i="14"/>
  <c r="CJ24" i="14"/>
  <c r="CG24" i="14"/>
  <c r="CD24" i="14"/>
  <c r="CB24" i="14"/>
  <c r="CA24" i="14"/>
  <c r="BZ24" i="14"/>
  <c r="BU24" i="14"/>
  <c r="BH24" i="14"/>
  <c r="BG24" i="14"/>
  <c r="BB24" i="14"/>
  <c r="AV24" i="14"/>
  <c r="AU24" i="14"/>
  <c r="AT24" i="14"/>
  <c r="AS24" i="14"/>
  <c r="AD24" i="14"/>
  <c r="AC24" i="14"/>
  <c r="X24" i="14"/>
  <c r="V24" i="14"/>
  <c r="U24" i="14"/>
  <c r="T24" i="14"/>
  <c r="Q24" i="14"/>
  <c r="D24" i="14"/>
  <c r="CJ20" i="14"/>
  <c r="CI20" i="14"/>
  <c r="CH20" i="14"/>
  <c r="CG20" i="14"/>
  <c r="BJ20" i="14"/>
  <c r="BI20" i="14"/>
  <c r="BH20" i="14"/>
  <c r="BE20" i="14"/>
  <c r="AF20" i="14"/>
  <c r="AE20" i="14"/>
  <c r="AD20" i="14"/>
  <c r="AB20" i="14"/>
  <c r="H20" i="14"/>
  <c r="G20" i="14"/>
  <c r="F20" i="14"/>
  <c r="CF20" i="14"/>
  <c r="CV119" i="13"/>
  <c r="CU119" i="13"/>
  <c r="CS119" i="13"/>
  <c r="CR119" i="13"/>
  <c r="CQ119" i="13"/>
  <c r="CP119" i="13"/>
  <c r="CO119" i="13"/>
  <c r="CN119" i="13"/>
  <c r="CB119" i="13"/>
  <c r="CA119" i="13"/>
  <c r="BZ119" i="13"/>
  <c r="BU119" i="13"/>
  <c r="BS119" i="13"/>
  <c r="BR119" i="13"/>
  <c r="BM119" i="13"/>
  <c r="BL119" i="13"/>
  <c r="BG119" i="13"/>
  <c r="BE119" i="13"/>
  <c r="BB119" i="13"/>
  <c r="BA119" i="13"/>
  <c r="AQ119" i="13"/>
  <c r="AP119" i="13"/>
  <c r="AO119" i="13"/>
  <c r="AN119" i="13"/>
  <c r="AM119" i="13"/>
  <c r="AK119" i="13"/>
  <c r="AJ119" i="13"/>
  <c r="AH119" i="13"/>
  <c r="W119" i="13"/>
  <c r="U119" i="13"/>
  <c r="T119" i="13"/>
  <c r="Q119" i="13"/>
  <c r="O119" i="13"/>
  <c r="M119" i="13"/>
  <c r="G119" i="13"/>
  <c r="F119" i="13"/>
  <c r="C119" i="13"/>
  <c r="CY119" i="13"/>
  <c r="CX115" i="13"/>
  <c r="CU115" i="13"/>
  <c r="CT115" i="13"/>
  <c r="CS115" i="13"/>
  <c r="CR115" i="13"/>
  <c r="CP115" i="13"/>
  <c r="CO115" i="13"/>
  <c r="CN115" i="13"/>
  <c r="CG115" i="13"/>
  <c r="CE115" i="13"/>
  <c r="CC115" i="13"/>
  <c r="CB115" i="13"/>
  <c r="CA115" i="13"/>
  <c r="BZ115" i="13"/>
  <c r="BX115" i="13"/>
  <c r="BU115" i="13"/>
  <c r="BS115" i="13"/>
  <c r="BO115" i="13"/>
  <c r="BL115" i="13"/>
  <c r="BK115" i="13"/>
  <c r="BJ115" i="13"/>
  <c r="BG115" i="13"/>
  <c r="BE115" i="13"/>
  <c r="BC115" i="13"/>
  <c r="BB115" i="13"/>
  <c r="AZ115" i="13"/>
  <c r="AW115" i="13"/>
  <c r="AS115" i="13"/>
  <c r="AP115" i="13"/>
  <c r="AN115" i="13"/>
  <c r="AM115" i="13"/>
  <c r="AL115" i="13"/>
  <c r="AK115" i="13"/>
  <c r="AJ115" i="13"/>
  <c r="AI115" i="13"/>
  <c r="AA115" i="13"/>
  <c r="Y115" i="13"/>
  <c r="X115" i="13"/>
  <c r="W115" i="13"/>
  <c r="V115" i="13"/>
  <c r="U115" i="13"/>
  <c r="T115" i="13"/>
  <c r="O115" i="13"/>
  <c r="M115" i="13"/>
  <c r="J115" i="13"/>
  <c r="H115" i="13"/>
  <c r="G115" i="13"/>
  <c r="F115" i="13"/>
  <c r="CY110" i="13"/>
  <c r="CW110" i="13"/>
  <c r="CV110" i="13"/>
  <c r="CU110" i="13"/>
  <c r="CF110" i="13"/>
  <c r="CD110" i="13"/>
  <c r="CB110" i="13"/>
  <c r="BR110" i="13"/>
  <c r="BQ110" i="13"/>
  <c r="BP110" i="13"/>
  <c r="AZ110" i="13"/>
  <c r="AY110" i="13"/>
  <c r="AX110" i="13"/>
  <c r="AT110" i="13"/>
  <c r="AR110" i="13"/>
  <c r="AQ110" i="13"/>
  <c r="AP110" i="13"/>
  <c r="Y110" i="13"/>
  <c r="X110" i="13"/>
  <c r="V110" i="13"/>
  <c r="M110" i="13"/>
  <c r="L110" i="13"/>
  <c r="J110" i="13"/>
  <c r="CZ99" i="13"/>
  <c r="CY99" i="13"/>
  <c r="CO99" i="13"/>
  <c r="CH99" i="13"/>
  <c r="CD99" i="13"/>
  <c r="CC99" i="13"/>
  <c r="CB99" i="13"/>
  <c r="CA99" i="13"/>
  <c r="BZ99" i="13"/>
  <c r="BY99" i="13"/>
  <c r="BK99" i="13"/>
  <c r="BJ99" i="13"/>
  <c r="BI99" i="13"/>
  <c r="BD99" i="13"/>
  <c r="BB99" i="13"/>
  <c r="AW99" i="13"/>
  <c r="AV99" i="13"/>
  <c r="AT99" i="13"/>
  <c r="AK99" i="13"/>
  <c r="AB99" i="13"/>
  <c r="Z99" i="13"/>
  <c r="Y99" i="13"/>
  <c r="X99" i="13"/>
  <c r="V99" i="13"/>
  <c r="U99" i="13"/>
  <c r="T99" i="13"/>
  <c r="F99" i="13"/>
  <c r="D99" i="13"/>
  <c r="C99" i="13"/>
  <c r="CX95" i="13"/>
  <c r="CW95" i="13"/>
  <c r="CS95" i="13"/>
  <c r="CQ95" i="13"/>
  <c r="CK95" i="13"/>
  <c r="CJ95" i="13"/>
  <c r="CI95" i="13"/>
  <c r="BQ95" i="13"/>
  <c r="BO95" i="13"/>
  <c r="BL95" i="13"/>
  <c r="BK95" i="13"/>
  <c r="BI95" i="13"/>
  <c r="BH95" i="13"/>
  <c r="AS95" i="13"/>
  <c r="AR95" i="13"/>
  <c r="AO95" i="13"/>
  <c r="AK95" i="13"/>
  <c r="AF95" i="13"/>
  <c r="AE95" i="13"/>
  <c r="AD95" i="13"/>
  <c r="I95" i="13"/>
  <c r="H95" i="13"/>
  <c r="G95" i="13"/>
  <c r="F95" i="13"/>
  <c r="E95" i="13"/>
  <c r="D95" i="13"/>
  <c r="CZ92" i="13"/>
  <c r="CX92" i="13"/>
  <c r="CW92" i="13"/>
  <c r="CV92" i="13"/>
  <c r="CU92" i="13"/>
  <c r="CM92" i="13"/>
  <c r="CL92" i="13"/>
  <c r="CK92" i="13"/>
  <c r="CJ92" i="13"/>
  <c r="CI92" i="13"/>
  <c r="CG92" i="13"/>
  <c r="CF92" i="13"/>
  <c r="CE92" i="13"/>
  <c r="CA92" i="13"/>
  <c r="BY92" i="13"/>
  <c r="BU92" i="13"/>
  <c r="BT92" i="13"/>
  <c r="BS92" i="13"/>
  <c r="BR92" i="13"/>
  <c r="BP92" i="13"/>
  <c r="BM92" i="13"/>
  <c r="BK92" i="13"/>
  <c r="BI92" i="13"/>
  <c r="BH92" i="13"/>
  <c r="BG92" i="13"/>
  <c r="BC92" i="13"/>
  <c r="BB92" i="13"/>
  <c r="AY92" i="13"/>
  <c r="AV92" i="13"/>
  <c r="AU92" i="13"/>
  <c r="AT92" i="13"/>
  <c r="AS92" i="13"/>
  <c r="AR92" i="13"/>
  <c r="AP92" i="13"/>
  <c r="AO92" i="13"/>
  <c r="AH92" i="13"/>
  <c r="AG92" i="13"/>
  <c r="AF92" i="13"/>
  <c r="AE92" i="13"/>
  <c r="AC92" i="13"/>
  <c r="AB92" i="13"/>
  <c r="AA92" i="13"/>
  <c r="Y92" i="13"/>
  <c r="V92" i="13"/>
  <c r="T92" i="13"/>
  <c r="P92" i="13"/>
  <c r="O92" i="13"/>
  <c r="M92" i="13"/>
  <c r="L92" i="13"/>
  <c r="K92" i="13"/>
  <c r="H92" i="13"/>
  <c r="F92" i="13"/>
  <c r="E92" i="13"/>
  <c r="C92" i="13"/>
  <c r="CY92" i="13"/>
  <c r="CH88" i="13"/>
  <c r="CG88" i="13"/>
  <c r="CF88" i="13"/>
  <c r="CE88" i="13"/>
  <c r="AT88" i="13"/>
  <c r="AE88" i="13"/>
  <c r="AD88" i="13"/>
  <c r="AB88" i="13"/>
  <c r="BJ88" i="13"/>
  <c r="CZ81" i="13"/>
  <c r="CX81" i="13"/>
  <c r="CV81" i="13"/>
  <c r="CT81" i="13"/>
  <c r="CS81" i="13"/>
  <c r="CR81" i="13"/>
  <c r="CQ81" i="13"/>
  <c r="CP81" i="13"/>
  <c r="CN81" i="13"/>
  <c r="CM81" i="13"/>
  <c r="CL81" i="13"/>
  <c r="CI81" i="13"/>
  <c r="CH81" i="13"/>
  <c r="CF81" i="13"/>
  <c r="CE81" i="13"/>
  <c r="CD81" i="13"/>
  <c r="CC81" i="13"/>
  <c r="CA81" i="13"/>
  <c r="BZ81" i="13"/>
  <c r="BX81" i="13"/>
  <c r="BW81" i="13"/>
  <c r="BU81" i="13"/>
  <c r="BT81" i="13"/>
  <c r="BR81" i="13"/>
  <c r="BQ81" i="13"/>
  <c r="BP81" i="13"/>
  <c r="BN81" i="13"/>
  <c r="BL81" i="13"/>
  <c r="BK81" i="13"/>
  <c r="BJ81" i="13"/>
  <c r="BI81" i="13"/>
  <c r="BG81" i="13"/>
  <c r="BF81" i="13"/>
  <c r="BD81" i="13"/>
  <c r="BC81" i="13"/>
  <c r="AZ81" i="13"/>
  <c r="AY81" i="13"/>
  <c r="AX81" i="13"/>
  <c r="AW81" i="13"/>
  <c r="AV81" i="13"/>
  <c r="AU81" i="13"/>
  <c r="AS81" i="13"/>
  <c r="AR81" i="13"/>
  <c r="AP81" i="13"/>
  <c r="AM81" i="13"/>
  <c r="AL81" i="13"/>
  <c r="AK81" i="13"/>
  <c r="AJ81" i="13"/>
  <c r="AI81" i="13"/>
  <c r="AH81" i="13"/>
  <c r="AG81" i="13"/>
  <c r="AE81" i="13"/>
  <c r="AD81" i="13"/>
  <c r="Z81" i="13"/>
  <c r="Y81" i="13"/>
  <c r="X81" i="13"/>
  <c r="W81" i="13"/>
  <c r="V81" i="13"/>
  <c r="U81" i="13"/>
  <c r="T81" i="13"/>
  <c r="S81" i="13"/>
  <c r="P81" i="13"/>
  <c r="O81" i="13"/>
  <c r="L81" i="13"/>
  <c r="K81" i="13"/>
  <c r="J81" i="13"/>
  <c r="I81" i="13"/>
  <c r="H81" i="13"/>
  <c r="G81" i="13"/>
  <c r="F81" i="13"/>
  <c r="D81" i="13"/>
  <c r="CX79" i="13"/>
  <c r="CW79" i="13"/>
  <c r="CN79" i="13"/>
  <c r="CL79" i="13"/>
  <c r="CK79" i="13"/>
  <c r="CJ79" i="13"/>
  <c r="CI79" i="13"/>
  <c r="CE79" i="13"/>
  <c r="BU79" i="13"/>
  <c r="BT79" i="13"/>
  <c r="BS79" i="13"/>
  <c r="BR79" i="13"/>
  <c r="BQ79" i="13"/>
  <c r="BP79" i="13"/>
  <c r="BL79" i="13"/>
  <c r="BI79" i="13"/>
  <c r="BD79" i="13"/>
  <c r="AW79" i="13"/>
  <c r="AU79" i="13"/>
  <c r="AT79" i="13"/>
  <c r="AS79" i="13"/>
  <c r="AR79" i="13"/>
  <c r="AI79" i="13"/>
  <c r="AG79" i="13"/>
  <c r="AF79" i="13"/>
  <c r="AE79" i="13"/>
  <c r="AD79" i="13"/>
  <c r="Y79" i="13"/>
  <c r="Q79" i="13"/>
  <c r="P79" i="13"/>
  <c r="M79" i="13"/>
  <c r="L79" i="13"/>
  <c r="K79" i="13"/>
  <c r="J79" i="13"/>
  <c r="G79" i="13"/>
  <c r="E79" i="13"/>
  <c r="CZ79" i="13"/>
  <c r="CY79" i="13"/>
  <c r="CZ71" i="13"/>
  <c r="CS71" i="13"/>
  <c r="CQ71" i="13"/>
  <c r="CA71" i="13"/>
  <c r="BY71" i="13"/>
  <c r="BW71" i="13"/>
  <c r="BV71" i="13"/>
  <c r="BU71" i="13"/>
  <c r="BT71" i="13"/>
  <c r="BS71" i="13"/>
  <c r="BE71" i="13"/>
  <c r="BD71" i="13"/>
  <c r="BA71" i="13"/>
  <c r="AS71" i="13"/>
  <c r="AR71" i="13"/>
  <c r="AQ71" i="13"/>
  <c r="Z71" i="13"/>
  <c r="X71" i="13"/>
  <c r="W71" i="13"/>
  <c r="V71" i="13"/>
  <c r="U71" i="13"/>
  <c r="T71" i="13"/>
  <c r="S71" i="13"/>
  <c r="E71" i="13"/>
  <c r="CX59" i="13"/>
  <c r="BP59" i="13"/>
  <c r="BN59" i="13"/>
  <c r="BM59" i="13"/>
  <c r="R59" i="13"/>
  <c r="Q59" i="13"/>
  <c r="P59" i="13"/>
  <c r="T59" i="13"/>
  <c r="CO53" i="13"/>
  <c r="CN53" i="13"/>
  <c r="BB53" i="13"/>
  <c r="AT53" i="13"/>
  <c r="J53" i="13"/>
  <c r="G53" i="13"/>
  <c r="CZ49" i="13"/>
  <c r="CT49" i="13"/>
  <c r="BY49" i="13"/>
  <c r="BV49" i="13"/>
  <c r="BU49" i="13"/>
  <c r="BM49" i="13"/>
  <c r="BG49" i="13"/>
  <c r="AT49" i="13"/>
  <c r="AD49" i="13"/>
  <c r="AC49" i="13"/>
  <c r="Z49" i="13"/>
  <c r="Y49" i="13"/>
  <c r="CO47" i="13"/>
  <c r="CN47" i="13"/>
  <c r="CM47" i="13"/>
  <c r="CL47" i="13"/>
  <c r="BO47" i="13"/>
  <c r="BM47" i="13"/>
  <c r="BK47" i="13"/>
  <c r="BJ47" i="13"/>
  <c r="AX47" i="13"/>
  <c r="AW47" i="13"/>
  <c r="AF47" i="13"/>
  <c r="X47" i="13"/>
  <c r="W47" i="13"/>
  <c r="V47" i="13"/>
  <c r="U47" i="13"/>
  <c r="T47" i="13"/>
  <c r="E47" i="13"/>
  <c r="CY40" i="13"/>
  <c r="CX40" i="13"/>
  <c r="CR40" i="13"/>
  <c r="CM40" i="13"/>
  <c r="CD40" i="13"/>
  <c r="BY40" i="13"/>
  <c r="BW40" i="13"/>
  <c r="BV40" i="13"/>
  <c r="BU40" i="13"/>
  <c r="BT40" i="13"/>
  <c r="BD40" i="13"/>
  <c r="BC40" i="13"/>
  <c r="AV40" i="13"/>
  <c r="AO40" i="13"/>
  <c r="AM40" i="13"/>
  <c r="AH40" i="13"/>
  <c r="AG40" i="13"/>
  <c r="AE40" i="13"/>
  <c r="O40" i="13"/>
  <c r="N40" i="13"/>
  <c r="L40" i="13"/>
  <c r="K40" i="13"/>
  <c r="E40" i="13"/>
  <c r="CT37" i="13"/>
  <c r="CS37" i="13"/>
  <c r="CR37" i="13"/>
  <c r="CQ37" i="13"/>
  <c r="CP37" i="13"/>
  <c r="CM37" i="13"/>
  <c r="CF37" i="13"/>
  <c r="CE37" i="13"/>
  <c r="CD37" i="13"/>
  <c r="CC37" i="13"/>
  <c r="CB37" i="13"/>
  <c r="CA37" i="13"/>
  <c r="BZ37" i="13"/>
  <c r="BY37" i="13"/>
  <c r="BT37" i="13"/>
  <c r="BP37" i="13"/>
  <c r="BO37" i="13"/>
  <c r="BN37" i="13"/>
  <c r="BM37" i="13"/>
  <c r="BK37" i="13"/>
  <c r="BJ37" i="13"/>
  <c r="BF37" i="13"/>
  <c r="BD37" i="13"/>
  <c r="BC37" i="13"/>
  <c r="BB37" i="13"/>
  <c r="AX37" i="13"/>
  <c r="AW37" i="13"/>
  <c r="AU37" i="13"/>
  <c r="AR37" i="13"/>
  <c r="AP37" i="13"/>
  <c r="AO37" i="13"/>
  <c r="AM37" i="13"/>
  <c r="AL37" i="13"/>
  <c r="AK37" i="13"/>
  <c r="AJ37" i="13"/>
  <c r="AD37" i="13"/>
  <c r="AA37" i="13"/>
  <c r="Z37" i="13"/>
  <c r="Y37" i="13"/>
  <c r="X37" i="13"/>
  <c r="W37" i="13"/>
  <c r="U37" i="13"/>
  <c r="T37" i="13"/>
  <c r="S37" i="13"/>
  <c r="O37" i="13"/>
  <c r="K37" i="13"/>
  <c r="J37" i="13"/>
  <c r="H37" i="13"/>
  <c r="G37" i="13"/>
  <c r="F37" i="13"/>
  <c r="E37" i="13"/>
  <c r="CO34" i="13"/>
  <c r="CN34" i="13"/>
  <c r="CK34" i="13"/>
  <c r="CA34" i="13"/>
  <c r="BY34" i="13"/>
  <c r="BW34" i="13"/>
  <c r="BV34" i="13"/>
  <c r="BG34" i="13"/>
  <c r="BF34" i="13"/>
  <c r="BD34" i="13"/>
  <c r="BA34" i="13"/>
  <c r="AW34" i="13"/>
  <c r="AQ34" i="13"/>
  <c r="AP34" i="13"/>
  <c r="AF34" i="13"/>
  <c r="U34" i="13"/>
  <c r="S34" i="13"/>
  <c r="R34" i="13"/>
  <c r="Q34" i="13"/>
  <c r="O34" i="13"/>
  <c r="N34" i="13"/>
  <c r="BU34" i="13"/>
  <c r="CT34" i="13"/>
  <c r="CM24" i="13"/>
  <c r="CL24" i="13"/>
  <c r="CK24" i="13"/>
  <c r="CD24" i="13"/>
  <c r="CC24" i="13"/>
  <c r="BV24" i="13"/>
  <c r="BR24" i="13"/>
  <c r="BP24" i="13"/>
  <c r="BO24" i="13"/>
  <c r="BK24" i="13"/>
  <c r="BA24" i="13"/>
  <c r="AY24" i="13"/>
  <c r="AW24" i="13"/>
  <c r="AV24" i="13"/>
  <c r="AU24" i="13"/>
  <c r="AT24" i="13"/>
  <c r="AI24" i="13"/>
  <c r="AH24" i="13"/>
  <c r="AA24" i="13"/>
  <c r="Z24" i="13"/>
  <c r="Y24" i="13"/>
  <c r="Q24" i="13"/>
  <c r="M24" i="13"/>
  <c r="L24" i="13"/>
  <c r="K24" i="13"/>
  <c r="J24" i="13"/>
  <c r="I24" i="13"/>
  <c r="CZ24" i="13"/>
  <c r="CR20" i="13"/>
  <c r="CQ20" i="13"/>
  <c r="BU20" i="13"/>
  <c r="BT20" i="13"/>
  <c r="AS20" i="13"/>
  <c r="AP20" i="13"/>
  <c r="N20" i="13"/>
  <c r="M20" i="13"/>
  <c r="BW20" i="13"/>
  <c r="CP20" i="13"/>
  <c r="CZ10" i="13"/>
  <c r="CX10" i="13"/>
  <c r="CW10" i="13"/>
  <c r="CV10" i="13"/>
  <c r="CG10" i="13"/>
  <c r="CC10" i="13"/>
  <c r="BW10" i="13"/>
  <c r="BU10" i="13"/>
  <c r="BT10" i="13"/>
  <c r="BS10" i="13"/>
  <c r="BC10" i="13"/>
  <c r="BA10" i="13"/>
  <c r="AZ10" i="13"/>
  <c r="AY10" i="13"/>
  <c r="AP10" i="13"/>
  <c r="AO10" i="13"/>
  <c r="AA10" i="13"/>
  <c r="X10" i="13"/>
  <c r="W10" i="13"/>
  <c r="V10" i="13"/>
  <c r="U10" i="13"/>
  <c r="T10" i="13"/>
  <c r="F10" i="13"/>
  <c r="CY10" i="13"/>
  <c r="CU10" i="13"/>
  <c r="CY119" i="12"/>
  <c r="CX119" i="12"/>
  <c r="CO119" i="12"/>
  <c r="CG119" i="12"/>
  <c r="CF119" i="12"/>
  <c r="CA119" i="12"/>
  <c r="BN119" i="12"/>
  <c r="BM119" i="12"/>
  <c r="BL119" i="12"/>
  <c r="BK119" i="12"/>
  <c r="BH119" i="12"/>
  <c r="BG119" i="12"/>
  <c r="BE119" i="12"/>
  <c r="BC119" i="12"/>
  <c r="AK119" i="12"/>
  <c r="AJ119" i="12"/>
  <c r="AI119" i="12"/>
  <c r="AH119" i="12"/>
  <c r="V119" i="12"/>
  <c r="U119" i="12"/>
  <c r="S119" i="12"/>
  <c r="Q119" i="12"/>
  <c r="I119" i="12"/>
  <c r="CH115" i="12"/>
  <c r="CF115" i="12"/>
  <c r="BU115" i="12"/>
  <c r="CY110" i="12"/>
  <c r="CX110" i="12"/>
  <c r="CV110" i="12"/>
  <c r="CU110" i="12"/>
  <c r="CP110" i="12"/>
  <c r="CO110" i="12"/>
  <c r="CK110" i="12"/>
  <c r="CI110" i="12"/>
  <c r="CH110" i="12"/>
  <c r="CF110" i="12"/>
  <c r="CD110" i="12"/>
  <c r="CA110" i="12"/>
  <c r="BY110" i="12"/>
  <c r="BX110" i="12"/>
  <c r="BW110" i="12"/>
  <c r="BR110" i="12"/>
  <c r="BP110" i="12"/>
  <c r="BO110" i="12"/>
  <c r="BK110" i="12"/>
  <c r="BJ110" i="12"/>
  <c r="BI110" i="12"/>
  <c r="BH110" i="12"/>
  <c r="BE110" i="12"/>
  <c r="BD110" i="12"/>
  <c r="BA110" i="12"/>
  <c r="AV110" i="12"/>
  <c r="AT110" i="12"/>
  <c r="AR110" i="12"/>
  <c r="AQ110" i="12"/>
  <c r="AP110" i="12"/>
  <c r="AO110" i="12"/>
  <c r="AN110" i="12"/>
  <c r="AL110" i="12"/>
  <c r="AE110" i="12"/>
  <c r="AC110" i="12"/>
  <c r="AB110" i="12"/>
  <c r="AA110" i="12"/>
  <c r="Y110" i="12"/>
  <c r="X110" i="12"/>
  <c r="V110" i="12"/>
  <c r="U110" i="12"/>
  <c r="T110" i="12"/>
  <c r="N110" i="12"/>
  <c r="J110" i="12"/>
  <c r="I110" i="12"/>
  <c r="H110" i="12"/>
  <c r="G110" i="12"/>
  <c r="E110" i="12"/>
  <c r="D110" i="12"/>
  <c r="F81" i="12"/>
  <c r="D81" i="12"/>
  <c r="C81" i="12"/>
  <c r="CC79" i="12"/>
  <c r="CB79" i="12"/>
  <c r="BZ79" i="12"/>
  <c r="AW79" i="12"/>
  <c r="AK79" i="12"/>
  <c r="AI79" i="12"/>
  <c r="AH79" i="12"/>
  <c r="C79" i="12"/>
  <c r="CE79" i="12"/>
  <c r="CK71" i="12"/>
  <c r="BB71" i="12"/>
  <c r="Q71" i="12"/>
  <c r="CH71" i="12"/>
  <c r="CP59" i="12"/>
  <c r="CK59" i="12"/>
  <c r="CG59" i="12"/>
  <c r="CD59" i="12"/>
  <c r="CB59" i="12"/>
  <c r="BW59" i="12"/>
  <c r="BT59" i="12"/>
  <c r="BE59" i="12"/>
  <c r="BD59" i="12"/>
  <c r="BA59" i="12"/>
  <c r="AX59" i="12"/>
  <c r="AU59" i="12"/>
  <c r="AN59" i="12"/>
  <c r="AM59" i="12"/>
  <c r="AB59" i="12"/>
  <c r="V59" i="12"/>
  <c r="P59" i="12"/>
  <c r="O59" i="12"/>
  <c r="M59" i="12"/>
  <c r="K59" i="12"/>
  <c r="H59" i="12"/>
  <c r="CJ53" i="12"/>
  <c r="CH53" i="12"/>
  <c r="BE53" i="12"/>
  <c r="BA53" i="12"/>
  <c r="V53" i="12"/>
  <c r="U53" i="12"/>
  <c r="CV53" i="12"/>
  <c r="CZ49" i="12"/>
  <c r="CY49" i="12"/>
  <c r="CV49" i="12"/>
  <c r="CU49" i="12"/>
  <c r="CT49" i="12"/>
  <c r="CR49" i="12"/>
  <c r="CO49" i="12"/>
  <c r="CI49" i="12"/>
  <c r="CH49" i="12"/>
  <c r="CD49" i="12"/>
  <c r="BY49" i="12"/>
  <c r="BX49" i="12"/>
  <c r="BU49" i="12"/>
  <c r="BR49" i="12"/>
  <c r="BQ49" i="12"/>
  <c r="BL49" i="12"/>
  <c r="BK49" i="12"/>
  <c r="BI49" i="12"/>
  <c r="BH49" i="12"/>
  <c r="BA49" i="12"/>
  <c r="AW49" i="12"/>
  <c r="AV49" i="12"/>
  <c r="AU49" i="12"/>
  <c r="AR49" i="12"/>
  <c r="AQ49" i="12"/>
  <c r="AI49" i="12"/>
  <c r="AH49" i="12"/>
  <c r="AF49" i="12"/>
  <c r="AE49" i="12"/>
  <c r="AC49" i="12"/>
  <c r="AB49" i="12"/>
  <c r="T49" i="12"/>
  <c r="S49" i="12"/>
  <c r="P49" i="12"/>
  <c r="O49" i="12"/>
  <c r="M49" i="12"/>
  <c r="J49" i="12"/>
  <c r="G49" i="12"/>
  <c r="D49" i="12"/>
  <c r="C49" i="12"/>
  <c r="BR47" i="12"/>
  <c r="CW40" i="12"/>
  <c r="CM40" i="12"/>
  <c r="CL40" i="12"/>
  <c r="CJ40" i="12"/>
  <c r="CH40" i="12"/>
  <c r="BT40" i="12"/>
  <c r="BJ40" i="12"/>
  <c r="BH40" i="12"/>
  <c r="BG40" i="12"/>
  <c r="BF40" i="12"/>
  <c r="AR40" i="12"/>
  <c r="AK40" i="12"/>
  <c r="AH40" i="12"/>
  <c r="AF40" i="12"/>
  <c r="AD40" i="12"/>
  <c r="M40" i="12"/>
  <c r="I40" i="12"/>
  <c r="H40" i="12"/>
  <c r="D40" i="12"/>
  <c r="CO37" i="12"/>
  <c r="CN37" i="12"/>
  <c r="CL37" i="12"/>
  <c r="CK37" i="12"/>
  <c r="BV37" i="12"/>
  <c r="BN37" i="12"/>
  <c r="BL37" i="12"/>
  <c r="BJ37" i="12"/>
  <c r="BI37" i="12"/>
  <c r="AT37" i="12"/>
  <c r="AO37" i="12"/>
  <c r="AL37" i="12"/>
  <c r="AI37" i="12"/>
  <c r="AD37" i="12"/>
  <c r="T37" i="12"/>
  <c r="M37" i="12"/>
  <c r="K37" i="12"/>
  <c r="J37" i="12"/>
  <c r="H37" i="12"/>
  <c r="CZ37" i="12"/>
  <c r="CM34" i="12"/>
  <c r="CL34" i="12"/>
  <c r="BJ34" i="12"/>
  <c r="BG34" i="12"/>
  <c r="AK34" i="12"/>
  <c r="AD34" i="12"/>
  <c r="G34" i="12"/>
  <c r="F34" i="12"/>
  <c r="AW34" i="12"/>
  <c r="CT27" i="12"/>
  <c r="CS27" i="12"/>
  <c r="CP27" i="12"/>
  <c r="BR27" i="12"/>
  <c r="BQ27" i="12"/>
  <c r="BO27" i="12"/>
  <c r="AP27" i="12"/>
  <c r="AN27" i="12"/>
  <c r="AJ27" i="12"/>
  <c r="M27" i="12"/>
  <c r="J27" i="12"/>
  <c r="I27" i="12"/>
  <c r="I24" i="12"/>
  <c r="CQ20" i="12"/>
  <c r="CP20" i="12"/>
  <c r="CN20" i="12"/>
  <c r="CM20" i="12"/>
  <c r="BY20" i="12"/>
  <c r="BS20" i="12"/>
  <c r="BR20" i="12"/>
  <c r="BO20" i="12"/>
  <c r="BM20" i="12"/>
  <c r="AZ20" i="12"/>
  <c r="AU20" i="12"/>
  <c r="AS20" i="12"/>
  <c r="AR20" i="12"/>
  <c r="AP20" i="12"/>
  <c r="AE20" i="12"/>
  <c r="V20" i="12"/>
  <c r="U20" i="12"/>
  <c r="S20" i="12"/>
  <c r="R20" i="12"/>
  <c r="F20" i="12"/>
  <c r="AR10" i="12"/>
  <c r="CP119" i="11"/>
  <c r="CO119" i="11"/>
  <c r="CN119" i="11"/>
  <c r="CK119" i="11"/>
  <c r="CH119" i="11"/>
  <c r="CF119" i="11"/>
  <c r="CD119" i="11"/>
  <c r="CC119" i="11"/>
  <c r="BV119" i="11"/>
  <c r="BS119" i="11"/>
  <c r="BR119" i="11"/>
  <c r="BQ119" i="11"/>
  <c r="BP119" i="11"/>
  <c r="BN119" i="11"/>
  <c r="BH119" i="11"/>
  <c r="BG119" i="11"/>
  <c r="BB119" i="11"/>
  <c r="BA119" i="11"/>
  <c r="AZ119" i="11"/>
  <c r="AX119" i="11"/>
  <c r="AT119" i="11"/>
  <c r="AQ119" i="11"/>
  <c r="AP119" i="11"/>
  <c r="AO119" i="11"/>
  <c r="AN119" i="11"/>
  <c r="AE119" i="11"/>
  <c r="AC119" i="11"/>
  <c r="AA119" i="11"/>
  <c r="Z119" i="11"/>
  <c r="X119" i="11"/>
  <c r="W119" i="11"/>
  <c r="U119" i="11"/>
  <c r="T119" i="11"/>
  <c r="L119" i="11"/>
  <c r="J119" i="11"/>
  <c r="H119" i="11"/>
  <c r="F119" i="11"/>
  <c r="D119" i="11"/>
  <c r="C119" i="11"/>
  <c r="CZ119" i="11"/>
  <c r="CY119" i="11"/>
  <c r="CX115" i="11"/>
  <c r="CU115" i="11"/>
  <c r="CT115" i="11"/>
  <c r="CS115" i="11"/>
  <c r="CK115" i="11"/>
  <c r="CI115" i="11"/>
  <c r="CG115" i="11"/>
  <c r="CF115" i="11"/>
  <c r="CE115" i="11"/>
  <c r="CC115" i="11"/>
  <c r="BZ115" i="11"/>
  <c r="BY115" i="11"/>
  <c r="BP115" i="11"/>
  <c r="BO115" i="11"/>
  <c r="BN115" i="11"/>
  <c r="BM115" i="11"/>
  <c r="BK115" i="11"/>
  <c r="BH115" i="11"/>
  <c r="BG115" i="11"/>
  <c r="BC115" i="11"/>
  <c r="BB115" i="11"/>
  <c r="AV115" i="11"/>
  <c r="AT115" i="11"/>
  <c r="AP115" i="11"/>
  <c r="AO115" i="11"/>
  <c r="AL115" i="11"/>
  <c r="AK115" i="11"/>
  <c r="AJ115" i="11"/>
  <c r="AI115" i="11"/>
  <c r="AC115" i="11"/>
  <c r="Z115" i="11"/>
  <c r="Y115" i="11"/>
  <c r="V115" i="11"/>
  <c r="U115" i="11"/>
  <c r="T115" i="11"/>
  <c r="R115" i="11"/>
  <c r="O115" i="11"/>
  <c r="J115" i="11"/>
  <c r="H115" i="11"/>
  <c r="G115" i="11"/>
  <c r="F115" i="11"/>
  <c r="CY115" i="11"/>
  <c r="CZ110" i="11"/>
  <c r="CY110" i="11"/>
  <c r="CJ110" i="11"/>
  <c r="CI110" i="11"/>
  <c r="CH110" i="11"/>
  <c r="CG110" i="11"/>
  <c r="CE110" i="11"/>
  <c r="CC110" i="11"/>
  <c r="BM110" i="11"/>
  <c r="BJ110" i="11"/>
  <c r="BI110" i="11"/>
  <c r="BD110" i="11"/>
  <c r="BC110" i="11"/>
  <c r="BB110" i="11"/>
  <c r="AL110" i="11"/>
  <c r="AJ110" i="11"/>
  <c r="AG110" i="11"/>
  <c r="AE110" i="11"/>
  <c r="AD110" i="11"/>
  <c r="AC110" i="11"/>
  <c r="M110" i="11"/>
  <c r="L110" i="11"/>
  <c r="K110" i="11"/>
  <c r="I110" i="11"/>
  <c r="H110" i="11"/>
  <c r="G110" i="11"/>
  <c r="BO99" i="11"/>
  <c r="AW99" i="11"/>
  <c r="AV99" i="11"/>
  <c r="CO95" i="11"/>
  <c r="CN95" i="11"/>
  <c r="CL95" i="11"/>
  <c r="CJ95" i="11"/>
  <c r="BP95" i="11"/>
  <c r="BO95" i="11"/>
  <c r="BN95" i="11"/>
  <c r="BL95" i="11"/>
  <c r="AT95" i="11"/>
  <c r="AJ95" i="11"/>
  <c r="AI95" i="11"/>
  <c r="R95" i="11"/>
  <c r="Q95" i="11"/>
  <c r="P95" i="11"/>
  <c r="N95" i="11"/>
  <c r="CX92" i="11"/>
  <c r="CP92" i="11"/>
  <c r="CO92" i="11"/>
  <c r="CN92" i="11"/>
  <c r="CL92" i="11"/>
  <c r="CK92" i="11"/>
  <c r="CI92" i="11"/>
  <c r="CH92" i="11"/>
  <c r="CF92" i="11"/>
  <c r="BZ92" i="11"/>
  <c r="BY92" i="11"/>
  <c r="BW92" i="11"/>
  <c r="BS92" i="11"/>
  <c r="BR92" i="11"/>
  <c r="BP92" i="11"/>
  <c r="BN92" i="11"/>
  <c r="BM92" i="11"/>
  <c r="BG92" i="11"/>
  <c r="BF92" i="11"/>
  <c r="BC92" i="11"/>
  <c r="BB92" i="11"/>
  <c r="AZ92" i="11"/>
  <c r="AY92" i="11"/>
  <c r="AV92" i="11"/>
  <c r="AU92" i="11"/>
  <c r="AN92" i="11"/>
  <c r="AL92" i="11"/>
  <c r="AJ92" i="11"/>
  <c r="AI92" i="11"/>
  <c r="AH92" i="11"/>
  <c r="AG92" i="11"/>
  <c r="AF92" i="11"/>
  <c r="AE92" i="11"/>
  <c r="AB92" i="11"/>
  <c r="T92" i="11"/>
  <c r="S92" i="11"/>
  <c r="R92" i="11"/>
  <c r="P92" i="11"/>
  <c r="O92" i="11"/>
  <c r="L92" i="11"/>
  <c r="K92" i="11"/>
  <c r="H92" i="11"/>
  <c r="C92" i="11"/>
  <c r="CZ92" i="11"/>
  <c r="CU88" i="11"/>
  <c r="CT88" i="11"/>
  <c r="CS88" i="11"/>
  <c r="CQ88" i="11"/>
  <c r="BV88" i="11"/>
  <c r="BU88" i="11"/>
  <c r="BS88" i="11"/>
  <c r="BB88" i="11"/>
  <c r="BA88" i="11"/>
  <c r="AR88" i="11"/>
  <c r="AQ88" i="11"/>
  <c r="Y88" i="11"/>
  <c r="W88" i="11"/>
  <c r="U88" i="11"/>
  <c r="T88" i="11"/>
  <c r="CP81" i="11"/>
  <c r="CM81" i="11"/>
  <c r="CL81" i="11"/>
  <c r="CI81" i="11"/>
  <c r="CE81" i="11"/>
  <c r="BR81" i="11"/>
  <c r="BK81" i="11"/>
  <c r="BJ81" i="11"/>
  <c r="BG81" i="11"/>
  <c r="BF81" i="11"/>
  <c r="AP81" i="11"/>
  <c r="AM81" i="11"/>
  <c r="AL81" i="11"/>
  <c r="AK81" i="11"/>
  <c r="AJ81" i="11"/>
  <c r="T81" i="11"/>
  <c r="Q81" i="11"/>
  <c r="O81" i="11"/>
  <c r="L81" i="11"/>
  <c r="I81" i="11"/>
  <c r="CY79" i="11"/>
  <c r="CX79" i="11"/>
  <c r="CU79" i="11"/>
  <c r="CT79" i="11"/>
  <c r="CR79" i="11"/>
  <c r="CH79" i="11"/>
  <c r="CF79" i="11"/>
  <c r="CA79" i="11"/>
  <c r="BZ79" i="11"/>
  <c r="BX79" i="11"/>
  <c r="BW79" i="11"/>
  <c r="BT79" i="11"/>
  <c r="BH79" i="11"/>
  <c r="BG79" i="11"/>
  <c r="BE79" i="11"/>
  <c r="BD79" i="11"/>
  <c r="BC79" i="11"/>
  <c r="BA79" i="11"/>
  <c r="AY79" i="11"/>
  <c r="AM79" i="11"/>
  <c r="AJ79" i="11"/>
  <c r="AI79" i="11"/>
  <c r="AH79" i="11"/>
  <c r="AG79" i="11"/>
  <c r="AF79" i="11"/>
  <c r="AD79" i="11"/>
  <c r="R79" i="11"/>
  <c r="Q79" i="11"/>
  <c r="N79" i="11"/>
  <c r="L79" i="11"/>
  <c r="J79" i="11"/>
  <c r="H79" i="11"/>
  <c r="E79" i="11"/>
  <c r="CP79" i="11"/>
  <c r="CZ71" i="11"/>
  <c r="CL71" i="11"/>
  <c r="CH71" i="11"/>
  <c r="CG71" i="11"/>
  <c r="CE71" i="11"/>
  <c r="BO71" i="11"/>
  <c r="BM71" i="11"/>
  <c r="BK71" i="11"/>
  <c r="BJ71" i="11"/>
  <c r="AU71" i="11"/>
  <c r="AT71" i="11"/>
  <c r="AS71" i="11"/>
  <c r="AR71" i="11"/>
  <c r="AA71" i="11"/>
  <c r="Y71" i="11"/>
  <c r="X71" i="11"/>
  <c r="V71" i="11"/>
  <c r="G71" i="11"/>
  <c r="F71" i="11"/>
  <c r="E71" i="11"/>
  <c r="CT59" i="11"/>
  <c r="CG59" i="11"/>
  <c r="CF59" i="11"/>
  <c r="CE59" i="11"/>
  <c r="CD59" i="11"/>
  <c r="BQ59" i="11"/>
  <c r="BO59" i="11"/>
  <c r="AV59" i="11"/>
  <c r="AI59" i="11"/>
  <c r="AH59" i="11"/>
  <c r="AG59" i="11"/>
  <c r="AF59" i="11"/>
  <c r="S59" i="11"/>
  <c r="Q59" i="11"/>
  <c r="CS53" i="11"/>
  <c r="CR53" i="11"/>
  <c r="CQ53" i="11"/>
  <c r="CM53" i="11"/>
  <c r="CL53" i="11"/>
  <c r="CK53" i="11"/>
  <c r="CJ53" i="11"/>
  <c r="CB53" i="11"/>
  <c r="BY53" i="11"/>
  <c r="BX53" i="11"/>
  <c r="BV53" i="11"/>
  <c r="BU53" i="11"/>
  <c r="BT53" i="11"/>
  <c r="BS53" i="11"/>
  <c r="BI53" i="11"/>
  <c r="BH53" i="11"/>
  <c r="BG53" i="11"/>
  <c r="BF53" i="11"/>
  <c r="BE53" i="11"/>
  <c r="BD53" i="11"/>
  <c r="BB53" i="11"/>
  <c r="AS53" i="11"/>
  <c r="AR53" i="11"/>
  <c r="AQ53" i="11"/>
  <c r="AO53" i="11"/>
  <c r="AN53" i="11"/>
  <c r="AL53" i="11"/>
  <c r="AK53" i="11"/>
  <c r="AB53" i="11"/>
  <c r="Z53" i="11"/>
  <c r="Y53" i="11"/>
  <c r="X53" i="11"/>
  <c r="W53" i="11"/>
  <c r="T53" i="11"/>
  <c r="S53" i="11"/>
  <c r="K53" i="11"/>
  <c r="J53" i="11"/>
  <c r="I53" i="11"/>
  <c r="F53" i="11"/>
  <c r="E53" i="11"/>
  <c r="D53" i="11"/>
  <c r="CZ53" i="11"/>
  <c r="CY53" i="11"/>
  <c r="CZ49" i="11"/>
  <c r="CY49" i="11"/>
  <c r="CW49" i="11"/>
  <c r="CV49" i="11"/>
  <c r="CU49" i="11"/>
  <c r="CT49" i="11"/>
  <c r="CS49" i="11"/>
  <c r="CR49" i="11"/>
  <c r="CQ49" i="11"/>
  <c r="CP49" i="11"/>
  <c r="CM49" i="11"/>
  <c r="CK49" i="11"/>
  <c r="CJ49" i="11"/>
  <c r="CI49" i="11"/>
  <c r="CH49" i="11"/>
  <c r="CG49" i="11"/>
  <c r="CF49" i="11"/>
  <c r="CE49" i="11"/>
  <c r="CD49" i="11"/>
  <c r="CC49" i="11"/>
  <c r="BY49" i="11"/>
  <c r="BX49" i="11"/>
  <c r="BW49" i="11"/>
  <c r="BV49" i="11"/>
  <c r="BU49" i="11"/>
  <c r="BT49" i="11"/>
  <c r="BS49" i="11"/>
  <c r="BR49" i="11"/>
  <c r="BQ49" i="11"/>
  <c r="BP49" i="11"/>
  <c r="BL49" i="11"/>
  <c r="BK49" i="11"/>
  <c r="BJ49" i="11"/>
  <c r="BI49" i="11"/>
  <c r="BH49" i="11"/>
  <c r="BG49" i="11"/>
  <c r="BF49" i="11"/>
  <c r="BE49" i="11"/>
  <c r="BD49" i="11"/>
  <c r="BC49" i="11"/>
  <c r="AY49" i="11"/>
  <c r="AX49" i="11"/>
  <c r="AW49" i="11"/>
  <c r="AV49" i="11"/>
  <c r="AU49" i="11"/>
  <c r="AT49" i="11"/>
  <c r="AS49" i="11"/>
  <c r="AR49" i="11"/>
  <c r="AQ49" i="11"/>
  <c r="AO49" i="11"/>
  <c r="AL49" i="11"/>
  <c r="AK49" i="11"/>
  <c r="AJ49" i="11"/>
  <c r="AI49" i="11"/>
  <c r="AH49" i="11"/>
  <c r="AG49" i="11"/>
  <c r="AF49" i="11"/>
  <c r="AE49" i="11"/>
  <c r="AC49" i="11"/>
  <c r="AB49" i="11"/>
  <c r="Y49" i="11"/>
  <c r="X49" i="11"/>
  <c r="W49" i="11"/>
  <c r="V49" i="11"/>
  <c r="U49" i="11"/>
  <c r="T49" i="11"/>
  <c r="S49" i="11"/>
  <c r="Q49" i="11"/>
  <c r="P49" i="11"/>
  <c r="O49" i="11"/>
  <c r="L49" i="11"/>
  <c r="K49" i="11"/>
  <c r="J49" i="11"/>
  <c r="I49" i="11"/>
  <c r="H49" i="11"/>
  <c r="G49" i="11"/>
  <c r="E49" i="11"/>
  <c r="D49" i="11"/>
  <c r="C49" i="11"/>
  <c r="CW47" i="11"/>
  <c r="CV47" i="11"/>
  <c r="CT47" i="11"/>
  <c r="CH47" i="11"/>
  <c r="CG47" i="11"/>
  <c r="BC47" i="11"/>
  <c r="AZ47" i="11"/>
  <c r="AX47" i="11"/>
  <c r="AL47" i="11"/>
  <c r="AK47" i="11"/>
  <c r="G47" i="11"/>
  <c r="F47" i="11"/>
  <c r="E47" i="11"/>
  <c r="CZ40" i="11"/>
  <c r="CY40" i="11"/>
  <c r="CX40" i="11"/>
  <c r="CW40" i="11"/>
  <c r="CV40" i="11"/>
  <c r="CL40" i="11"/>
  <c r="CK40" i="11"/>
  <c r="CJ40" i="11"/>
  <c r="CH40" i="11"/>
  <c r="CG40" i="11"/>
  <c r="CF40" i="11"/>
  <c r="BV40" i="11"/>
  <c r="BU40" i="11"/>
  <c r="BT40" i="11"/>
  <c r="BS40" i="11"/>
  <c r="BP40" i="11"/>
  <c r="BO40" i="11"/>
  <c r="BG40" i="11"/>
  <c r="BF40" i="11"/>
  <c r="BC40" i="11"/>
  <c r="BB40" i="11"/>
  <c r="BA40" i="11"/>
  <c r="AZ40" i="11"/>
  <c r="AP40" i="11"/>
  <c r="AO40" i="11"/>
  <c r="AN40" i="11"/>
  <c r="AL40" i="11"/>
  <c r="AK40" i="11"/>
  <c r="AJ40" i="11"/>
  <c r="Z40" i="11"/>
  <c r="Y40" i="11"/>
  <c r="X40" i="11"/>
  <c r="W40" i="11"/>
  <c r="V40" i="11"/>
  <c r="U40" i="11"/>
  <c r="K40" i="11"/>
  <c r="J40" i="11"/>
  <c r="I40" i="11"/>
  <c r="H40" i="11"/>
  <c r="G40" i="11"/>
  <c r="F40" i="11"/>
  <c r="CY37" i="11"/>
  <c r="CX37" i="11"/>
  <c r="CW37" i="11"/>
  <c r="CS37" i="11"/>
  <c r="CR37" i="11"/>
  <c r="CL37" i="11"/>
  <c r="CK37" i="11"/>
  <c r="CJ37" i="11"/>
  <c r="CF37" i="11"/>
  <c r="CE37" i="11"/>
  <c r="CD37" i="11"/>
  <c r="CC37" i="11"/>
  <c r="BV37" i="11"/>
  <c r="BS37" i="11"/>
  <c r="BR37" i="11"/>
  <c r="BQ37" i="11"/>
  <c r="BP37" i="11"/>
  <c r="BO37" i="11"/>
  <c r="BN37" i="11"/>
  <c r="BE37" i="11"/>
  <c r="BD37" i="11"/>
  <c r="BC37" i="11"/>
  <c r="BB37" i="11"/>
  <c r="BA37" i="11"/>
  <c r="AZ37" i="11"/>
  <c r="AX37" i="11"/>
  <c r="AP37" i="11"/>
  <c r="AO37" i="11"/>
  <c r="AN37" i="11"/>
  <c r="AL37" i="11"/>
  <c r="AK37" i="11"/>
  <c r="AJ37" i="11"/>
  <c r="AI37" i="11"/>
  <c r="Z37" i="11"/>
  <c r="Y37" i="11"/>
  <c r="X37" i="11"/>
  <c r="W37" i="11"/>
  <c r="V37" i="11"/>
  <c r="S37" i="11"/>
  <c r="R37" i="11"/>
  <c r="K37" i="11"/>
  <c r="J37" i="11"/>
  <c r="I37" i="11"/>
  <c r="F37" i="11"/>
  <c r="E37" i="11"/>
  <c r="D37" i="11"/>
  <c r="CZ37" i="11"/>
  <c r="CV34" i="11"/>
  <c r="CT34" i="11"/>
  <c r="CS34" i="11"/>
  <c r="CR34" i="11"/>
  <c r="CQ34" i="11"/>
  <c r="CF34" i="11"/>
  <c r="CE34" i="11"/>
  <c r="CD34" i="11"/>
  <c r="CC34" i="11"/>
  <c r="CB34" i="11"/>
  <c r="BQ34" i="11"/>
  <c r="BP34" i="11"/>
  <c r="BO34" i="11"/>
  <c r="BN34" i="11"/>
  <c r="BM34" i="11"/>
  <c r="BB34" i="11"/>
  <c r="BA34" i="11"/>
  <c r="AZ34" i="11"/>
  <c r="AV34" i="11"/>
  <c r="AU34" i="11"/>
  <c r="AL34" i="11"/>
  <c r="AI34" i="11"/>
  <c r="AH34" i="11"/>
  <c r="AG34" i="11"/>
  <c r="AF34" i="11"/>
  <c r="U34" i="11"/>
  <c r="T34" i="11"/>
  <c r="S34" i="11"/>
  <c r="R34" i="11"/>
  <c r="Q34" i="11"/>
  <c r="F34" i="11"/>
  <c r="E34" i="11"/>
  <c r="D34" i="11"/>
  <c r="CO34" i="11"/>
  <c r="CP34" i="11"/>
  <c r="CY27" i="11"/>
  <c r="CX27" i="11"/>
  <c r="CW27" i="11"/>
  <c r="CV27" i="11"/>
  <c r="CT27" i="11"/>
  <c r="CS27" i="11"/>
  <c r="CR27" i="11"/>
  <c r="CJ27" i="11"/>
  <c r="CH27" i="11"/>
  <c r="CG27" i="11"/>
  <c r="CF27" i="11"/>
  <c r="CE27" i="11"/>
  <c r="CD27" i="11"/>
  <c r="CC27" i="11"/>
  <c r="BT27" i="11"/>
  <c r="BS27" i="11"/>
  <c r="BR27" i="11"/>
  <c r="BQ27" i="11"/>
  <c r="BP27" i="11"/>
  <c r="BM27" i="11"/>
  <c r="BL27" i="11"/>
  <c r="BE27" i="11"/>
  <c r="BD27" i="11"/>
  <c r="BC27" i="11"/>
  <c r="AZ27" i="11"/>
  <c r="AX27" i="11"/>
  <c r="AW27" i="11"/>
  <c r="AV27" i="11"/>
  <c r="AP27" i="11"/>
  <c r="AL27" i="11"/>
  <c r="AK27" i="11"/>
  <c r="AJ27" i="11"/>
  <c r="AI27" i="11"/>
  <c r="AH27" i="11"/>
  <c r="AG27" i="11"/>
  <c r="X27" i="11"/>
  <c r="W27" i="11"/>
  <c r="V27" i="11"/>
  <c r="U27" i="11"/>
  <c r="T27" i="11"/>
  <c r="S27" i="11"/>
  <c r="R27" i="11"/>
  <c r="I27" i="11"/>
  <c r="H27" i="11"/>
  <c r="G27" i="11"/>
  <c r="F27" i="11"/>
  <c r="E27" i="11"/>
  <c r="D27" i="11"/>
  <c r="CX24" i="11"/>
  <c r="CW24" i="11"/>
  <c r="CV24" i="11"/>
  <c r="CT24" i="11"/>
  <c r="CS24" i="11"/>
  <c r="CH24" i="11"/>
  <c r="CG24" i="11"/>
  <c r="CF24" i="11"/>
  <c r="CC24" i="11"/>
  <c r="CB24" i="11"/>
  <c r="BS24" i="11"/>
  <c r="BP24" i="11"/>
  <c r="BO24" i="11"/>
  <c r="BN24" i="11"/>
  <c r="BM24" i="11"/>
  <c r="BB24" i="11"/>
  <c r="BA24" i="11"/>
  <c r="AZ24" i="11"/>
  <c r="AX24" i="11"/>
  <c r="AW24" i="11"/>
  <c r="AL24" i="11"/>
  <c r="AK24" i="11"/>
  <c r="AJ24" i="11"/>
  <c r="AI24" i="11"/>
  <c r="AH24" i="11"/>
  <c r="W24" i="11"/>
  <c r="V24" i="11"/>
  <c r="U24" i="11"/>
  <c r="T24" i="11"/>
  <c r="S24" i="11"/>
  <c r="H24" i="11"/>
  <c r="G24" i="11"/>
  <c r="F24" i="11"/>
  <c r="CU20" i="11"/>
  <c r="BA20" i="11"/>
  <c r="F20" i="11"/>
  <c r="CR10" i="11"/>
  <c r="CQ10" i="11"/>
  <c r="CF10" i="11"/>
  <c r="CE10" i="11"/>
  <c r="CD10" i="11"/>
  <c r="BA10" i="11"/>
  <c r="AZ10" i="11"/>
  <c r="AY10" i="11"/>
  <c r="AO10" i="11"/>
  <c r="AN10" i="11"/>
  <c r="W10" i="11"/>
  <c r="M10" i="11"/>
  <c r="L10" i="11"/>
  <c r="K10" i="11"/>
  <c r="J10" i="11"/>
  <c r="BR81" i="20"/>
  <c r="BN81" i="20"/>
  <c r="BM81" i="20"/>
  <c r="BI81" i="20"/>
  <c r="BG81" i="20"/>
  <c r="BF81" i="20"/>
  <c r="BE81" i="20"/>
  <c r="BC81" i="20"/>
  <c r="BB81" i="20"/>
  <c r="AX81" i="20"/>
  <c r="AV81" i="20"/>
  <c r="AU81" i="20"/>
  <c r="AT81" i="20"/>
  <c r="AR81" i="20"/>
  <c r="AO81" i="20"/>
  <c r="AM81" i="20"/>
  <c r="AL81" i="20"/>
  <c r="AH81" i="20"/>
  <c r="AG81" i="20"/>
  <c r="AF81" i="20"/>
  <c r="AE81" i="20"/>
  <c r="AA81" i="20"/>
  <c r="Z81" i="20"/>
  <c r="Y81" i="20"/>
  <c r="X81" i="20"/>
  <c r="S81" i="20"/>
  <c r="R81" i="20"/>
  <c r="O81" i="20"/>
  <c r="N81" i="20"/>
  <c r="L81" i="20"/>
  <c r="K81" i="20"/>
  <c r="J81" i="20"/>
  <c r="I81" i="20"/>
  <c r="H81" i="20"/>
  <c r="CY81" i="20"/>
  <c r="CW79" i="20"/>
  <c r="BC79" i="20"/>
  <c r="G79" i="20"/>
  <c r="BG71" i="20"/>
  <c r="S71" i="20"/>
  <c r="Q71" i="20"/>
  <c r="CT59" i="20"/>
  <c r="CQ59" i="20"/>
  <c r="CP59" i="20"/>
  <c r="CO59" i="20"/>
  <c r="CH59" i="20"/>
  <c r="CG59" i="20"/>
  <c r="CB59" i="20"/>
  <c r="CA59" i="20"/>
  <c r="BT59" i="20"/>
  <c r="BQ59" i="20"/>
  <c r="BP59" i="20"/>
  <c r="BO59" i="20"/>
  <c r="BH59" i="20"/>
  <c r="BG59" i="20"/>
  <c r="BA59" i="20"/>
  <c r="AZ59" i="20"/>
  <c r="AT59" i="20"/>
  <c r="AQ59" i="20"/>
  <c r="AO59" i="20"/>
  <c r="AN59" i="20"/>
  <c r="AH59" i="20"/>
  <c r="AG59" i="20"/>
  <c r="AA59" i="20"/>
  <c r="Z59" i="20"/>
  <c r="T59" i="20"/>
  <c r="P59" i="20"/>
  <c r="O59" i="20"/>
  <c r="N59" i="20"/>
  <c r="H59" i="20"/>
  <c r="G59" i="20"/>
  <c r="CX53" i="20"/>
  <c r="CT53" i="20"/>
  <c r="CQ53" i="20"/>
  <c r="CP53" i="20"/>
  <c r="CJ53" i="20"/>
  <c r="CH53" i="20"/>
  <c r="CG53" i="20"/>
  <c r="CB53" i="20"/>
  <c r="CA53" i="20"/>
  <c r="BX53" i="20"/>
  <c r="BT53" i="20"/>
  <c r="BQ53" i="20"/>
  <c r="BP53" i="20"/>
  <c r="BI53" i="20"/>
  <c r="BH53" i="20"/>
  <c r="BG53" i="20"/>
  <c r="BB53" i="20"/>
  <c r="BA53" i="20"/>
  <c r="AW53" i="20"/>
  <c r="AT53" i="20"/>
  <c r="AQ53" i="20"/>
  <c r="AP53" i="20"/>
  <c r="AI53" i="20"/>
  <c r="AH53" i="20"/>
  <c r="AG53" i="20"/>
  <c r="AB53" i="20"/>
  <c r="Z53" i="20"/>
  <c r="W53" i="20"/>
  <c r="T53" i="20"/>
  <c r="Q53" i="20"/>
  <c r="P53" i="20"/>
  <c r="I53" i="20"/>
  <c r="H53" i="20"/>
  <c r="G53" i="20"/>
  <c r="CW49" i="20"/>
  <c r="CV49" i="20"/>
  <c r="CQ49" i="20"/>
  <c r="CI49" i="20"/>
  <c r="CH49" i="20"/>
  <c r="CG49" i="20"/>
  <c r="CE49" i="20"/>
  <c r="BQ49" i="20"/>
  <c r="BI49" i="20"/>
  <c r="BH49" i="20"/>
  <c r="BE49" i="20"/>
  <c r="AW49" i="20"/>
  <c r="AV49" i="20"/>
  <c r="AR49" i="20"/>
  <c r="AQ49" i="20"/>
  <c r="AE49" i="20"/>
  <c r="W49" i="20"/>
  <c r="V49" i="20"/>
  <c r="P49" i="20"/>
  <c r="I49" i="20"/>
  <c r="H49" i="20"/>
  <c r="G49" i="20"/>
  <c r="E49" i="20"/>
  <c r="CB47" i="20"/>
  <c r="AV47" i="20"/>
  <c r="AU47" i="20"/>
  <c r="R47" i="20"/>
  <c r="Q47" i="20"/>
  <c r="CZ40" i="20"/>
  <c r="CJ40" i="20"/>
  <c r="BX40" i="20"/>
  <c r="BV40" i="20"/>
  <c r="BU40" i="20"/>
  <c r="BE40" i="20"/>
  <c r="AS40" i="20"/>
  <c r="AR40" i="20"/>
  <c r="AQ40" i="20"/>
  <c r="X40" i="20"/>
  <c r="L40" i="20"/>
  <c r="K40" i="20"/>
  <c r="J40" i="20"/>
  <c r="CV37" i="20"/>
  <c r="CT37" i="20"/>
  <c r="CD37" i="20"/>
  <c r="BV37" i="20"/>
  <c r="BU37" i="20"/>
  <c r="BO37" i="20"/>
  <c r="BN37" i="20"/>
  <c r="AZ37" i="20"/>
  <c r="AP37" i="20"/>
  <c r="AO37" i="20"/>
  <c r="AJ37" i="20"/>
  <c r="AI37" i="20"/>
  <c r="U37" i="20"/>
  <c r="K37" i="20"/>
  <c r="J37" i="20"/>
  <c r="D37" i="20"/>
  <c r="CZ37" i="20"/>
  <c r="CM34" i="20"/>
  <c r="CL34" i="20"/>
  <c r="BF34" i="20"/>
  <c r="BE34" i="20"/>
  <c r="AB34" i="20"/>
  <c r="Z34" i="20"/>
  <c r="CA115" i="19"/>
  <c r="BZ115" i="19"/>
  <c r="BY115" i="19"/>
  <c r="AX115" i="19"/>
  <c r="AV115" i="19"/>
  <c r="Z115" i="19"/>
  <c r="M115" i="19"/>
  <c r="K115" i="19"/>
  <c r="I115" i="19"/>
  <c r="CZ110" i="19"/>
  <c r="AB110" i="19"/>
  <c r="Z110" i="19"/>
  <c r="CZ99" i="19"/>
  <c r="CY99" i="19"/>
  <c r="CQ99" i="19"/>
  <c r="CN99" i="19"/>
  <c r="CL99" i="19"/>
  <c r="CG99" i="19"/>
  <c r="CB99" i="19"/>
  <c r="BI99" i="19"/>
  <c r="BH99" i="19"/>
  <c r="BC99" i="19"/>
  <c r="AY99" i="19"/>
  <c r="AU99" i="19"/>
  <c r="AS99" i="19"/>
  <c r="AL99" i="19"/>
  <c r="AK99" i="19"/>
  <c r="Q99" i="19"/>
  <c r="M99" i="19"/>
  <c r="L99" i="19"/>
  <c r="F99" i="19"/>
  <c r="D99" i="19"/>
  <c r="C99" i="19"/>
  <c r="CY95" i="19"/>
  <c r="CX95" i="19"/>
  <c r="CW95" i="19"/>
  <c r="CV95" i="19"/>
  <c r="CR95" i="19"/>
  <c r="CP95" i="19"/>
  <c r="CO95" i="19"/>
  <c r="CL95" i="19"/>
  <c r="CK95" i="19"/>
  <c r="CI95" i="19"/>
  <c r="CF95" i="19"/>
  <c r="CB95" i="19"/>
  <c r="BY95" i="19"/>
  <c r="BW95" i="19"/>
  <c r="BT95" i="19"/>
  <c r="BR95" i="19"/>
  <c r="BP95" i="19"/>
  <c r="BL95" i="19"/>
  <c r="BK95" i="19"/>
  <c r="BG95" i="19"/>
  <c r="BE95" i="19"/>
  <c r="BB95" i="19"/>
  <c r="AX95" i="19"/>
  <c r="AU95" i="19"/>
  <c r="AR95" i="19"/>
  <c r="AP95" i="19"/>
  <c r="AL95" i="19"/>
  <c r="AH95" i="19"/>
  <c r="AF95" i="19"/>
  <c r="AD95" i="19"/>
  <c r="X95" i="19"/>
  <c r="V95" i="19"/>
  <c r="S95" i="19"/>
  <c r="Q95" i="19"/>
  <c r="O95" i="19"/>
  <c r="I95" i="19"/>
  <c r="G95" i="19"/>
  <c r="C95" i="19"/>
  <c r="BL92" i="19"/>
  <c r="BA92" i="19"/>
  <c r="AG92" i="19"/>
  <c r="AE92" i="19"/>
  <c r="X92" i="19"/>
  <c r="N92" i="19"/>
  <c r="K92" i="19"/>
  <c r="CS88" i="19"/>
  <c r="BS88" i="19"/>
  <c r="BR88" i="19"/>
  <c r="BH88" i="19"/>
  <c r="AP88" i="19"/>
  <c r="AI88" i="19"/>
  <c r="W88" i="19"/>
  <c r="G88" i="19"/>
  <c r="E88" i="19"/>
  <c r="CT81" i="19"/>
  <c r="CS81" i="19"/>
  <c r="CM81" i="19"/>
  <c r="CK81" i="19"/>
  <c r="CI81" i="19"/>
  <c r="CD81" i="19"/>
  <c r="CC81" i="19"/>
  <c r="CA81" i="19"/>
  <c r="BS81" i="19"/>
  <c r="BR81" i="19"/>
  <c r="BI81" i="19"/>
  <c r="BA81" i="19"/>
  <c r="AX81" i="19"/>
  <c r="AM81" i="19"/>
  <c r="W81" i="19"/>
  <c r="R81" i="19"/>
  <c r="Q81" i="19"/>
  <c r="G81" i="19"/>
  <c r="E81" i="19"/>
  <c r="CQ79" i="19"/>
  <c r="CP79" i="19"/>
  <c r="CI79" i="19"/>
  <c r="CH79" i="19"/>
  <c r="BX79" i="19"/>
  <c r="BW79" i="19"/>
  <c r="BF79" i="19"/>
  <c r="BD79" i="19"/>
  <c r="AT79" i="19"/>
  <c r="AM79" i="19"/>
  <c r="AL79" i="19"/>
  <c r="K79" i="19"/>
  <c r="D79" i="19"/>
  <c r="CY71" i="19"/>
  <c r="CX71" i="19"/>
  <c r="CO71" i="19"/>
  <c r="BW71" i="19"/>
  <c r="BU71" i="19"/>
  <c r="BG71" i="19"/>
  <c r="AQ71" i="19"/>
  <c r="AH71" i="19"/>
  <c r="AE71" i="19"/>
  <c r="G71" i="19"/>
  <c r="CM59" i="19"/>
  <c r="BT59" i="19"/>
  <c r="BN59" i="19"/>
  <c r="AH59" i="19"/>
  <c r="Z59" i="19"/>
  <c r="CK53" i="19"/>
  <c r="BG53" i="19"/>
  <c r="Q53" i="19"/>
  <c r="CM49" i="19"/>
  <c r="CK49" i="19"/>
  <c r="CI49" i="19"/>
  <c r="CE49" i="19"/>
  <c r="CB49" i="19"/>
  <c r="BY49" i="19"/>
  <c r="BV49" i="19"/>
  <c r="BS49" i="19"/>
  <c r="BP49" i="19"/>
  <c r="BO49" i="19"/>
  <c r="BM49" i="19"/>
  <c r="BH49" i="19"/>
  <c r="BE49" i="19"/>
  <c r="BB49" i="19"/>
  <c r="BA49" i="19"/>
  <c r="AU49" i="19"/>
  <c r="AS49" i="19"/>
  <c r="CR47" i="19"/>
  <c r="CN47" i="19"/>
  <c r="CI47" i="19"/>
  <c r="BZ47" i="19"/>
  <c r="AY47" i="19"/>
  <c r="AR47" i="19"/>
  <c r="W47" i="19"/>
  <c r="P47" i="19"/>
  <c r="N47" i="19"/>
  <c r="BA40" i="19"/>
  <c r="AF40" i="19"/>
  <c r="L40" i="19"/>
  <c r="K40" i="19"/>
  <c r="CX37" i="19"/>
  <c r="CW37" i="19"/>
  <c r="CV37" i="19"/>
  <c r="BZ37" i="19"/>
  <c r="BK37" i="19"/>
  <c r="BH37" i="19"/>
  <c r="AK37" i="19"/>
  <c r="AB37" i="19"/>
  <c r="AA37" i="19"/>
  <c r="CS34" i="19"/>
  <c r="CQ34" i="19"/>
  <c r="CI34" i="19"/>
  <c r="CA34" i="19"/>
  <c r="BU34" i="19"/>
  <c r="BN34" i="19"/>
  <c r="AZ34" i="19"/>
  <c r="AS34" i="19"/>
  <c r="AQ34" i="19"/>
  <c r="AM34" i="19"/>
  <c r="Z34" i="19"/>
  <c r="W34" i="19"/>
  <c r="R34" i="19"/>
  <c r="I34" i="19"/>
  <c r="G34" i="19"/>
  <c r="CV27" i="19"/>
  <c r="CT27" i="19"/>
  <c r="CS27" i="19"/>
  <c r="CL27" i="19"/>
  <c r="CK27" i="19"/>
  <c r="BZ27" i="19"/>
  <c r="BY27" i="19"/>
  <c r="BT27" i="19"/>
  <c r="BS27" i="19"/>
  <c r="BP27" i="19"/>
  <c r="BI27" i="19"/>
  <c r="BD27" i="19"/>
  <c r="BA27" i="19"/>
  <c r="AV27" i="19"/>
  <c r="AM27" i="19"/>
  <c r="AI27" i="19"/>
  <c r="AF27" i="19"/>
  <c r="AC27" i="19"/>
  <c r="Y27" i="19"/>
  <c r="N27" i="19"/>
  <c r="L27" i="19"/>
  <c r="K27" i="19"/>
  <c r="F27" i="19"/>
  <c r="D27" i="19"/>
  <c r="CY24" i="19"/>
  <c r="Q24" i="19"/>
  <c r="BY20" i="19"/>
  <c r="CU10" i="19"/>
  <c r="CI10" i="19"/>
  <c r="BY10" i="19"/>
  <c r="BU10" i="19"/>
  <c r="AX10" i="19"/>
  <c r="AW10" i="19"/>
  <c r="AR10" i="19"/>
  <c r="W10" i="19"/>
  <c r="M10" i="19"/>
  <c r="CJ10" i="19"/>
  <c r="AJ119" i="18"/>
  <c r="AH119" i="18"/>
  <c r="CQ119" i="18"/>
  <c r="CS115" i="18"/>
  <c r="CI115" i="18"/>
  <c r="CH115" i="18"/>
  <c r="CF115" i="18"/>
  <c r="CE115" i="18"/>
  <c r="BK115" i="18"/>
  <c r="BE115" i="18"/>
  <c r="AV115" i="18"/>
  <c r="AS115" i="18"/>
  <c r="W115" i="18"/>
  <c r="V115" i="18"/>
  <c r="CX110" i="18"/>
  <c r="CH110" i="18"/>
  <c r="BM110" i="18"/>
  <c r="BI110" i="18"/>
  <c r="AK110" i="18"/>
  <c r="X110" i="18"/>
  <c r="BU110" i="18"/>
  <c r="CN99" i="18"/>
  <c r="CG99" i="18"/>
  <c r="BP99" i="18"/>
  <c r="BM99" i="18"/>
  <c r="BC99" i="18"/>
  <c r="AT99" i="18"/>
  <c r="AG99" i="18"/>
  <c r="AD99" i="18"/>
  <c r="M99" i="18"/>
  <c r="I99" i="18"/>
  <c r="CD99" i="18"/>
  <c r="CE95" i="18"/>
  <c r="CB95" i="18"/>
  <c r="BY95" i="18"/>
  <c r="BU95" i="18"/>
  <c r="BS95" i="18"/>
  <c r="BN95" i="18"/>
  <c r="BK95" i="18"/>
  <c r="BH95" i="18"/>
  <c r="BE95" i="18"/>
  <c r="BC95" i="18"/>
  <c r="AW95" i="18"/>
  <c r="AU95" i="18"/>
  <c r="AT95" i="18"/>
  <c r="AO95" i="18"/>
  <c r="AK95" i="18"/>
  <c r="AJ95" i="18"/>
  <c r="AG95" i="18"/>
  <c r="AD95" i="18"/>
  <c r="X95" i="18"/>
  <c r="V95" i="18"/>
  <c r="S95" i="18"/>
  <c r="Q95" i="18"/>
  <c r="P95" i="18"/>
  <c r="I95" i="18"/>
  <c r="G95" i="18"/>
  <c r="D95" i="18"/>
  <c r="CY95" i="18"/>
  <c r="CX92" i="18"/>
  <c r="CU92" i="18"/>
  <c r="CR92" i="18"/>
  <c r="CM92" i="18"/>
  <c r="CK92" i="18"/>
  <c r="CF92" i="18"/>
  <c r="CC92" i="18"/>
  <c r="BZ92" i="18"/>
  <c r="BW92" i="18"/>
  <c r="BT92" i="18"/>
  <c r="BO92" i="18"/>
  <c r="BL92" i="18"/>
  <c r="BH92" i="18"/>
  <c r="BF92" i="18"/>
  <c r="BC92" i="18"/>
  <c r="AY92" i="18"/>
  <c r="AU92" i="18"/>
  <c r="AR92" i="18"/>
  <c r="AP92" i="18"/>
  <c r="AJ92" i="18"/>
  <c r="AH92" i="18"/>
  <c r="AC92" i="18"/>
  <c r="AA92" i="18"/>
  <c r="X92" i="18"/>
  <c r="T92" i="18"/>
  <c r="R92" i="18"/>
  <c r="M92" i="18"/>
  <c r="J92" i="18"/>
  <c r="F92" i="18"/>
  <c r="E92" i="18"/>
  <c r="CY92" i="18"/>
  <c r="CI88" i="18"/>
  <c r="BV88" i="18"/>
  <c r="AZ88" i="18"/>
  <c r="T88" i="18"/>
  <c r="CQ81" i="18"/>
  <c r="CP81" i="18"/>
  <c r="CN81" i="18"/>
  <c r="CE81" i="18"/>
  <c r="BZ81" i="18"/>
  <c r="BX81" i="18"/>
  <c r="BH81" i="18"/>
  <c r="BD81" i="18"/>
  <c r="AJ81" i="18"/>
  <c r="V81" i="18"/>
  <c r="CW59" i="18"/>
  <c r="BX59" i="18"/>
  <c r="BI59" i="18"/>
  <c r="AR59" i="18"/>
  <c r="V59" i="18"/>
  <c r="E59" i="18"/>
  <c r="CK53" i="18"/>
  <c r="BK53" i="18"/>
  <c r="AI53" i="18"/>
  <c r="AA53" i="18"/>
  <c r="L53" i="18"/>
  <c r="E53" i="18"/>
  <c r="CX49" i="18"/>
  <c r="CJ49" i="18"/>
  <c r="CH49" i="18"/>
  <c r="BW49" i="18"/>
  <c r="BJ49" i="18"/>
  <c r="BD49" i="18"/>
  <c r="AM49" i="18"/>
  <c r="AG49" i="18"/>
  <c r="Q49" i="18"/>
  <c r="D49" i="18"/>
  <c r="BM47" i="18"/>
  <c r="CX40" i="18"/>
  <c r="CI40" i="18"/>
  <c r="BO40" i="18"/>
  <c r="BA40" i="18"/>
  <c r="AG40" i="18"/>
  <c r="Q40" i="18"/>
  <c r="I40" i="18"/>
  <c r="BW20" i="21"/>
  <c r="BY27" i="21"/>
  <c r="AP34" i="21"/>
  <c r="AD20" i="21"/>
  <c r="BI20" i="21"/>
  <c r="T27" i="21"/>
  <c r="BE27" i="21"/>
  <c r="F34" i="21"/>
  <c r="AQ34" i="21"/>
  <c r="CD34" i="21"/>
  <c r="CM88" i="21"/>
  <c r="BV88" i="21"/>
  <c r="BG88" i="21"/>
  <c r="AQ88" i="21"/>
  <c r="AA88" i="21"/>
  <c r="L88" i="21"/>
  <c r="CQ88" i="21"/>
  <c r="BW88" i="21"/>
  <c r="BB88" i="21"/>
  <c r="AG88" i="21"/>
  <c r="M88" i="21"/>
  <c r="CP88" i="21"/>
  <c r="BS88" i="21"/>
  <c r="AZ88" i="21"/>
  <c r="AF88" i="21"/>
  <c r="I88" i="21"/>
  <c r="CF88" i="21"/>
  <c r="BL88" i="21"/>
  <c r="AS88" i="21"/>
  <c r="V88" i="21"/>
  <c r="CZ88" i="21"/>
  <c r="CE88" i="21"/>
  <c r="BJ88" i="21"/>
  <c r="AN88" i="21"/>
  <c r="U88" i="21"/>
  <c r="AQ20" i="21"/>
  <c r="BD27" i="21"/>
  <c r="C34" i="21"/>
  <c r="CU34" i="21"/>
  <c r="O20" i="21"/>
  <c r="AR20" i="21"/>
  <c r="BY20" i="21"/>
  <c r="CP20" i="21"/>
  <c r="AL27" i="21"/>
  <c r="BZ27" i="21"/>
  <c r="CQ27" i="21"/>
  <c r="Y34" i="21"/>
  <c r="BJ34" i="21"/>
  <c r="CW34" i="21"/>
  <c r="Y88" i="21"/>
  <c r="BD88" i="21"/>
  <c r="CI88" i="21"/>
  <c r="CY10" i="21"/>
  <c r="CM10" i="21"/>
  <c r="CA10" i="21"/>
  <c r="BO10" i="21"/>
  <c r="BC10" i="21"/>
  <c r="AQ10" i="21"/>
  <c r="AE10" i="21"/>
  <c r="S10" i="21"/>
  <c r="G10" i="21"/>
  <c r="CS10" i="21"/>
  <c r="CG10" i="21"/>
  <c r="BU10" i="21"/>
  <c r="BI10" i="21"/>
  <c r="AW10" i="21"/>
  <c r="AK10" i="21"/>
  <c r="Y10" i="21"/>
  <c r="M10" i="21"/>
  <c r="F10" i="21"/>
  <c r="U10" i="21"/>
  <c r="AI10" i="21"/>
  <c r="AX10" i="21"/>
  <c r="BL10" i="21"/>
  <c r="BZ10" i="21"/>
  <c r="CO10" i="21"/>
  <c r="Q20" i="21"/>
  <c r="AE20" i="21"/>
  <c r="AU20" i="21"/>
  <c r="BJ20" i="21"/>
  <c r="BZ20" i="21"/>
  <c r="CS20" i="21"/>
  <c r="R24" i="21"/>
  <c r="AJ24" i="21"/>
  <c r="BE24" i="21"/>
  <c r="BV24" i="21"/>
  <c r="V27" i="21"/>
  <c r="AO27" i="21"/>
  <c r="BF27" i="21"/>
  <c r="CA27" i="21"/>
  <c r="CS27" i="21"/>
  <c r="G34" i="21"/>
  <c r="Z34" i="21"/>
  <c r="AS34" i="21"/>
  <c r="BK34" i="21"/>
  <c r="CF34" i="21"/>
  <c r="CX34" i="21"/>
  <c r="L40" i="21"/>
  <c r="AE40" i="21"/>
  <c r="AY40" i="21"/>
  <c r="BQ40" i="21"/>
  <c r="CI40" i="21"/>
  <c r="O47" i="21"/>
  <c r="AI47" i="21"/>
  <c r="BA47" i="21"/>
  <c r="BT47" i="21"/>
  <c r="CN47" i="21"/>
  <c r="R53" i="21"/>
  <c r="AI53" i="21"/>
  <c r="BD53" i="21"/>
  <c r="BY53" i="21"/>
  <c r="K59" i="21"/>
  <c r="AD59" i="21"/>
  <c r="AZ59" i="21"/>
  <c r="BY59" i="21"/>
  <c r="CU59" i="21"/>
  <c r="F79" i="21"/>
  <c r="AG79" i="21"/>
  <c r="BI79" i="21"/>
  <c r="CL79" i="21"/>
  <c r="AB88" i="21"/>
  <c r="BH88" i="21"/>
  <c r="CN88" i="21"/>
  <c r="D95" i="21"/>
  <c r="AH95" i="21"/>
  <c r="BO95" i="21"/>
  <c r="CS95" i="21"/>
  <c r="H10" i="21"/>
  <c r="V10" i="21"/>
  <c r="AJ10" i="21"/>
  <c r="AY10" i="21"/>
  <c r="BM10" i="21"/>
  <c r="CB10" i="21"/>
  <c r="CP10" i="21"/>
  <c r="C20" i="21"/>
  <c r="R20" i="21"/>
  <c r="AF20" i="21"/>
  <c r="AV20" i="21"/>
  <c r="BK20" i="21"/>
  <c r="CB20" i="21"/>
  <c r="CT20" i="21"/>
  <c r="T24" i="21"/>
  <c r="AL24" i="21"/>
  <c r="BF24" i="21"/>
  <c r="BZ24" i="21"/>
  <c r="CQ24" i="21"/>
  <c r="E27" i="21"/>
  <c r="W27" i="21"/>
  <c r="AP27" i="21"/>
  <c r="BJ27" i="21"/>
  <c r="CB27" i="21"/>
  <c r="CT27" i="21"/>
  <c r="H34" i="21"/>
  <c r="AA34" i="21"/>
  <c r="AU34" i="21"/>
  <c r="BM34" i="21"/>
  <c r="CG34" i="21"/>
  <c r="CZ34" i="21"/>
  <c r="CV40" i="21"/>
  <c r="CJ40" i="21"/>
  <c r="BX40" i="21"/>
  <c r="BL40" i="21"/>
  <c r="AZ40" i="21"/>
  <c r="AN40" i="21"/>
  <c r="AB40" i="21"/>
  <c r="P40" i="21"/>
  <c r="D40" i="21"/>
  <c r="CY40" i="21"/>
  <c r="CL40" i="21"/>
  <c r="BY40" i="21"/>
  <c r="BK40" i="21"/>
  <c r="AX40" i="21"/>
  <c r="AK40" i="21"/>
  <c r="X40" i="21"/>
  <c r="K40" i="21"/>
  <c r="CN40" i="21"/>
  <c r="BZ40" i="21"/>
  <c r="BJ40" i="21"/>
  <c r="AV40" i="21"/>
  <c r="AH40" i="21"/>
  <c r="T40" i="21"/>
  <c r="F40" i="21"/>
  <c r="CM40" i="21"/>
  <c r="BW40" i="21"/>
  <c r="BI40" i="21"/>
  <c r="AU40" i="21"/>
  <c r="AG40" i="21"/>
  <c r="S40" i="21"/>
  <c r="E40" i="21"/>
  <c r="CT40" i="21"/>
  <c r="CF40" i="21"/>
  <c r="BR40" i="21"/>
  <c r="BD40" i="21"/>
  <c r="AP40" i="21"/>
  <c r="AA40" i="21"/>
  <c r="M40" i="21"/>
  <c r="N40" i="21"/>
  <c r="AF40" i="21"/>
  <c r="BA40" i="21"/>
  <c r="BS40" i="21"/>
  <c r="CK40" i="21"/>
  <c r="Q47" i="21"/>
  <c r="AJ47" i="21"/>
  <c r="BD47" i="21"/>
  <c r="BV47" i="21"/>
  <c r="CO47" i="21"/>
  <c r="S53" i="21"/>
  <c r="AL53" i="21"/>
  <c r="BE53" i="21"/>
  <c r="BZ53" i="21"/>
  <c r="CW53" i="21"/>
  <c r="L59" i="21"/>
  <c r="AH59" i="21"/>
  <c r="BA59" i="21"/>
  <c r="BZ59" i="21"/>
  <c r="CW59" i="21"/>
  <c r="G79" i="21"/>
  <c r="AI79" i="21"/>
  <c r="BK79" i="21"/>
  <c r="CM79" i="21"/>
  <c r="AE88" i="21"/>
  <c r="BI88" i="21"/>
  <c r="CO88" i="21"/>
  <c r="E95" i="21"/>
  <c r="AJ95" i="21"/>
  <c r="BP95" i="21"/>
  <c r="CU95" i="21"/>
  <c r="CQ110" i="21"/>
  <c r="CE110" i="21"/>
  <c r="BS110" i="21"/>
  <c r="BG110" i="21"/>
  <c r="AU110" i="21"/>
  <c r="AI110" i="21"/>
  <c r="W110" i="21"/>
  <c r="K110" i="21"/>
  <c r="CN110" i="21"/>
  <c r="CA110" i="21"/>
  <c r="BN110" i="21"/>
  <c r="BA110" i="21"/>
  <c r="AN110" i="21"/>
  <c r="AA110" i="21"/>
  <c r="N110" i="21"/>
  <c r="CU110" i="21"/>
  <c r="CG110" i="21"/>
  <c r="BR110" i="21"/>
  <c r="BD110" i="21"/>
  <c r="AP110" i="21"/>
  <c r="AB110" i="21"/>
  <c r="M110" i="21"/>
  <c r="CP110" i="21"/>
  <c r="BZ110" i="21"/>
  <c r="BK110" i="21"/>
  <c r="AV110" i="21"/>
  <c r="AF110" i="21"/>
  <c r="Q110" i="21"/>
  <c r="CO110" i="21"/>
  <c r="BY110" i="21"/>
  <c r="BJ110" i="21"/>
  <c r="AT110" i="21"/>
  <c r="AE110" i="21"/>
  <c r="P110" i="21"/>
  <c r="CX110" i="21"/>
  <c r="CI110" i="21"/>
  <c r="BT110" i="21"/>
  <c r="BC110" i="21"/>
  <c r="AM110" i="21"/>
  <c r="X110" i="21"/>
  <c r="H110" i="21"/>
  <c r="CL110" i="21"/>
  <c r="BQ110" i="21"/>
  <c r="AX110" i="21"/>
  <c r="AC110" i="21"/>
  <c r="G110" i="21"/>
  <c r="CK110" i="21"/>
  <c r="BP110" i="21"/>
  <c r="AW110" i="21"/>
  <c r="Z110" i="21"/>
  <c r="F110" i="21"/>
  <c r="CW110" i="21"/>
  <c r="CC110" i="21"/>
  <c r="BH110" i="21"/>
  <c r="AL110" i="21"/>
  <c r="S110" i="21"/>
  <c r="CV110" i="21"/>
  <c r="CB110" i="21"/>
  <c r="BF110" i="21"/>
  <c r="AK110" i="21"/>
  <c r="R110" i="21"/>
  <c r="O110" i="21"/>
  <c r="AS110" i="21"/>
  <c r="BX110" i="21"/>
  <c r="CY115" i="21"/>
  <c r="I10" i="21"/>
  <c r="W10" i="21"/>
  <c r="AL10" i="21"/>
  <c r="AZ10" i="21"/>
  <c r="BN10" i="21"/>
  <c r="CC10" i="21"/>
  <c r="CQ10" i="21"/>
  <c r="E20" i="21"/>
  <c r="S20" i="21"/>
  <c r="AG20" i="21"/>
  <c r="AW20" i="21"/>
  <c r="BM20" i="21"/>
  <c r="CC20" i="21"/>
  <c r="CU20" i="21"/>
  <c r="U24" i="21"/>
  <c r="AP24" i="21"/>
  <c r="BG24" i="21"/>
  <c r="CA24" i="21"/>
  <c r="CT24" i="21"/>
  <c r="F27" i="21"/>
  <c r="X27" i="21"/>
  <c r="AQ27" i="21"/>
  <c r="BK27" i="21"/>
  <c r="CC27" i="21"/>
  <c r="CW27" i="21"/>
  <c r="K34" i="21"/>
  <c r="AC34" i="21"/>
  <c r="AV34" i="21"/>
  <c r="BP34" i="21"/>
  <c r="CH34" i="21"/>
  <c r="CV37" i="21"/>
  <c r="CJ37" i="21"/>
  <c r="BX37" i="21"/>
  <c r="BL37" i="21"/>
  <c r="AZ37" i="21"/>
  <c r="AN37" i="21"/>
  <c r="AB37" i="21"/>
  <c r="P37" i="21"/>
  <c r="D37" i="21"/>
  <c r="CO37" i="21"/>
  <c r="CB37" i="21"/>
  <c r="BO37" i="21"/>
  <c r="BB37" i="21"/>
  <c r="AO37" i="21"/>
  <c r="AA37" i="21"/>
  <c r="N37" i="21"/>
  <c r="CW37" i="21"/>
  <c r="CH37" i="21"/>
  <c r="BT37" i="21"/>
  <c r="BF37" i="21"/>
  <c r="AR37" i="21"/>
  <c r="AD37" i="21"/>
  <c r="O37" i="21"/>
  <c r="CU37" i="21"/>
  <c r="CG37" i="21"/>
  <c r="BS37" i="21"/>
  <c r="BE37" i="21"/>
  <c r="AQ37" i="21"/>
  <c r="AC37" i="21"/>
  <c r="M37" i="21"/>
  <c r="CP37" i="21"/>
  <c r="CA37" i="21"/>
  <c r="BM37" i="21"/>
  <c r="AX37" i="21"/>
  <c r="AJ37" i="21"/>
  <c r="V37" i="21"/>
  <c r="H37" i="21"/>
  <c r="K37" i="21"/>
  <c r="AF37" i="21"/>
  <c r="AW37" i="21"/>
  <c r="BQ37" i="21"/>
  <c r="CK37" i="21"/>
  <c r="O40" i="21"/>
  <c r="AI40" i="21"/>
  <c r="BB40" i="21"/>
  <c r="BT40" i="21"/>
  <c r="CO40" i="21"/>
  <c r="R47" i="21"/>
  <c r="AK47" i="21"/>
  <c r="BE47" i="21"/>
  <c r="BW47" i="21"/>
  <c r="CP47" i="21"/>
  <c r="T53" i="21"/>
  <c r="AM53" i="21"/>
  <c r="BF53" i="21"/>
  <c r="CA53" i="21"/>
  <c r="CX53" i="21"/>
  <c r="M59" i="21"/>
  <c r="AI59" i="21"/>
  <c r="BG59" i="21"/>
  <c r="CB59" i="21"/>
  <c r="CX59" i="21"/>
  <c r="CT79" i="21"/>
  <c r="CH79" i="21"/>
  <c r="BV79" i="21"/>
  <c r="BJ79" i="21"/>
  <c r="AX79" i="21"/>
  <c r="AL79" i="21"/>
  <c r="Z79" i="21"/>
  <c r="N79" i="21"/>
  <c r="CO79" i="21"/>
  <c r="CB79" i="21"/>
  <c r="BO79" i="21"/>
  <c r="BB79" i="21"/>
  <c r="AO79" i="21"/>
  <c r="AB79" i="21"/>
  <c r="O79" i="21"/>
  <c r="CX79" i="21"/>
  <c r="CJ79" i="21"/>
  <c r="BU79" i="21"/>
  <c r="BG79" i="21"/>
  <c r="AS79" i="21"/>
  <c r="AE79" i="21"/>
  <c r="Q79" i="21"/>
  <c r="C79" i="21"/>
  <c r="CI79" i="21"/>
  <c r="BS79" i="21"/>
  <c r="BD79" i="21"/>
  <c r="AN79" i="21"/>
  <c r="X79" i="21"/>
  <c r="I79" i="21"/>
  <c r="CR79" i="21"/>
  <c r="CC79" i="21"/>
  <c r="BM79" i="21"/>
  <c r="AW79" i="21"/>
  <c r="AH79" i="21"/>
  <c r="S79" i="21"/>
  <c r="D79" i="21"/>
  <c r="CQ79" i="21"/>
  <c r="BY79" i="21"/>
  <c r="BF79" i="21"/>
  <c r="AM79" i="21"/>
  <c r="U79" i="21"/>
  <c r="CP79" i="21"/>
  <c r="BX79" i="21"/>
  <c r="BE79" i="21"/>
  <c r="AK79" i="21"/>
  <c r="T79" i="21"/>
  <c r="CG79" i="21"/>
  <c r="BP79" i="21"/>
  <c r="AV79" i="21"/>
  <c r="AD79" i="21"/>
  <c r="K79" i="21"/>
  <c r="CZ79" i="21"/>
  <c r="CF79" i="21"/>
  <c r="BN79" i="21"/>
  <c r="AU79" i="21"/>
  <c r="AC79" i="21"/>
  <c r="J79" i="21"/>
  <c r="H79" i="21"/>
  <c r="AJ79" i="21"/>
  <c r="BL79" i="21"/>
  <c r="CN79" i="21"/>
  <c r="C88" i="21"/>
  <c r="AH88" i="21"/>
  <c r="BN88" i="21"/>
  <c r="CR88" i="21"/>
  <c r="I95" i="21"/>
  <c r="AO95" i="21"/>
  <c r="BS95" i="21"/>
  <c r="CX95" i="21"/>
  <c r="T110" i="21"/>
  <c r="AY110" i="21"/>
  <c r="CD110" i="21"/>
  <c r="AC119" i="21"/>
  <c r="BG119" i="21"/>
  <c r="CM119" i="21"/>
  <c r="J10" i="21"/>
  <c r="X10" i="21"/>
  <c r="AM10" i="21"/>
  <c r="BA10" i="21"/>
  <c r="BP10" i="21"/>
  <c r="CD10" i="21"/>
  <c r="CR10" i="21"/>
  <c r="F20" i="21"/>
  <c r="T20" i="21"/>
  <c r="AI20" i="21"/>
  <c r="AX20" i="21"/>
  <c r="BN20" i="21"/>
  <c r="CF20" i="21"/>
  <c r="C24" i="21"/>
  <c r="V24" i="21"/>
  <c r="AQ24" i="21"/>
  <c r="BH24" i="21"/>
  <c r="CB24" i="21"/>
  <c r="G27" i="21"/>
  <c r="Z27" i="21"/>
  <c r="AR27" i="21"/>
  <c r="BM27" i="21"/>
  <c r="CE27" i="21"/>
  <c r="L34" i="21"/>
  <c r="AD34" i="21"/>
  <c r="AW34" i="21"/>
  <c r="BQ34" i="21"/>
  <c r="CI34" i="21"/>
  <c r="L37" i="21"/>
  <c r="AG37" i="21"/>
  <c r="AY37" i="21"/>
  <c r="BR37" i="21"/>
  <c r="CL37" i="21"/>
  <c r="Q40" i="21"/>
  <c r="AJ40" i="21"/>
  <c r="BC40" i="21"/>
  <c r="BU40" i="21"/>
  <c r="CP40" i="21"/>
  <c r="T47" i="21"/>
  <c r="AL47" i="21"/>
  <c r="BF47" i="21"/>
  <c r="BZ47" i="21"/>
  <c r="CQ47" i="21"/>
  <c r="C53" i="21"/>
  <c r="U53" i="21"/>
  <c r="AP53" i="21"/>
  <c r="BI53" i="21"/>
  <c r="CC53" i="21"/>
  <c r="O59" i="21"/>
  <c r="AJ59" i="21"/>
  <c r="BH59" i="21"/>
  <c r="CD59" i="21"/>
  <c r="CW71" i="21"/>
  <c r="CV71" i="21"/>
  <c r="CJ71" i="21"/>
  <c r="BX71" i="21"/>
  <c r="BL71" i="21"/>
  <c r="AZ71" i="21"/>
  <c r="AN71" i="21"/>
  <c r="AB71" i="21"/>
  <c r="P71" i="21"/>
  <c r="D71" i="21"/>
  <c r="CX71" i="21"/>
  <c r="CI71" i="21"/>
  <c r="BV71" i="21"/>
  <c r="BI71" i="21"/>
  <c r="AV71" i="21"/>
  <c r="AI71" i="21"/>
  <c r="V71" i="21"/>
  <c r="I71" i="21"/>
  <c r="CN71" i="21"/>
  <c r="BZ71" i="21"/>
  <c r="BK71" i="21"/>
  <c r="AW71" i="21"/>
  <c r="AH71" i="21"/>
  <c r="T71" i="21"/>
  <c r="F71" i="21"/>
  <c r="CU71" i="21"/>
  <c r="CG71" i="21"/>
  <c r="BS71" i="21"/>
  <c r="BE71" i="21"/>
  <c r="AQ71" i="21"/>
  <c r="AC71" i="21"/>
  <c r="N71" i="21"/>
  <c r="CS71" i="21"/>
  <c r="CC71" i="21"/>
  <c r="BM71" i="21"/>
  <c r="AT71" i="21"/>
  <c r="AD71" i="21"/>
  <c r="L71" i="21"/>
  <c r="CR71" i="21"/>
  <c r="CB71" i="21"/>
  <c r="BJ71" i="21"/>
  <c r="AS71" i="21"/>
  <c r="AA71" i="21"/>
  <c r="K71" i="21"/>
  <c r="CL71" i="21"/>
  <c r="BT71" i="21"/>
  <c r="BC71" i="21"/>
  <c r="AL71" i="21"/>
  <c r="U71" i="21"/>
  <c r="C71" i="21"/>
  <c r="CK71" i="21"/>
  <c r="BR71" i="21"/>
  <c r="J71" i="21"/>
  <c r="AG71" i="21"/>
  <c r="BD71" i="21"/>
  <c r="CD71" i="21"/>
  <c r="L79" i="21"/>
  <c r="AP79" i="21"/>
  <c r="BQ79" i="21"/>
  <c r="CS79" i="21"/>
  <c r="F88" i="21"/>
  <c r="AJ88" i="21"/>
  <c r="BP88" i="21"/>
  <c r="CT88" i="21"/>
  <c r="E92" i="21"/>
  <c r="AI92" i="21"/>
  <c r="BN92" i="21"/>
  <c r="M95" i="21"/>
  <c r="AR95" i="21"/>
  <c r="BW95" i="21"/>
  <c r="U110" i="21"/>
  <c r="AZ110" i="21"/>
  <c r="CF110" i="21"/>
  <c r="AD119" i="21"/>
  <c r="BH119" i="21"/>
  <c r="CY20" i="21"/>
  <c r="CM20" i="21"/>
  <c r="CA20" i="21"/>
  <c r="CR20" i="21"/>
  <c r="CE20" i="21"/>
  <c r="BR20" i="21"/>
  <c r="BF20" i="21"/>
  <c r="AT20" i="21"/>
  <c r="AH20" i="21"/>
  <c r="V20" i="21"/>
  <c r="J20" i="21"/>
  <c r="CQ20" i="21"/>
  <c r="CD20" i="21"/>
  <c r="BQ20" i="21"/>
  <c r="BE20" i="21"/>
  <c r="AS20" i="21"/>
  <c r="CX20" i="21"/>
  <c r="CK20" i="21"/>
  <c r="BX20" i="21"/>
  <c r="BL20" i="21"/>
  <c r="AZ20" i="21"/>
  <c r="AN20" i="21"/>
  <c r="AB20" i="21"/>
  <c r="P20" i="21"/>
  <c r="D20" i="21"/>
  <c r="AC20" i="21"/>
  <c r="CO20" i="21"/>
  <c r="CL27" i="21"/>
  <c r="BW27" i="21"/>
  <c r="BI27" i="21"/>
  <c r="AT27" i="21"/>
  <c r="AF27" i="21"/>
  <c r="R27" i="21"/>
  <c r="C27" i="21"/>
  <c r="CK27" i="21"/>
  <c r="BV27" i="21"/>
  <c r="BG27" i="21"/>
  <c r="AS27" i="21"/>
  <c r="AE27" i="21"/>
  <c r="Q27" i="21"/>
  <c r="AK27" i="21"/>
  <c r="CP27" i="21"/>
  <c r="V34" i="21"/>
  <c r="CA34" i="21"/>
  <c r="U20" i="21"/>
  <c r="AY20" i="21"/>
  <c r="CG20" i="21"/>
  <c r="I27" i="21"/>
  <c r="AV27" i="21"/>
  <c r="CF27" i="21"/>
  <c r="M34" i="21"/>
  <c r="AX34" i="21"/>
  <c r="CL34" i="21"/>
  <c r="AL40" i="21"/>
  <c r="BV40" i="21"/>
  <c r="AL88" i="21"/>
  <c r="CU88" i="21"/>
  <c r="H20" i="21"/>
  <c r="AK20" i="21"/>
  <c r="BP20" i="21"/>
  <c r="CH20" i="21"/>
  <c r="J27" i="21"/>
  <c r="AW27" i="21"/>
  <c r="N34" i="21"/>
  <c r="AM40" i="21"/>
  <c r="CA40" i="21"/>
  <c r="CR40" i="21"/>
  <c r="C47" i="21"/>
  <c r="AQ47" i="21"/>
  <c r="CB47" i="21"/>
  <c r="P79" i="21"/>
  <c r="BT79" i="21"/>
  <c r="H88" i="21"/>
  <c r="BR88" i="21"/>
  <c r="N20" i="21"/>
  <c r="BH20" i="21"/>
  <c r="S27" i="21"/>
  <c r="G20" i="21"/>
  <c r="AJ20" i="21"/>
  <c r="BO20" i="21"/>
  <c r="CW20" i="21"/>
  <c r="AA27" i="21"/>
  <c r="BN27" i="21"/>
  <c r="CV34" i="21"/>
  <c r="CJ34" i="21"/>
  <c r="BX34" i="21"/>
  <c r="BL34" i="21"/>
  <c r="AZ34" i="21"/>
  <c r="AN34" i="21"/>
  <c r="AB34" i="21"/>
  <c r="P34" i="21"/>
  <c r="D34" i="21"/>
  <c r="CR34" i="21"/>
  <c r="CE34" i="21"/>
  <c r="BR34" i="21"/>
  <c r="BE34" i="21"/>
  <c r="AR34" i="21"/>
  <c r="AE34" i="21"/>
  <c r="R34" i="21"/>
  <c r="E34" i="21"/>
  <c r="CQ34" i="21"/>
  <c r="CC34" i="21"/>
  <c r="BO34" i="21"/>
  <c r="BA34" i="21"/>
  <c r="AL34" i="21"/>
  <c r="X34" i="21"/>
  <c r="J34" i="21"/>
  <c r="CP34" i="21"/>
  <c r="CB34" i="21"/>
  <c r="BN34" i="21"/>
  <c r="AY34" i="21"/>
  <c r="AK34" i="21"/>
  <c r="W34" i="21"/>
  <c r="I34" i="21"/>
  <c r="CY34" i="21"/>
  <c r="CK34" i="21"/>
  <c r="BV34" i="21"/>
  <c r="BH34" i="21"/>
  <c r="AT34" i="21"/>
  <c r="AF34" i="21"/>
  <c r="Q34" i="21"/>
  <c r="AG34" i="21"/>
  <c r="BS34" i="21"/>
  <c r="R40" i="21"/>
  <c r="BE40" i="21"/>
  <c r="CQ40" i="21"/>
  <c r="G88" i="21"/>
  <c r="BQ88" i="21"/>
  <c r="W20" i="21"/>
  <c r="BA20" i="21"/>
  <c r="CZ20" i="21"/>
  <c r="AC27" i="21"/>
  <c r="BO27" i="21"/>
  <c r="CG27" i="21"/>
  <c r="AH34" i="21"/>
  <c r="BB34" i="21"/>
  <c r="CM34" i="21"/>
  <c r="U40" i="21"/>
  <c r="BF40" i="21"/>
  <c r="W47" i="21"/>
  <c r="BI47" i="21"/>
  <c r="CW47" i="21"/>
  <c r="CY59" i="21"/>
  <c r="CM59" i="21"/>
  <c r="CA59" i="21"/>
  <c r="BO59" i="21"/>
  <c r="BC59" i="21"/>
  <c r="AQ59" i="21"/>
  <c r="AE59" i="21"/>
  <c r="S59" i="21"/>
  <c r="G59" i="21"/>
  <c r="CP59" i="21"/>
  <c r="CC59" i="21"/>
  <c r="BP59" i="21"/>
  <c r="BB59" i="21"/>
  <c r="AO59" i="21"/>
  <c r="CZ59" i="21"/>
  <c r="CK59" i="21"/>
  <c r="BW59" i="21"/>
  <c r="BI59" i="21"/>
  <c r="AU59" i="21"/>
  <c r="AG59" i="21"/>
  <c r="T59" i="21"/>
  <c r="F59" i="21"/>
  <c r="CT59" i="21"/>
  <c r="CF59" i="21"/>
  <c r="BR59" i="21"/>
  <c r="BD59" i="21"/>
  <c r="AN59" i="21"/>
  <c r="AA59" i="21"/>
  <c r="N59" i="21"/>
  <c r="CN59" i="21"/>
  <c r="BV59" i="21"/>
  <c r="BF59" i="21"/>
  <c r="AM59" i="21"/>
  <c r="X59" i="21"/>
  <c r="I59" i="21"/>
  <c r="CL59" i="21"/>
  <c r="BU59" i="21"/>
  <c r="BE59" i="21"/>
  <c r="AL59" i="21"/>
  <c r="W59" i="21"/>
  <c r="H59" i="21"/>
  <c r="CV59" i="21"/>
  <c r="CE59" i="21"/>
  <c r="BM59" i="21"/>
  <c r="AW59" i="21"/>
  <c r="AF59" i="21"/>
  <c r="P59" i="21"/>
  <c r="R59" i="21"/>
  <c r="AP59" i="21"/>
  <c r="CH59" i="21"/>
  <c r="AR79" i="21"/>
  <c r="CV79" i="21"/>
  <c r="AM88" i="21"/>
  <c r="CX88" i="21"/>
  <c r="CT95" i="21"/>
  <c r="CH95" i="21"/>
  <c r="BV95" i="21"/>
  <c r="BJ95" i="21"/>
  <c r="AX95" i="21"/>
  <c r="AL95" i="21"/>
  <c r="Z95" i="21"/>
  <c r="N95" i="21"/>
  <c r="CZ95" i="21"/>
  <c r="CM95" i="21"/>
  <c r="BZ95" i="21"/>
  <c r="BM95" i="21"/>
  <c r="AZ95" i="21"/>
  <c r="AM95" i="21"/>
  <c r="Y95" i="21"/>
  <c r="L95" i="21"/>
  <c r="CO95" i="21"/>
  <c r="CA95" i="21"/>
  <c r="BL95" i="21"/>
  <c r="AW95" i="21"/>
  <c r="AI95" i="21"/>
  <c r="U95" i="21"/>
  <c r="G95" i="21"/>
  <c r="CW95" i="21"/>
  <c r="CG95" i="21"/>
  <c r="BR95" i="21"/>
  <c r="BC95" i="21"/>
  <c r="AN95" i="21"/>
  <c r="W95" i="21"/>
  <c r="H95" i="21"/>
  <c r="CV95" i="21"/>
  <c r="CF95" i="21"/>
  <c r="BQ95" i="21"/>
  <c r="BB95" i="21"/>
  <c r="AK95" i="21"/>
  <c r="V95" i="21"/>
  <c r="F95" i="21"/>
  <c r="CP95" i="21"/>
  <c r="BY95" i="21"/>
  <c r="BI95" i="21"/>
  <c r="AT95" i="21"/>
  <c r="AE95" i="21"/>
  <c r="P95" i="21"/>
  <c r="CQ95" i="21"/>
  <c r="BU95" i="21"/>
  <c r="BA95" i="21"/>
  <c r="AF95" i="21"/>
  <c r="K95" i="21"/>
  <c r="CN95" i="21"/>
  <c r="BT95" i="21"/>
  <c r="AY95" i="21"/>
  <c r="AD95" i="21"/>
  <c r="J95" i="21"/>
  <c r="CE95" i="21"/>
  <c r="BK95" i="21"/>
  <c r="AQ95" i="21"/>
  <c r="T95" i="21"/>
  <c r="CY95" i="21"/>
  <c r="CD95" i="21"/>
  <c r="BH95" i="21"/>
  <c r="AP95" i="21"/>
  <c r="S95" i="21"/>
  <c r="AU95" i="21"/>
  <c r="CB95" i="21"/>
  <c r="CZ115" i="21"/>
  <c r="N10" i="21"/>
  <c r="AB10" i="21"/>
  <c r="AP10" i="21"/>
  <c r="BE10" i="21"/>
  <c r="BS10" i="21"/>
  <c r="CH10" i="21"/>
  <c r="CV10" i="21"/>
  <c r="I20" i="21"/>
  <c r="X20" i="21"/>
  <c r="AL20" i="21"/>
  <c r="BB20" i="21"/>
  <c r="BS20" i="21"/>
  <c r="CI20" i="21"/>
  <c r="CV24" i="21"/>
  <c r="CJ24" i="21"/>
  <c r="BX24" i="21"/>
  <c r="BL24" i="21"/>
  <c r="AZ24" i="21"/>
  <c r="AN24" i="21"/>
  <c r="AB24" i="21"/>
  <c r="P24" i="21"/>
  <c r="D24" i="21"/>
  <c r="CY24" i="21"/>
  <c r="CL24" i="21"/>
  <c r="BY24" i="21"/>
  <c r="BK24" i="21"/>
  <c r="AX24" i="21"/>
  <c r="AK24" i="21"/>
  <c r="X24" i="21"/>
  <c r="K24" i="21"/>
  <c r="CS24" i="21"/>
  <c r="CE24" i="21"/>
  <c r="BQ24" i="21"/>
  <c r="BC24" i="21"/>
  <c r="AO24" i="21"/>
  <c r="Z24" i="21"/>
  <c r="L24" i="21"/>
  <c r="CR24" i="21"/>
  <c r="CD24" i="21"/>
  <c r="BP24" i="21"/>
  <c r="BB24" i="21"/>
  <c r="AM24" i="21"/>
  <c r="Y24" i="21"/>
  <c r="J24" i="21"/>
  <c r="CM24" i="21"/>
  <c r="BW24" i="21"/>
  <c r="BI24" i="21"/>
  <c r="AU24" i="21"/>
  <c r="AG24" i="21"/>
  <c r="S24" i="21"/>
  <c r="E24" i="21"/>
  <c r="H24" i="21"/>
  <c r="AC24" i="21"/>
  <c r="AT24" i="21"/>
  <c r="BN24" i="21"/>
  <c r="CG24" i="21"/>
  <c r="CZ24" i="21"/>
  <c r="L27" i="21"/>
  <c r="AD27" i="21"/>
  <c r="AX27" i="21"/>
  <c r="BQ27" i="21"/>
  <c r="CI27" i="21"/>
  <c r="O34" i="21"/>
  <c r="AI34" i="21"/>
  <c r="BC34" i="21"/>
  <c r="BU34" i="21"/>
  <c r="CN34" i="21"/>
  <c r="V40" i="21"/>
  <c r="AO40" i="21"/>
  <c r="BG40" i="21"/>
  <c r="CB40" i="21"/>
  <c r="F47" i="21"/>
  <c r="X47" i="21"/>
  <c r="AR47" i="21"/>
  <c r="BK47" i="21"/>
  <c r="CC47" i="21"/>
  <c r="CX47" i="21"/>
  <c r="CV53" i="21"/>
  <c r="CJ53" i="21"/>
  <c r="BX53" i="21"/>
  <c r="BL53" i="21"/>
  <c r="AZ53" i="21"/>
  <c r="AN53" i="21"/>
  <c r="AB53" i="21"/>
  <c r="P53" i="21"/>
  <c r="D53" i="21"/>
  <c r="CT53" i="21"/>
  <c r="CG53" i="21"/>
  <c r="BT53" i="21"/>
  <c r="BG53" i="21"/>
  <c r="CO53" i="21"/>
  <c r="CB53" i="21"/>
  <c r="BO53" i="21"/>
  <c r="BB53" i="21"/>
  <c r="AO53" i="21"/>
  <c r="AA53" i="21"/>
  <c r="N53" i="21"/>
  <c r="CU53" i="21"/>
  <c r="CE53" i="21"/>
  <c r="BP53" i="21"/>
  <c r="AY53" i="21"/>
  <c r="AK53" i="21"/>
  <c r="W53" i="21"/>
  <c r="I53" i="21"/>
  <c r="CS53" i="21"/>
  <c r="CD53" i="21"/>
  <c r="BN53" i="21"/>
  <c r="AX53" i="21"/>
  <c r="AJ53" i="21"/>
  <c r="V53" i="21"/>
  <c r="H53" i="21"/>
  <c r="CM53" i="21"/>
  <c r="BW53" i="21"/>
  <c r="BH53" i="21"/>
  <c r="AS53" i="21"/>
  <c r="AE53" i="21"/>
  <c r="Q53" i="21"/>
  <c r="G53" i="21"/>
  <c r="Z53" i="21"/>
  <c r="AT53" i="21"/>
  <c r="BM53" i="21"/>
  <c r="CI53" i="21"/>
  <c r="U59" i="21"/>
  <c r="AR59" i="21"/>
  <c r="BL59" i="21"/>
  <c r="CI59" i="21"/>
  <c r="R79" i="21"/>
  <c r="AT79" i="21"/>
  <c r="BW79" i="21"/>
  <c r="CW79" i="21"/>
  <c r="N88" i="21"/>
  <c r="AT88" i="21"/>
  <c r="BZ88" i="21"/>
  <c r="R95" i="21"/>
  <c r="AV95" i="21"/>
  <c r="CC95" i="21"/>
  <c r="O10" i="21"/>
  <c r="AC10" i="21"/>
  <c r="AR10" i="21"/>
  <c r="BF10" i="21"/>
  <c r="BT10" i="21"/>
  <c r="CI10" i="21"/>
  <c r="CW10" i="21"/>
  <c r="K20" i="21"/>
  <c r="Y20" i="21"/>
  <c r="AM20" i="21"/>
  <c r="BC20" i="21"/>
  <c r="BT20" i="21"/>
  <c r="CJ20" i="21"/>
  <c r="I24" i="21"/>
  <c r="AD24" i="21"/>
  <c r="AV24" i="21"/>
  <c r="BO24" i="21"/>
  <c r="CH24" i="21"/>
  <c r="M27" i="21"/>
  <c r="AG27" i="21"/>
  <c r="AY27" i="21"/>
  <c r="BR27" i="21"/>
  <c r="CM27" i="21"/>
  <c r="S34" i="21"/>
  <c r="AJ34" i="21"/>
  <c r="BD34" i="21"/>
  <c r="BW34" i="21"/>
  <c r="CO34" i="21"/>
  <c r="C40" i="21"/>
  <c r="W40" i="21"/>
  <c r="AQ40" i="21"/>
  <c r="BH40" i="21"/>
  <c r="CC40" i="21"/>
  <c r="CU40" i="21"/>
  <c r="G47" i="21"/>
  <c r="AA47" i="21"/>
  <c r="AS47" i="21"/>
  <c r="BM47" i="21"/>
  <c r="CF47" i="21"/>
  <c r="CY47" i="21"/>
  <c r="J53" i="21"/>
  <c r="AC53" i="21"/>
  <c r="AU53" i="21"/>
  <c r="BQ53" i="21"/>
  <c r="CK53" i="21"/>
  <c r="V59" i="21"/>
  <c r="AS59" i="21"/>
  <c r="BN59" i="21"/>
  <c r="CJ59" i="21"/>
  <c r="V79" i="21"/>
  <c r="AY79" i="21"/>
  <c r="BZ79" i="21"/>
  <c r="P88" i="21"/>
  <c r="AU88" i="21"/>
  <c r="CA88" i="21"/>
  <c r="X95" i="21"/>
  <c r="BD95" i="21"/>
  <c r="CI95" i="21"/>
  <c r="C110" i="21"/>
  <c r="AG110" i="21"/>
  <c r="CR110" i="21"/>
  <c r="P10" i="21"/>
  <c r="AD10" i="21"/>
  <c r="AS10" i="21"/>
  <c r="BG10" i="21"/>
  <c r="BV10" i="21"/>
  <c r="CJ10" i="21"/>
  <c r="CX10" i="21"/>
  <c r="L20" i="21"/>
  <c r="Z20" i="21"/>
  <c r="AO20" i="21"/>
  <c r="BD20" i="21"/>
  <c r="BU20" i="21"/>
  <c r="CL20" i="21"/>
  <c r="M24" i="21"/>
  <c r="AE24" i="21"/>
  <c r="AW24" i="21"/>
  <c r="BR24" i="21"/>
  <c r="CI24" i="21"/>
  <c r="CY27" i="21"/>
  <c r="N27" i="21"/>
  <c r="AI27" i="21"/>
  <c r="BA27" i="21"/>
  <c r="BS27" i="21"/>
  <c r="CN27" i="21"/>
  <c r="T34" i="21"/>
  <c r="AM34" i="21"/>
  <c r="BF34" i="21"/>
  <c r="BY34" i="21"/>
  <c r="CS34" i="21"/>
  <c r="G40" i="21"/>
  <c r="Y40" i="21"/>
  <c r="AR40" i="21"/>
  <c r="BM40" i="21"/>
  <c r="CD40" i="21"/>
  <c r="CW40" i="21"/>
  <c r="I47" i="21"/>
  <c r="AC47" i="21"/>
  <c r="AT47" i="21"/>
  <c r="BN47" i="21"/>
  <c r="K53" i="21"/>
  <c r="AD53" i="21"/>
  <c r="AV53" i="21"/>
  <c r="BR53" i="21"/>
  <c r="CL53" i="21"/>
  <c r="C59" i="21"/>
  <c r="Y59" i="21"/>
  <c r="AT59" i="21"/>
  <c r="BQ59" i="21"/>
  <c r="CO59" i="21"/>
  <c r="W79" i="21"/>
  <c r="AZ79" i="21"/>
  <c r="CS88" i="21"/>
  <c r="R88" i="21"/>
  <c r="AV88" i="21"/>
  <c r="CB88" i="21"/>
  <c r="AA95" i="21"/>
  <c r="BE95" i="21"/>
  <c r="CJ95" i="21"/>
  <c r="D110" i="21"/>
  <c r="AH110" i="21"/>
  <c r="BM110" i="21"/>
  <c r="CS110" i="21"/>
  <c r="CT119" i="21"/>
  <c r="CH119" i="21"/>
  <c r="BV119" i="21"/>
  <c r="BJ119" i="21"/>
  <c r="AX119" i="21"/>
  <c r="AL119" i="21"/>
  <c r="Z119" i="21"/>
  <c r="N119" i="21"/>
  <c r="CW119" i="21"/>
  <c r="CJ119" i="21"/>
  <c r="BW119" i="21"/>
  <c r="BI119" i="21"/>
  <c r="AV119" i="21"/>
  <c r="AI119" i="21"/>
  <c r="V119" i="21"/>
  <c r="I119" i="21"/>
  <c r="CS119" i="21"/>
  <c r="CE119" i="21"/>
  <c r="BQ119" i="21"/>
  <c r="BC119" i="21"/>
  <c r="AO119" i="21"/>
  <c r="AA119" i="21"/>
  <c r="L119" i="21"/>
  <c r="CQ119" i="21"/>
  <c r="CB119" i="21"/>
  <c r="BM119" i="21"/>
  <c r="AW119" i="21"/>
  <c r="AG119" i="21"/>
  <c r="R119" i="21"/>
  <c r="C119" i="21"/>
  <c r="CP119" i="21"/>
  <c r="CA119" i="21"/>
  <c r="BL119" i="21"/>
  <c r="AU119" i="21"/>
  <c r="AF119" i="21"/>
  <c r="Q119" i="21"/>
  <c r="CZ119" i="21"/>
  <c r="CK119" i="21"/>
  <c r="BT119" i="21"/>
  <c r="BE119" i="21"/>
  <c r="AP119" i="21"/>
  <c r="Y119" i="21"/>
  <c r="J119" i="21"/>
  <c r="CV119" i="21"/>
  <c r="BZ119" i="21"/>
  <c r="BF119" i="21"/>
  <c r="AK119" i="21"/>
  <c r="P119" i="21"/>
  <c r="CU119" i="21"/>
  <c r="BY119" i="21"/>
  <c r="BD119" i="21"/>
  <c r="AJ119" i="21"/>
  <c r="O119" i="21"/>
  <c r="CL119" i="21"/>
  <c r="BP119" i="21"/>
  <c r="AT119" i="21"/>
  <c r="AB119" i="21"/>
  <c r="F119" i="21"/>
  <c r="CI119" i="21"/>
  <c r="BO119" i="21"/>
  <c r="AS119" i="21"/>
  <c r="X119" i="21"/>
  <c r="E119" i="21"/>
  <c r="K119" i="21"/>
  <c r="AQ119" i="21"/>
  <c r="BU119" i="21"/>
  <c r="C10" i="21"/>
  <c r="Q10" i="21"/>
  <c r="AF10" i="21"/>
  <c r="AT10" i="21"/>
  <c r="BH10" i="21"/>
  <c r="BW10" i="21"/>
  <c r="CK10" i="21"/>
  <c r="M20" i="21"/>
  <c r="AA20" i="21"/>
  <c r="AP20" i="21"/>
  <c r="BG20" i="21"/>
  <c r="BV20" i="21"/>
  <c r="CN20" i="21"/>
  <c r="N24" i="21"/>
  <c r="AF24" i="21"/>
  <c r="AY24" i="21"/>
  <c r="BS24" i="21"/>
  <c r="CK24" i="21"/>
  <c r="CZ27" i="21"/>
  <c r="O27" i="21"/>
  <c r="AJ27" i="21"/>
  <c r="BC27" i="21"/>
  <c r="BT27" i="21"/>
  <c r="CO27" i="21"/>
  <c r="U34" i="21"/>
  <c r="AO34" i="21"/>
  <c r="BG34" i="21"/>
  <c r="BZ34" i="21"/>
  <c r="CT34" i="21"/>
  <c r="E37" i="21"/>
  <c r="W37" i="21"/>
  <c r="AP37" i="21"/>
  <c r="BI37" i="21"/>
  <c r="CC37" i="21"/>
  <c r="CT37" i="21"/>
  <c r="H40" i="21"/>
  <c r="Z40" i="21"/>
  <c r="AS40" i="21"/>
  <c r="BN40" i="21"/>
  <c r="CE40" i="21"/>
  <c r="CX40" i="21"/>
  <c r="J47" i="21"/>
  <c r="AD47" i="21"/>
  <c r="AW47" i="21"/>
  <c r="BO47" i="21"/>
  <c r="L53" i="21"/>
  <c r="AF53" i="21"/>
  <c r="AW53" i="21"/>
  <c r="BS53" i="21"/>
  <c r="CN53" i="21"/>
  <c r="D59" i="21"/>
  <c r="Z59" i="21"/>
  <c r="AV59" i="21"/>
  <c r="BS59" i="21"/>
  <c r="CQ59" i="21"/>
  <c r="Y79" i="21"/>
  <c r="BA79" i="21"/>
  <c r="CD79" i="21"/>
  <c r="S88" i="21"/>
  <c r="AW88" i="21"/>
  <c r="CC88" i="21"/>
  <c r="CX92" i="21"/>
  <c r="CI92" i="21"/>
  <c r="BS92" i="21"/>
  <c r="BC92" i="21"/>
  <c r="AN92" i="21"/>
  <c r="X92" i="21"/>
  <c r="I92" i="21"/>
  <c r="CZ92" i="21"/>
  <c r="CC92" i="21"/>
  <c r="BI92" i="21"/>
  <c r="AO92" i="21"/>
  <c r="T92" i="21"/>
  <c r="CV92" i="21"/>
  <c r="CB92" i="21"/>
  <c r="BG92" i="21"/>
  <c r="AK92" i="21"/>
  <c r="S92" i="21"/>
  <c r="CN92" i="21"/>
  <c r="BT92" i="21"/>
  <c r="AY92" i="21"/>
  <c r="AC92" i="21"/>
  <c r="J92" i="21"/>
  <c r="CM92" i="21"/>
  <c r="BP92" i="21"/>
  <c r="AW92" i="21"/>
  <c r="AB92" i="21"/>
  <c r="G92" i="21"/>
  <c r="U92" i="21"/>
  <c r="AZ92" i="21"/>
  <c r="CE92" i="21"/>
  <c r="AB95" i="21"/>
  <c r="BF95" i="21"/>
  <c r="CK95" i="21"/>
  <c r="E110" i="21"/>
  <c r="AJ110" i="21"/>
  <c r="BO110" i="21"/>
  <c r="CT110" i="21"/>
  <c r="M119" i="21"/>
  <c r="AR119" i="21"/>
  <c r="BX119" i="21"/>
  <c r="CY79" i="21"/>
  <c r="CV27" i="21"/>
  <c r="CJ27" i="21"/>
  <c r="BX27" i="21"/>
  <c r="BL27" i="21"/>
  <c r="AZ27" i="21"/>
  <c r="AN27" i="21"/>
  <c r="AB27" i="21"/>
  <c r="P27" i="21"/>
  <c r="D27" i="21"/>
  <c r="CU27" i="21"/>
  <c r="CH27" i="21"/>
  <c r="BU27" i="21"/>
  <c r="BH27" i="21"/>
  <c r="AU27" i="21"/>
  <c r="AH27" i="21"/>
  <c r="U27" i="21"/>
  <c r="H27" i="21"/>
  <c r="K27" i="21"/>
  <c r="Y27" i="21"/>
  <c r="AM27" i="21"/>
  <c r="BB27" i="21"/>
  <c r="BP27" i="21"/>
  <c r="CD27" i="21"/>
  <c r="CR27" i="21"/>
  <c r="E47" i="21"/>
  <c r="S47" i="21"/>
  <c r="AG47" i="21"/>
  <c r="AV47" i="21"/>
  <c r="BJ47" i="21"/>
  <c r="BY47" i="21"/>
  <c r="CY49" i="21"/>
  <c r="CM49" i="21"/>
  <c r="CA49" i="21"/>
  <c r="BO49" i="21"/>
  <c r="BC49" i="21"/>
  <c r="AQ49" i="21"/>
  <c r="AE49" i="21"/>
  <c r="S49" i="21"/>
  <c r="G49" i="21"/>
  <c r="CU49" i="21"/>
  <c r="CH49" i="21"/>
  <c r="BU49" i="21"/>
  <c r="BH49" i="21"/>
  <c r="AU49" i="21"/>
  <c r="AH49" i="21"/>
  <c r="U49" i="21"/>
  <c r="H49" i="21"/>
  <c r="N49" i="21"/>
  <c r="AB49" i="21"/>
  <c r="AP49" i="21"/>
  <c r="BE49" i="21"/>
  <c r="BS49" i="21"/>
  <c r="CG49" i="21"/>
  <c r="CV49" i="21"/>
  <c r="CW81" i="21"/>
  <c r="CK81" i="21"/>
  <c r="BY81" i="21"/>
  <c r="BM81" i="21"/>
  <c r="BA81" i="21"/>
  <c r="AO81" i="21"/>
  <c r="AC81" i="21"/>
  <c r="Q81" i="21"/>
  <c r="E81" i="21"/>
  <c r="CO81" i="21"/>
  <c r="CB81" i="21"/>
  <c r="BO81" i="21"/>
  <c r="BB81" i="21"/>
  <c r="AN81" i="21"/>
  <c r="AA81" i="21"/>
  <c r="N81" i="21"/>
  <c r="CR81" i="21"/>
  <c r="CD81" i="21"/>
  <c r="BP81" i="21"/>
  <c r="AZ81" i="21"/>
  <c r="AL81" i="21"/>
  <c r="X81" i="21"/>
  <c r="J81" i="21"/>
  <c r="CM81" i="21"/>
  <c r="BW81" i="21"/>
  <c r="CL81" i="21"/>
  <c r="BV81" i="21"/>
  <c r="BG81" i="21"/>
  <c r="AR81" i="21"/>
  <c r="AB81" i="21"/>
  <c r="L81" i="21"/>
  <c r="CU81" i="21"/>
  <c r="CF81" i="21"/>
  <c r="BQ81" i="21"/>
  <c r="AY81" i="21"/>
  <c r="AJ81" i="21"/>
  <c r="U81" i="21"/>
  <c r="F81" i="21"/>
  <c r="R81" i="21"/>
  <c r="AI81" i="21"/>
  <c r="BD81" i="21"/>
  <c r="BU81" i="21"/>
  <c r="CQ81" i="21"/>
  <c r="CP92" i="21"/>
  <c r="CQ99" i="21"/>
  <c r="CE99" i="21"/>
  <c r="BS99" i="21"/>
  <c r="BG99" i="21"/>
  <c r="AU99" i="21"/>
  <c r="AI99" i="21"/>
  <c r="W99" i="21"/>
  <c r="K99" i="21"/>
  <c r="CS99" i="21"/>
  <c r="CF99" i="21"/>
  <c r="BR99" i="21"/>
  <c r="BE99" i="21"/>
  <c r="AR99" i="21"/>
  <c r="AE99" i="21"/>
  <c r="R99" i="21"/>
  <c r="E99" i="21"/>
  <c r="CP99" i="21"/>
  <c r="CB99" i="21"/>
  <c r="BN99" i="21"/>
  <c r="AZ99" i="21"/>
  <c r="AL99" i="21"/>
  <c r="X99" i="21"/>
  <c r="I99" i="21"/>
  <c r="CT99" i="21"/>
  <c r="CC99" i="21"/>
  <c r="BM99" i="21"/>
  <c r="AX99" i="21"/>
  <c r="AH99" i="21"/>
  <c r="S99" i="21"/>
  <c r="C99" i="21"/>
  <c r="CR99" i="21"/>
  <c r="CA99" i="21"/>
  <c r="BL99" i="21"/>
  <c r="AW99" i="21"/>
  <c r="AG99" i="21"/>
  <c r="Q99" i="21"/>
  <c r="CZ99" i="21"/>
  <c r="CK99" i="21"/>
  <c r="BV99" i="21"/>
  <c r="BF99" i="21"/>
  <c r="AP99" i="21"/>
  <c r="AA99" i="21"/>
  <c r="L99" i="21"/>
  <c r="H99" i="21"/>
  <c r="AC99" i="21"/>
  <c r="AY99" i="21"/>
  <c r="BT99" i="21"/>
  <c r="CM99" i="21"/>
  <c r="CV47" i="21"/>
  <c r="CJ47" i="21"/>
  <c r="BX47" i="21"/>
  <c r="BL47" i="21"/>
  <c r="AZ47" i="21"/>
  <c r="AN47" i="21"/>
  <c r="AB47" i="21"/>
  <c r="P47" i="21"/>
  <c r="D47" i="21"/>
  <c r="CU47" i="21"/>
  <c r="CH47" i="21"/>
  <c r="BU47" i="21"/>
  <c r="BH47" i="21"/>
  <c r="AU47" i="21"/>
  <c r="AH47" i="21"/>
  <c r="U47" i="21"/>
  <c r="H47" i="21"/>
  <c r="K47" i="21"/>
  <c r="Y47" i="21"/>
  <c r="AM47" i="21"/>
  <c r="BB47" i="21"/>
  <c r="BP47" i="21"/>
  <c r="CD47" i="21"/>
  <c r="CR47" i="21"/>
  <c r="L47" i="21"/>
  <c r="Z47" i="21"/>
  <c r="AO47" i="21"/>
  <c r="BC47" i="21"/>
  <c r="BQ47" i="21"/>
  <c r="CE47" i="21"/>
  <c r="CS47" i="21"/>
  <c r="T99" i="21"/>
  <c r="AN99" i="21"/>
  <c r="BI99" i="21"/>
  <c r="CD99" i="21"/>
  <c r="D88" i="21"/>
  <c r="T88" i="21"/>
  <c r="AI88" i="21"/>
  <c r="AY88" i="21"/>
  <c r="BO88" i="21"/>
  <c r="CD88" i="21"/>
  <c r="P92" i="21"/>
  <c r="AG92" i="21"/>
  <c r="AV92" i="21"/>
  <c r="BL92" i="21"/>
  <c r="CA92" i="21"/>
  <c r="O115" i="21"/>
  <c r="AF115" i="21"/>
  <c r="AU115" i="21"/>
  <c r="BJ115" i="21"/>
  <c r="BZ115" i="21"/>
  <c r="CO115" i="21"/>
  <c r="CW88" i="21"/>
  <c r="CK88" i="21"/>
  <c r="BY88" i="21"/>
  <c r="BM88" i="21"/>
  <c r="BA88" i="21"/>
  <c r="AO88" i="21"/>
  <c r="AC88" i="21"/>
  <c r="Q88" i="21"/>
  <c r="E88" i="21"/>
  <c r="CY88" i="21"/>
  <c r="CL88" i="21"/>
  <c r="BX88" i="21"/>
  <c r="BK88" i="21"/>
  <c r="AX88" i="21"/>
  <c r="AK88" i="21"/>
  <c r="X88" i="21"/>
  <c r="K88" i="21"/>
  <c r="CV88" i="21"/>
  <c r="CH88" i="21"/>
  <c r="BT88" i="21"/>
  <c r="BF88" i="21"/>
  <c r="AR88" i="21"/>
  <c r="AD88" i="21"/>
  <c r="O88" i="21"/>
  <c r="J88" i="21"/>
  <c r="Z88" i="21"/>
  <c r="AP88" i="21"/>
  <c r="BE88" i="21"/>
  <c r="BU88" i="21"/>
  <c r="CJ88" i="21"/>
  <c r="CT92" i="21"/>
  <c r="CH92" i="21"/>
  <c r="BV92" i="21"/>
  <c r="BJ92" i="21"/>
  <c r="AX92" i="21"/>
  <c r="AL92" i="21"/>
  <c r="Z92" i="21"/>
  <c r="N92" i="21"/>
  <c r="CQ92" i="21"/>
  <c r="CD92" i="21"/>
  <c r="BQ92" i="21"/>
  <c r="BD92" i="21"/>
  <c r="AQ92" i="21"/>
  <c r="AD92" i="21"/>
  <c r="Q92" i="21"/>
  <c r="D92" i="21"/>
  <c r="CY92" i="21"/>
  <c r="CK92" i="21"/>
  <c r="BW92" i="21"/>
  <c r="BH92" i="21"/>
  <c r="AT92" i="21"/>
  <c r="AF92" i="21"/>
  <c r="R92" i="21"/>
  <c r="C92" i="21"/>
  <c r="H92" i="21"/>
  <c r="W92" i="21"/>
  <c r="AM92" i="21"/>
  <c r="BB92" i="21"/>
  <c r="BR92" i="21"/>
  <c r="CG92" i="21"/>
  <c r="CW92" i="21"/>
  <c r="G115" i="21"/>
  <c r="V115" i="21"/>
  <c r="AK115" i="21"/>
  <c r="AZ115" i="21"/>
  <c r="BR115" i="21"/>
  <c r="CG115" i="21"/>
  <c r="CS115" i="21"/>
  <c r="CE115" i="21"/>
  <c r="BP115" i="21"/>
  <c r="BB115" i="21"/>
  <c r="AM115" i="21"/>
  <c r="Y115" i="21"/>
  <c r="K115" i="21"/>
  <c r="H115" i="21"/>
  <c r="W115" i="21"/>
  <c r="AL115" i="21"/>
  <c r="BC115" i="21"/>
  <c r="BS115" i="21"/>
  <c r="CH115" i="21"/>
  <c r="CX115" i="21"/>
  <c r="CW115" i="21"/>
  <c r="CK115" i="21"/>
  <c r="BY115" i="21"/>
  <c r="BM115" i="21"/>
  <c r="BA115" i="21"/>
  <c r="AO115" i="21"/>
  <c r="AC115" i="21"/>
  <c r="Q115" i="21"/>
  <c r="E115" i="21"/>
  <c r="C115" i="21"/>
  <c r="P115" i="21"/>
  <c r="AD115" i="21"/>
  <c r="AQ115" i="21"/>
  <c r="BD115" i="21"/>
  <c r="BQ115" i="21"/>
  <c r="CD115" i="21"/>
  <c r="CQ115" i="21"/>
  <c r="F10" i="20"/>
  <c r="BC10" i="20"/>
  <c r="BS10" i="20"/>
  <c r="CE10" i="20"/>
  <c r="AF10" i="20"/>
  <c r="AV10" i="20"/>
  <c r="CZ10" i="20"/>
  <c r="BY10" i="20"/>
  <c r="AY10" i="20"/>
  <c r="X10" i="20"/>
  <c r="CY10" i="20"/>
  <c r="V10" i="20"/>
  <c r="CV71" i="20"/>
  <c r="CY71" i="20"/>
  <c r="CL71" i="20"/>
  <c r="BZ71" i="20"/>
  <c r="BN71" i="20"/>
  <c r="BB71" i="20"/>
  <c r="AP71" i="20"/>
  <c r="AD71" i="20"/>
  <c r="R71" i="20"/>
  <c r="F71" i="20"/>
  <c r="CQ71" i="20"/>
  <c r="CD71" i="20"/>
  <c r="BQ71" i="20"/>
  <c r="BD71" i="20"/>
  <c r="AQ71" i="20"/>
  <c r="AC71" i="20"/>
  <c r="P71" i="20"/>
  <c r="C71" i="20"/>
  <c r="CU71" i="20"/>
  <c r="CG71" i="20"/>
  <c r="BS71" i="20"/>
  <c r="BE71" i="20"/>
  <c r="AO71" i="20"/>
  <c r="AA71" i="20"/>
  <c r="M71" i="20"/>
  <c r="CT71" i="20"/>
  <c r="CF71" i="20"/>
  <c r="BR71" i="20"/>
  <c r="BC71" i="20"/>
  <c r="AN71" i="20"/>
  <c r="Z71" i="20"/>
  <c r="L71" i="20"/>
  <c r="CN71" i="20"/>
  <c r="BY71" i="20"/>
  <c r="BK71" i="20"/>
  <c r="AW71" i="20"/>
  <c r="AI71" i="20"/>
  <c r="U71" i="20"/>
  <c r="G71" i="20"/>
  <c r="CW71" i="20"/>
  <c r="CB71" i="20"/>
  <c r="BI71" i="20"/>
  <c r="AR71" i="20"/>
  <c r="W71" i="20"/>
  <c r="D71" i="20"/>
  <c r="CS71" i="20"/>
  <c r="CA71" i="20"/>
  <c r="BH71" i="20"/>
  <c r="AM71" i="20"/>
  <c r="V71" i="20"/>
  <c r="CK71" i="20"/>
  <c r="BT71" i="20"/>
  <c r="AY71" i="20"/>
  <c r="AG71" i="20"/>
  <c r="N71" i="20"/>
  <c r="CJ71" i="20"/>
  <c r="BP71" i="20"/>
  <c r="AX71" i="20"/>
  <c r="AF71" i="20"/>
  <c r="K71" i="20"/>
  <c r="CC71" i="20"/>
  <c r="AZ71" i="20"/>
  <c r="X71" i="20"/>
  <c r="BX71" i="20"/>
  <c r="AV71" i="20"/>
  <c r="T71" i="20"/>
  <c r="CP71" i="20"/>
  <c r="BM71" i="20"/>
  <c r="AK71" i="20"/>
  <c r="I71" i="20"/>
  <c r="CO71" i="20"/>
  <c r="BL71" i="20"/>
  <c r="AJ71" i="20"/>
  <c r="H71" i="20"/>
  <c r="CX71" i="20"/>
  <c r="BF71" i="20"/>
  <c r="O71" i="20"/>
  <c r="CR71" i="20"/>
  <c r="BA71" i="20"/>
  <c r="J71" i="20"/>
  <c r="CM71" i="20"/>
  <c r="AU71" i="20"/>
  <c r="E71" i="20"/>
  <c r="CI71" i="20"/>
  <c r="AT71" i="20"/>
  <c r="CH71" i="20"/>
  <c r="AS71" i="20"/>
  <c r="CE71" i="20"/>
  <c r="AL71" i="20"/>
  <c r="BJ71" i="20"/>
  <c r="BW71" i="20"/>
  <c r="AH71" i="20"/>
  <c r="BV71" i="20"/>
  <c r="AE71" i="20"/>
  <c r="BU71" i="20"/>
  <c r="AB71" i="20"/>
  <c r="BO71" i="20"/>
  <c r="Y71" i="20"/>
  <c r="CZ71" i="20"/>
  <c r="CT20" i="20"/>
  <c r="BE20" i="20"/>
  <c r="BX20" i="20"/>
  <c r="CF20" i="20"/>
  <c r="AA20" i="20"/>
  <c r="CY20" i="20"/>
  <c r="S20" i="20"/>
  <c r="BY20" i="20"/>
  <c r="AX20" i="20"/>
  <c r="W20" i="20"/>
  <c r="AS20" i="20"/>
  <c r="CD20" i="20"/>
  <c r="N20" i="20"/>
  <c r="Q20" i="20"/>
  <c r="U10" i="20"/>
  <c r="AQ20" i="20"/>
  <c r="CE34" i="20"/>
  <c r="BA34" i="20"/>
  <c r="T34" i="20"/>
  <c r="BT34" i="20"/>
  <c r="AO34" i="20"/>
  <c r="CD34" i="20"/>
  <c r="AZ34" i="20"/>
  <c r="S34" i="20"/>
  <c r="CC34" i="20"/>
  <c r="AX34" i="20"/>
  <c r="R34" i="20"/>
  <c r="CB34" i="20"/>
  <c r="AW34" i="20"/>
  <c r="Q34" i="20"/>
  <c r="AP34" i="20"/>
  <c r="K34" i="20"/>
  <c r="CZ34" i="20"/>
  <c r="J34" i="20"/>
  <c r="BL34" i="20"/>
  <c r="BS34" i="20"/>
  <c r="CP34" i="20"/>
  <c r="AE34" i="20"/>
  <c r="CY34" i="20"/>
  <c r="BR34" i="20"/>
  <c r="AN34" i="20"/>
  <c r="G34" i="20"/>
  <c r="CT34" i="20"/>
  <c r="BP34" i="20"/>
  <c r="AK34" i="20"/>
  <c r="E34" i="20"/>
  <c r="CQ34" i="20"/>
  <c r="BM34" i="20"/>
  <c r="AF34" i="20"/>
  <c r="AQ10" i="20"/>
  <c r="AR20" i="20"/>
  <c r="CC10" i="20"/>
  <c r="AT10" i="20"/>
  <c r="BQ20" i="20"/>
  <c r="CU47" i="20"/>
  <c r="CI47" i="20"/>
  <c r="BW47" i="20"/>
  <c r="BK47" i="20"/>
  <c r="AY47" i="20"/>
  <c r="AM47" i="20"/>
  <c r="AA47" i="20"/>
  <c r="O47" i="20"/>
  <c r="C47" i="20"/>
  <c r="CM47" i="20"/>
  <c r="BZ47" i="20"/>
  <c r="BM47" i="20"/>
  <c r="AZ47" i="20"/>
  <c r="AL47" i="20"/>
  <c r="Y47" i="20"/>
  <c r="L47" i="20"/>
  <c r="CL47" i="20"/>
  <c r="BY47" i="20"/>
  <c r="BL47" i="20"/>
  <c r="AX47" i="20"/>
  <c r="AK47" i="20"/>
  <c r="X47" i="20"/>
  <c r="K47" i="20"/>
  <c r="CP47" i="20"/>
  <c r="CA47" i="20"/>
  <c r="BI47" i="20"/>
  <c r="AT47" i="20"/>
  <c r="AE47" i="20"/>
  <c r="P47" i="20"/>
  <c r="CO47" i="20"/>
  <c r="BX47" i="20"/>
  <c r="BH47" i="20"/>
  <c r="AS47" i="20"/>
  <c r="AD47" i="20"/>
  <c r="N47" i="20"/>
  <c r="CW47" i="20"/>
  <c r="CG47" i="20"/>
  <c r="BR47" i="20"/>
  <c r="BC47" i="20"/>
  <c r="AN47" i="20"/>
  <c r="V47" i="20"/>
  <c r="G47" i="20"/>
  <c r="CV47" i="20"/>
  <c r="CF47" i="20"/>
  <c r="CE47" i="20"/>
  <c r="BJ47" i="20"/>
  <c r="AP47" i="20"/>
  <c r="T47" i="20"/>
  <c r="CD47" i="20"/>
  <c r="BG47" i="20"/>
  <c r="AO47" i="20"/>
  <c r="S47" i="20"/>
  <c r="CR47" i="20"/>
  <c r="BT47" i="20"/>
  <c r="BA47" i="20"/>
  <c r="AF47" i="20"/>
  <c r="I47" i="20"/>
  <c r="CQ47" i="20"/>
  <c r="BS47" i="20"/>
  <c r="AW47" i="20"/>
  <c r="AC47" i="20"/>
  <c r="H47" i="20"/>
  <c r="BV47" i="20"/>
  <c r="AR47" i="20"/>
  <c r="M47" i="20"/>
  <c r="BO47" i="20"/>
  <c r="BN47" i="20"/>
  <c r="BU47" i="20"/>
  <c r="AQ47" i="20"/>
  <c r="J47" i="20"/>
  <c r="BQ47" i="20"/>
  <c r="AJ47" i="20"/>
  <c r="F47" i="20"/>
  <c r="CX47" i="20"/>
  <c r="BP47" i="20"/>
  <c r="AI47" i="20"/>
  <c r="E47" i="20"/>
  <c r="CT47" i="20"/>
  <c r="AH47" i="20"/>
  <c r="D47" i="20"/>
  <c r="CS47" i="20"/>
  <c r="AG47" i="20"/>
  <c r="CH47" i="20"/>
  <c r="BB47" i="20"/>
  <c r="CN47" i="20"/>
  <c r="BF47" i="20"/>
  <c r="AB47" i="20"/>
  <c r="CK47" i="20"/>
  <c r="BE47" i="20"/>
  <c r="Z47" i="20"/>
  <c r="CJ47" i="20"/>
  <c r="BD47" i="20"/>
  <c r="W47" i="20"/>
  <c r="U47" i="20"/>
  <c r="S79" i="20"/>
  <c r="BN79" i="20"/>
  <c r="J24" i="20"/>
  <c r="AQ24" i="20"/>
  <c r="BU24" i="20"/>
  <c r="CZ24" i="20"/>
  <c r="CU40" i="20"/>
  <c r="CI40" i="20"/>
  <c r="BW40" i="20"/>
  <c r="BK40" i="20"/>
  <c r="AY40" i="20"/>
  <c r="AM40" i="20"/>
  <c r="AA40" i="20"/>
  <c r="O40" i="20"/>
  <c r="C40" i="20"/>
  <c r="CP40" i="20"/>
  <c r="CC40" i="20"/>
  <c r="BP40" i="20"/>
  <c r="BC40" i="20"/>
  <c r="AP40" i="20"/>
  <c r="AC40" i="20"/>
  <c r="P40" i="20"/>
  <c r="CO40" i="20"/>
  <c r="CB40" i="20"/>
  <c r="BO40" i="20"/>
  <c r="BB40" i="20"/>
  <c r="AO40" i="20"/>
  <c r="AB40" i="20"/>
  <c r="N40" i="20"/>
  <c r="CQ40" i="20"/>
  <c r="BZ40" i="20"/>
  <c r="BJ40" i="20"/>
  <c r="AU40" i="20"/>
  <c r="AF40" i="20"/>
  <c r="Q40" i="20"/>
  <c r="CN40" i="20"/>
  <c r="BY40" i="20"/>
  <c r="BI40" i="20"/>
  <c r="AT40" i="20"/>
  <c r="AE40" i="20"/>
  <c r="M40" i="20"/>
  <c r="CX40" i="20"/>
  <c r="CH40" i="20"/>
  <c r="BS40" i="20"/>
  <c r="BD40" i="20"/>
  <c r="AL40" i="20"/>
  <c r="W40" i="20"/>
  <c r="H40" i="20"/>
  <c r="CM40" i="20"/>
  <c r="BT40" i="20"/>
  <c r="AX40" i="20"/>
  <c r="AD40" i="20"/>
  <c r="I40" i="20"/>
  <c r="CL40" i="20"/>
  <c r="BR40" i="20"/>
  <c r="AW40" i="20"/>
  <c r="Z40" i="20"/>
  <c r="G40" i="20"/>
  <c r="CY40" i="20"/>
  <c r="CE40" i="20"/>
  <c r="BH40" i="20"/>
  <c r="AN40" i="20"/>
  <c r="T40" i="20"/>
  <c r="CW40" i="20"/>
  <c r="CD40" i="20"/>
  <c r="BG40" i="20"/>
  <c r="AK40" i="20"/>
  <c r="S40" i="20"/>
  <c r="R40" i="20"/>
  <c r="AV40" i="20"/>
  <c r="CA40" i="20"/>
  <c r="T79" i="20"/>
  <c r="BO79" i="20"/>
  <c r="G88" i="20"/>
  <c r="BE88" i="20"/>
  <c r="U92" i="20"/>
  <c r="BR92" i="20"/>
  <c r="D10" i="20"/>
  <c r="AA10" i="20"/>
  <c r="AZ10" i="20"/>
  <c r="CB10" i="20"/>
  <c r="CZ20" i="20"/>
  <c r="X20" i="20"/>
  <c r="AY20" i="20"/>
  <c r="CC20" i="20"/>
  <c r="M24" i="20"/>
  <c r="AT24" i="20"/>
  <c r="BY24" i="20"/>
  <c r="L37" i="20"/>
  <c r="AQ37" i="20"/>
  <c r="BX37" i="20"/>
  <c r="U40" i="20"/>
  <c r="AZ40" i="20"/>
  <c r="CF40" i="20"/>
  <c r="W79" i="20"/>
  <c r="BR79" i="20"/>
  <c r="H88" i="20"/>
  <c r="BI88" i="20"/>
  <c r="V92" i="20"/>
  <c r="BT92" i="20"/>
  <c r="E10" i="20"/>
  <c r="AC10" i="20"/>
  <c r="BB10" i="20"/>
  <c r="Z20" i="20"/>
  <c r="BC20" i="20"/>
  <c r="Q24" i="20"/>
  <c r="AU24" i="20"/>
  <c r="BZ24" i="20"/>
  <c r="M37" i="20"/>
  <c r="AT37" i="20"/>
  <c r="V40" i="20"/>
  <c r="BA40" i="20"/>
  <c r="CG40" i="20"/>
  <c r="Q49" i="20"/>
  <c r="BG49" i="20"/>
  <c r="AA79" i="20"/>
  <c r="BS79" i="20"/>
  <c r="I88" i="20"/>
  <c r="BJ88" i="20"/>
  <c r="W92" i="20"/>
  <c r="CP99" i="20"/>
  <c r="CD99" i="20"/>
  <c r="BR99" i="20"/>
  <c r="BF99" i="20"/>
  <c r="AT99" i="20"/>
  <c r="AH99" i="20"/>
  <c r="V99" i="20"/>
  <c r="J99" i="20"/>
  <c r="CU99" i="20"/>
  <c r="CH99" i="20"/>
  <c r="BU99" i="20"/>
  <c r="BH99" i="20"/>
  <c r="AU99" i="20"/>
  <c r="AG99" i="20"/>
  <c r="T99" i="20"/>
  <c r="G99" i="20"/>
  <c r="CY99" i="20"/>
  <c r="CK99" i="20"/>
  <c r="BW99" i="20"/>
  <c r="BI99" i="20"/>
  <c r="AS99" i="20"/>
  <c r="AE99" i="20"/>
  <c r="Q99" i="20"/>
  <c r="C99" i="20"/>
  <c r="CR99" i="20"/>
  <c r="CC99" i="20"/>
  <c r="BO99" i="20"/>
  <c r="BA99" i="20"/>
  <c r="CQ99" i="20"/>
  <c r="CB99" i="20"/>
  <c r="BN99" i="20"/>
  <c r="AZ99" i="20"/>
  <c r="AL99" i="20"/>
  <c r="X99" i="20"/>
  <c r="I99" i="20"/>
  <c r="CT99" i="20"/>
  <c r="BZ99" i="20"/>
  <c r="BG99" i="20"/>
  <c r="AO99" i="20"/>
  <c r="Y99" i="20"/>
  <c r="F99" i="20"/>
  <c r="CS99" i="20"/>
  <c r="BY99" i="20"/>
  <c r="BE99" i="20"/>
  <c r="AN99" i="20"/>
  <c r="W99" i="20"/>
  <c r="E99" i="20"/>
  <c r="CJ99" i="20"/>
  <c r="BQ99" i="20"/>
  <c r="AX99" i="20"/>
  <c r="AF99" i="20"/>
  <c r="O99" i="20"/>
  <c r="CX99" i="20"/>
  <c r="BX99" i="20"/>
  <c r="AY99" i="20"/>
  <c r="AB99" i="20"/>
  <c r="D99" i="20"/>
  <c r="CW99" i="20"/>
  <c r="BV99" i="20"/>
  <c r="AW99" i="20"/>
  <c r="AA99" i="20"/>
  <c r="CL99" i="20"/>
  <c r="BL99" i="20"/>
  <c r="AM99" i="20"/>
  <c r="P99" i="20"/>
  <c r="CI99" i="20"/>
  <c r="BK99" i="20"/>
  <c r="AK99" i="20"/>
  <c r="N99" i="20"/>
  <c r="CE99" i="20"/>
  <c r="AQ99" i="20"/>
  <c r="K99" i="20"/>
  <c r="CA99" i="20"/>
  <c r="AP99" i="20"/>
  <c r="H99" i="20"/>
  <c r="CV99" i="20"/>
  <c r="BJ99" i="20"/>
  <c r="Z99" i="20"/>
  <c r="CO99" i="20"/>
  <c r="BD99" i="20"/>
  <c r="U99" i="20"/>
  <c r="S99" i="20"/>
  <c r="BT99" i="20"/>
  <c r="CS79" i="20"/>
  <c r="CG79" i="20"/>
  <c r="BU79" i="20"/>
  <c r="BI79" i="20"/>
  <c r="AW79" i="20"/>
  <c r="AK79" i="20"/>
  <c r="Y79" i="20"/>
  <c r="M79" i="20"/>
  <c r="CQ79" i="20"/>
  <c r="CD79" i="20"/>
  <c r="BQ79" i="20"/>
  <c r="BD79" i="20"/>
  <c r="AQ79" i="20"/>
  <c r="AD79" i="20"/>
  <c r="Q79" i="20"/>
  <c r="D79" i="20"/>
  <c r="CT79" i="20"/>
  <c r="CE79" i="20"/>
  <c r="BP79" i="20"/>
  <c r="BB79" i="20"/>
  <c r="AN79" i="20"/>
  <c r="Z79" i="20"/>
  <c r="K79" i="20"/>
  <c r="CP79" i="20"/>
  <c r="CA79" i="20"/>
  <c r="BL79" i="20"/>
  <c r="AV79" i="20"/>
  <c r="AG79" i="20"/>
  <c r="R79" i="20"/>
  <c r="CO79" i="20"/>
  <c r="BZ79" i="20"/>
  <c r="BK79" i="20"/>
  <c r="AU79" i="20"/>
  <c r="AF79" i="20"/>
  <c r="P79" i="20"/>
  <c r="CY79" i="20"/>
  <c r="CJ79" i="20"/>
  <c r="BT79" i="20"/>
  <c r="BE79" i="20"/>
  <c r="AO79" i="20"/>
  <c r="X79" i="20"/>
  <c r="I79" i="20"/>
  <c r="CH79" i="20"/>
  <c r="BM79" i="20"/>
  <c r="AR79" i="20"/>
  <c r="V79" i="20"/>
  <c r="C79" i="20"/>
  <c r="CZ79" i="20"/>
  <c r="CF79" i="20"/>
  <c r="BJ79" i="20"/>
  <c r="AP79" i="20"/>
  <c r="U79" i="20"/>
  <c r="CR79" i="20"/>
  <c r="BW79" i="20"/>
  <c r="BA79" i="20"/>
  <c r="AH79" i="20"/>
  <c r="L79" i="20"/>
  <c r="CN79" i="20"/>
  <c r="BV79" i="20"/>
  <c r="AZ79" i="20"/>
  <c r="AE79" i="20"/>
  <c r="J79" i="20"/>
  <c r="BY79" i="20"/>
  <c r="AT79" i="20"/>
  <c r="O79" i="20"/>
  <c r="BX79" i="20"/>
  <c r="AS79" i="20"/>
  <c r="N79" i="20"/>
  <c r="CM79" i="20"/>
  <c r="BH79" i="20"/>
  <c r="AC79" i="20"/>
  <c r="CL79" i="20"/>
  <c r="BG79" i="20"/>
  <c r="AB79" i="20"/>
  <c r="H79" i="20"/>
  <c r="BF79" i="20"/>
  <c r="CY47" i="20"/>
  <c r="CX24" i="20"/>
  <c r="CD24" i="20"/>
  <c r="BI24" i="20"/>
  <c r="AL24" i="20"/>
  <c r="S24" i="20"/>
  <c r="CQ24" i="20"/>
  <c r="BT24" i="20"/>
  <c r="AX24" i="20"/>
  <c r="AF24" i="20"/>
  <c r="I24" i="20"/>
  <c r="R24" i="20"/>
  <c r="CA24" i="20"/>
  <c r="AI79" i="20"/>
  <c r="CB79" i="20"/>
  <c r="O88" i="20"/>
  <c r="BM88" i="20"/>
  <c r="CU92" i="20"/>
  <c r="CE92" i="20"/>
  <c r="BQ92" i="20"/>
  <c r="BC92" i="20"/>
  <c r="AO92" i="20"/>
  <c r="AA92" i="20"/>
  <c r="L92" i="20"/>
  <c r="CZ92" i="20"/>
  <c r="CL92" i="20"/>
  <c r="BX92" i="20"/>
  <c r="BJ92" i="20"/>
  <c r="AU92" i="20"/>
  <c r="AG92" i="20"/>
  <c r="R92" i="20"/>
  <c r="D92" i="20"/>
  <c r="CP92" i="20"/>
  <c r="BZ92" i="20"/>
  <c r="BH92" i="20"/>
  <c r="AQ92" i="20"/>
  <c r="Z92" i="20"/>
  <c r="I92" i="20"/>
  <c r="CO92" i="20"/>
  <c r="BY92" i="20"/>
  <c r="BG92" i="20"/>
  <c r="AP92" i="20"/>
  <c r="X92" i="20"/>
  <c r="H92" i="20"/>
  <c r="CY92" i="20"/>
  <c r="CI92" i="20"/>
  <c r="BP92" i="20"/>
  <c r="AZ92" i="20"/>
  <c r="AI92" i="20"/>
  <c r="Q92" i="20"/>
  <c r="CV92" i="20"/>
  <c r="BW92" i="20"/>
  <c r="BA92" i="20"/>
  <c r="AD92" i="20"/>
  <c r="G92" i="20"/>
  <c r="CR92" i="20"/>
  <c r="BV92" i="20"/>
  <c r="AY92" i="20"/>
  <c r="AC92" i="20"/>
  <c r="E92" i="20"/>
  <c r="CJ92" i="20"/>
  <c r="BM92" i="20"/>
  <c r="AN92" i="20"/>
  <c r="T92" i="20"/>
  <c r="CH92" i="20"/>
  <c r="BL92" i="20"/>
  <c r="AM92" i="20"/>
  <c r="P92" i="20"/>
  <c r="CC92" i="20"/>
  <c r="AV92" i="20"/>
  <c r="N92" i="20"/>
  <c r="CB92" i="20"/>
  <c r="AT92" i="20"/>
  <c r="K92" i="20"/>
  <c r="CW92" i="20"/>
  <c r="BN92" i="20"/>
  <c r="AE92" i="20"/>
  <c r="CQ92" i="20"/>
  <c r="BK92" i="20"/>
  <c r="AB92" i="20"/>
  <c r="AH92" i="20"/>
  <c r="CD92" i="20"/>
  <c r="CU10" i="20"/>
  <c r="CI10" i="20"/>
  <c r="BW10" i="20"/>
  <c r="CW10" i="20"/>
  <c r="CJ10" i="20"/>
  <c r="BV10" i="20"/>
  <c r="BJ10" i="20"/>
  <c r="AX10" i="20"/>
  <c r="AL10" i="20"/>
  <c r="Z10" i="20"/>
  <c r="N10" i="20"/>
  <c r="CV10" i="20"/>
  <c r="CH10" i="20"/>
  <c r="BU10" i="20"/>
  <c r="BI10" i="20"/>
  <c r="AW10" i="20"/>
  <c r="AK10" i="20"/>
  <c r="Y10" i="20"/>
  <c r="M10" i="20"/>
  <c r="CM10" i="20"/>
  <c r="BX10" i="20"/>
  <c r="BG10" i="20"/>
  <c r="AS10" i="20"/>
  <c r="AE10" i="20"/>
  <c r="Q10" i="20"/>
  <c r="C10" i="20"/>
  <c r="CL10" i="20"/>
  <c r="BT10" i="20"/>
  <c r="BF10" i="20"/>
  <c r="AR10" i="20"/>
  <c r="AD10" i="20"/>
  <c r="P10" i="20"/>
  <c r="CS10" i="20"/>
  <c r="CD10" i="20"/>
  <c r="BO10" i="20"/>
  <c r="BA10" i="20"/>
  <c r="AM10" i="20"/>
  <c r="W10" i="20"/>
  <c r="I10" i="20"/>
  <c r="CT10" i="20"/>
  <c r="CA10" i="20"/>
  <c r="BE10" i="20"/>
  <c r="AN10" i="20"/>
  <c r="T10" i="20"/>
  <c r="CR10" i="20"/>
  <c r="BZ10" i="20"/>
  <c r="BD10" i="20"/>
  <c r="AJ10" i="20"/>
  <c r="S10" i="20"/>
  <c r="CG10" i="20"/>
  <c r="BN10" i="20"/>
  <c r="AU10" i="20"/>
  <c r="AB10" i="20"/>
  <c r="H10" i="20"/>
  <c r="G10" i="20"/>
  <c r="AG10" i="20"/>
  <c r="CF10" i="20"/>
  <c r="CR20" i="20"/>
  <c r="BW20" i="20"/>
  <c r="BA20" i="20"/>
  <c r="AG20" i="20"/>
  <c r="L20" i="20"/>
  <c r="CO20" i="20"/>
  <c r="BT20" i="20"/>
  <c r="AZ20" i="20"/>
  <c r="AC20" i="20"/>
  <c r="K20" i="20"/>
  <c r="CE20" i="20"/>
  <c r="BJ20" i="20"/>
  <c r="AO20" i="20"/>
  <c r="T20" i="20"/>
  <c r="C20" i="20"/>
  <c r="AB20" i="20"/>
  <c r="CG20" i="20"/>
  <c r="V24" i="20"/>
  <c r="CG24" i="20"/>
  <c r="CU37" i="20"/>
  <c r="CI37" i="20"/>
  <c r="BW37" i="20"/>
  <c r="BK37" i="20"/>
  <c r="AY37" i="20"/>
  <c r="AM37" i="20"/>
  <c r="AA37" i="20"/>
  <c r="O37" i="20"/>
  <c r="C37" i="20"/>
  <c r="CS37" i="20"/>
  <c r="CF37" i="20"/>
  <c r="BS37" i="20"/>
  <c r="BF37" i="20"/>
  <c r="AS37" i="20"/>
  <c r="AF37" i="20"/>
  <c r="S37" i="20"/>
  <c r="F37" i="20"/>
  <c r="CR37" i="20"/>
  <c r="CE37" i="20"/>
  <c r="BR37" i="20"/>
  <c r="BE37" i="20"/>
  <c r="AR37" i="20"/>
  <c r="AE37" i="20"/>
  <c r="R37" i="20"/>
  <c r="E37" i="20"/>
  <c r="CP37" i="20"/>
  <c r="CA37" i="20"/>
  <c r="BL37" i="20"/>
  <c r="AV37" i="20"/>
  <c r="AG37" i="20"/>
  <c r="P37" i="20"/>
  <c r="CO37" i="20"/>
  <c r="BZ37" i="20"/>
  <c r="BJ37" i="20"/>
  <c r="AU37" i="20"/>
  <c r="AD37" i="20"/>
  <c r="N37" i="20"/>
  <c r="CJ37" i="20"/>
  <c r="BT37" i="20"/>
  <c r="BC37" i="20"/>
  <c r="AN37" i="20"/>
  <c r="X37" i="20"/>
  <c r="I37" i="20"/>
  <c r="CX37" i="20"/>
  <c r="CC37" i="20"/>
  <c r="BH37" i="20"/>
  <c r="AL37" i="20"/>
  <c r="T37" i="20"/>
  <c r="CW37" i="20"/>
  <c r="CB37" i="20"/>
  <c r="BG37" i="20"/>
  <c r="AK37" i="20"/>
  <c r="Q37" i="20"/>
  <c r="CM37" i="20"/>
  <c r="BQ37" i="20"/>
  <c r="AX37" i="20"/>
  <c r="AB37" i="20"/>
  <c r="H37" i="20"/>
  <c r="CL37" i="20"/>
  <c r="BP37" i="20"/>
  <c r="AW37" i="20"/>
  <c r="Z37" i="20"/>
  <c r="G37" i="20"/>
  <c r="V37" i="20"/>
  <c r="CG37" i="20"/>
  <c r="Y40" i="20"/>
  <c r="CK40" i="20"/>
  <c r="AJ79" i="20"/>
  <c r="CC79" i="20"/>
  <c r="V88" i="20"/>
  <c r="BW88" i="20"/>
  <c r="AJ92" i="20"/>
  <c r="CK92" i="20"/>
  <c r="J10" i="20"/>
  <c r="AH10" i="20"/>
  <c r="BK10" i="20"/>
  <c r="D20" i="20"/>
  <c r="AJ20" i="20"/>
  <c r="BG20" i="20"/>
  <c r="CK20" i="20"/>
  <c r="W24" i="20"/>
  <c r="BD24" i="20"/>
  <c r="CH24" i="20"/>
  <c r="W37" i="20"/>
  <c r="BB37" i="20"/>
  <c r="CH37" i="20"/>
  <c r="AG40" i="20"/>
  <c r="BL40" i="20"/>
  <c r="CR40" i="20"/>
  <c r="CY53" i="20"/>
  <c r="AL79" i="20"/>
  <c r="CI79" i="20"/>
  <c r="AA88" i="20"/>
  <c r="BY88" i="20"/>
  <c r="AL92" i="20"/>
  <c r="CM92" i="20"/>
  <c r="K10" i="20"/>
  <c r="AI10" i="20"/>
  <c r="BL10" i="20"/>
  <c r="CN10" i="20"/>
  <c r="E20" i="20"/>
  <c r="AK20" i="20"/>
  <c r="BM20" i="20"/>
  <c r="CM20" i="20"/>
  <c r="X24" i="20"/>
  <c r="BE24" i="20"/>
  <c r="CJ24" i="20"/>
  <c r="Y37" i="20"/>
  <c r="BD37" i="20"/>
  <c r="D40" i="20"/>
  <c r="AH40" i="20"/>
  <c r="BM40" i="20"/>
  <c r="CS40" i="20"/>
  <c r="CX49" i="20"/>
  <c r="CL49" i="20"/>
  <c r="BZ49" i="20"/>
  <c r="BN49" i="20"/>
  <c r="BB49" i="20"/>
  <c r="AP49" i="20"/>
  <c r="AD49" i="20"/>
  <c r="R49" i="20"/>
  <c r="F49" i="20"/>
  <c r="CZ49" i="20"/>
  <c r="CM49" i="20"/>
  <c r="BY49" i="20"/>
  <c r="BL49" i="20"/>
  <c r="AY49" i="20"/>
  <c r="AL49" i="20"/>
  <c r="Y49" i="20"/>
  <c r="L49" i="20"/>
  <c r="CY49" i="20"/>
  <c r="CK49" i="20"/>
  <c r="BX49" i="20"/>
  <c r="BK49" i="20"/>
  <c r="AX49" i="20"/>
  <c r="AK49" i="20"/>
  <c r="X49" i="20"/>
  <c r="K49" i="20"/>
  <c r="CS49" i="20"/>
  <c r="CF49" i="20"/>
  <c r="BS49" i="20"/>
  <c r="BF49" i="20"/>
  <c r="AS49" i="20"/>
  <c r="AF49" i="20"/>
  <c r="S49" i="20"/>
  <c r="CN49" i="20"/>
  <c r="BU49" i="20"/>
  <c r="BD49" i="20"/>
  <c r="AM49" i="20"/>
  <c r="U49" i="20"/>
  <c r="D49" i="20"/>
  <c r="CJ49" i="20"/>
  <c r="BT49" i="20"/>
  <c r="BC49" i="20"/>
  <c r="AJ49" i="20"/>
  <c r="T49" i="20"/>
  <c r="C49" i="20"/>
  <c r="CU49" i="20"/>
  <c r="CD49" i="20"/>
  <c r="BM49" i="20"/>
  <c r="AU49" i="20"/>
  <c r="AC49" i="20"/>
  <c r="M49" i="20"/>
  <c r="CT49" i="20"/>
  <c r="CC49" i="20"/>
  <c r="BJ49" i="20"/>
  <c r="AT49" i="20"/>
  <c r="AB49" i="20"/>
  <c r="J49" i="20"/>
  <c r="CB49" i="20"/>
  <c r="BA49" i="20"/>
  <c r="AA49" i="20"/>
  <c r="CA49" i="20"/>
  <c r="AZ49" i="20"/>
  <c r="Z49" i="20"/>
  <c r="CP49" i="20"/>
  <c r="BP49" i="20"/>
  <c r="AO49" i="20"/>
  <c r="O49" i="20"/>
  <c r="CO49" i="20"/>
  <c r="BO49" i="20"/>
  <c r="AN49" i="20"/>
  <c r="N49" i="20"/>
  <c r="AG49" i="20"/>
  <c r="BR49" i="20"/>
  <c r="AM79" i="20"/>
  <c r="CK79" i="20"/>
  <c r="CG88" i="20"/>
  <c r="AC88" i="20"/>
  <c r="BZ88" i="20"/>
  <c r="AR92" i="20"/>
  <c r="CN92" i="20"/>
  <c r="L10" i="20"/>
  <c r="AO10" i="20"/>
  <c r="BM10" i="20"/>
  <c r="CO10" i="20"/>
  <c r="G20" i="20"/>
  <c r="AL20" i="20"/>
  <c r="BO20" i="20"/>
  <c r="CN20" i="20"/>
  <c r="Y24" i="20"/>
  <c r="BF24" i="20"/>
  <c r="CK24" i="20"/>
  <c r="CR34" i="20"/>
  <c r="AC37" i="20"/>
  <c r="BI37" i="20"/>
  <c r="CN37" i="20"/>
  <c r="E40" i="20"/>
  <c r="AI40" i="20"/>
  <c r="BN40" i="20"/>
  <c r="CT40" i="20"/>
  <c r="AH49" i="20"/>
  <c r="BV49" i="20"/>
  <c r="E79" i="20"/>
  <c r="AX79" i="20"/>
  <c r="CU79" i="20"/>
  <c r="AE88" i="20"/>
  <c r="CF88" i="20"/>
  <c r="AX92" i="20"/>
  <c r="CX92" i="20"/>
  <c r="W95" i="20"/>
  <c r="AR99" i="20"/>
  <c r="CZ99" i="20"/>
  <c r="AC110" i="20"/>
  <c r="BH10" i="20"/>
  <c r="BF20" i="20"/>
  <c r="BA24" i="20"/>
  <c r="BA37" i="20"/>
  <c r="BF40" i="20"/>
  <c r="CK10" i="20"/>
  <c r="CK37" i="20"/>
  <c r="O10" i="20"/>
  <c r="AP10" i="20"/>
  <c r="BP10" i="20"/>
  <c r="CP10" i="20"/>
  <c r="M20" i="20"/>
  <c r="AM20" i="20"/>
  <c r="BP20" i="20"/>
  <c r="CS20" i="20"/>
  <c r="AG24" i="20"/>
  <c r="BL24" i="20"/>
  <c r="CR24" i="20"/>
  <c r="AH37" i="20"/>
  <c r="BM37" i="20"/>
  <c r="CQ37" i="20"/>
  <c r="F40" i="20"/>
  <c r="AJ40" i="20"/>
  <c r="BQ40" i="20"/>
  <c r="CV40" i="20"/>
  <c r="AI49" i="20"/>
  <c r="BW49" i="20"/>
  <c r="F79" i="20"/>
  <c r="AY79" i="20"/>
  <c r="CV79" i="20"/>
  <c r="CZ88" i="20"/>
  <c r="AP88" i="20"/>
  <c r="BB92" i="20"/>
  <c r="CS95" i="20"/>
  <c r="CG95" i="20"/>
  <c r="BU95" i="20"/>
  <c r="BI95" i="20"/>
  <c r="AW95" i="20"/>
  <c r="AK95" i="20"/>
  <c r="Y95" i="20"/>
  <c r="M95" i="20"/>
  <c r="CO95" i="20"/>
  <c r="CB95" i="20"/>
  <c r="BO95" i="20"/>
  <c r="BB95" i="20"/>
  <c r="AO95" i="20"/>
  <c r="AB95" i="20"/>
  <c r="O95" i="20"/>
  <c r="CX95" i="20"/>
  <c r="CJ95" i="20"/>
  <c r="BV95" i="20"/>
  <c r="BG95" i="20"/>
  <c r="AS95" i="20"/>
  <c r="AE95" i="20"/>
  <c r="Q95" i="20"/>
  <c r="C95" i="20"/>
  <c r="CP95" i="20"/>
  <c r="CA95" i="20"/>
  <c r="BM95" i="20"/>
  <c r="AY95" i="20"/>
  <c r="AJ95" i="20"/>
  <c r="V95" i="20"/>
  <c r="H95" i="20"/>
  <c r="CZ95" i="20"/>
  <c r="CI95" i="20"/>
  <c r="BR95" i="20"/>
  <c r="BA95" i="20"/>
  <c r="AI95" i="20"/>
  <c r="S95" i="20"/>
  <c r="CY95" i="20"/>
  <c r="CH95" i="20"/>
  <c r="BQ95" i="20"/>
  <c r="AZ95" i="20"/>
  <c r="AH95" i="20"/>
  <c r="R95" i="20"/>
  <c r="CR95" i="20"/>
  <c r="BZ95" i="20"/>
  <c r="BJ95" i="20"/>
  <c r="AR95" i="20"/>
  <c r="AA95" i="20"/>
  <c r="J95" i="20"/>
  <c r="CU95" i="20"/>
  <c r="BX95" i="20"/>
  <c r="BC95" i="20"/>
  <c r="AD95" i="20"/>
  <c r="G95" i="20"/>
  <c r="CT95" i="20"/>
  <c r="BW95" i="20"/>
  <c r="AX95" i="20"/>
  <c r="AC95" i="20"/>
  <c r="F95" i="20"/>
  <c r="CK95" i="20"/>
  <c r="BL95" i="20"/>
  <c r="AP95" i="20"/>
  <c r="T95" i="20"/>
  <c r="CF95" i="20"/>
  <c r="BK95" i="20"/>
  <c r="AN95" i="20"/>
  <c r="P95" i="20"/>
  <c r="CV95" i="20"/>
  <c r="BN95" i="20"/>
  <c r="AF95" i="20"/>
  <c r="CQ95" i="20"/>
  <c r="BH95" i="20"/>
  <c r="Z95" i="20"/>
  <c r="CD95" i="20"/>
  <c r="AU95" i="20"/>
  <c r="L95" i="20"/>
  <c r="CC95" i="20"/>
  <c r="AT95" i="20"/>
  <c r="K95" i="20"/>
  <c r="X95" i="20"/>
  <c r="BY95" i="20"/>
  <c r="AV99" i="20"/>
  <c r="CQ110" i="20"/>
  <c r="CE110" i="20"/>
  <c r="BS110" i="20"/>
  <c r="BG110" i="20"/>
  <c r="AU110" i="20"/>
  <c r="AI110" i="20"/>
  <c r="W110" i="20"/>
  <c r="K110" i="20"/>
  <c r="CP110" i="20"/>
  <c r="CD110" i="20"/>
  <c r="BR110" i="20"/>
  <c r="BF110" i="20"/>
  <c r="AT110" i="20"/>
  <c r="AH110" i="20"/>
  <c r="V110" i="20"/>
  <c r="J110" i="20"/>
  <c r="CY110" i="20"/>
  <c r="CK110" i="20"/>
  <c r="BW110" i="20"/>
  <c r="BI110" i="20"/>
  <c r="AS110" i="20"/>
  <c r="AE110" i="20"/>
  <c r="Q110" i="20"/>
  <c r="C110" i="20"/>
  <c r="CX110" i="20"/>
  <c r="CI110" i="20"/>
  <c r="BT110" i="20"/>
  <c r="BC110" i="20"/>
  <c r="AN110" i="20"/>
  <c r="Y110" i="20"/>
  <c r="H110" i="20"/>
  <c r="CR110" i="20"/>
  <c r="CA110" i="20"/>
  <c r="BL110" i="20"/>
  <c r="AW110" i="20"/>
  <c r="AF110" i="20"/>
  <c r="P110" i="20"/>
  <c r="CO110" i="20"/>
  <c r="BZ110" i="20"/>
  <c r="BK110" i="20"/>
  <c r="AV110" i="20"/>
  <c r="AD110" i="20"/>
  <c r="O110" i="20"/>
  <c r="CJ110" i="20"/>
  <c r="BO110" i="20"/>
  <c r="AR110" i="20"/>
  <c r="Z110" i="20"/>
  <c r="E110" i="20"/>
  <c r="CH110" i="20"/>
  <c r="BN110" i="20"/>
  <c r="AQ110" i="20"/>
  <c r="X110" i="20"/>
  <c r="D110" i="20"/>
  <c r="CU110" i="20"/>
  <c r="BY110" i="20"/>
  <c r="BD110" i="20"/>
  <c r="AK110" i="20"/>
  <c r="N110" i="20"/>
  <c r="CT110" i="20"/>
  <c r="BQ110" i="20"/>
  <c r="AO110" i="20"/>
  <c r="M110" i="20"/>
  <c r="CS110" i="20"/>
  <c r="BP110" i="20"/>
  <c r="AM110" i="20"/>
  <c r="L110" i="20"/>
  <c r="CF110" i="20"/>
  <c r="BB110" i="20"/>
  <c r="AB110" i="20"/>
  <c r="CC110" i="20"/>
  <c r="BA110" i="20"/>
  <c r="AA110" i="20"/>
  <c r="CB110" i="20"/>
  <c r="AL110" i="20"/>
  <c r="BX110" i="20"/>
  <c r="AJ110" i="20"/>
  <c r="CW110" i="20"/>
  <c r="BH110" i="20"/>
  <c r="S110" i="20"/>
  <c r="CV110" i="20"/>
  <c r="BE110" i="20"/>
  <c r="R110" i="20"/>
  <c r="CN110" i="20"/>
  <c r="AZ110" i="20"/>
  <c r="AG110" i="20"/>
  <c r="CW115" i="20"/>
  <c r="CK115" i="20"/>
  <c r="BY115" i="20"/>
  <c r="BM115" i="20"/>
  <c r="BA115" i="20"/>
  <c r="AO115" i="20"/>
  <c r="AC115" i="20"/>
  <c r="Q115" i="20"/>
  <c r="E115" i="20"/>
  <c r="CV115" i="20"/>
  <c r="CJ115" i="20"/>
  <c r="BX115" i="20"/>
  <c r="BL115" i="20"/>
  <c r="AZ115" i="20"/>
  <c r="AN115" i="20"/>
  <c r="AB115" i="20"/>
  <c r="P115" i="20"/>
  <c r="D115" i="20"/>
  <c r="CY115" i="20"/>
  <c r="CI115" i="20"/>
  <c r="BU115" i="20"/>
  <c r="BG115" i="20"/>
  <c r="AS115" i="20"/>
  <c r="AE115" i="20"/>
  <c r="O115" i="20"/>
  <c r="CQ115" i="20"/>
  <c r="CB115" i="20"/>
  <c r="BK115" i="20"/>
  <c r="AV115" i="20"/>
  <c r="AG115" i="20"/>
  <c r="R115" i="20"/>
  <c r="CZ115" i="20"/>
  <c r="CH115" i="20"/>
  <c r="BS115" i="20"/>
  <c r="BD115" i="20"/>
  <c r="AM115" i="20"/>
  <c r="X115" i="20"/>
  <c r="I115" i="20"/>
  <c r="CX115" i="20"/>
  <c r="CG115" i="20"/>
  <c r="BR115" i="20"/>
  <c r="BC115" i="20"/>
  <c r="AL115" i="20"/>
  <c r="W115" i="20"/>
  <c r="H115" i="20"/>
  <c r="CN115" i="20"/>
  <c r="BQ115" i="20"/>
  <c r="AW115" i="20"/>
  <c r="AA115" i="20"/>
  <c r="G115" i="20"/>
  <c r="CM115" i="20"/>
  <c r="BP115" i="20"/>
  <c r="AU115" i="20"/>
  <c r="Z115" i="20"/>
  <c r="F115" i="20"/>
  <c r="CU115" i="20"/>
  <c r="CC115" i="20"/>
  <c r="BH115" i="20"/>
  <c r="AK115" i="20"/>
  <c r="S115" i="20"/>
  <c r="CA115" i="20"/>
  <c r="AY115" i="20"/>
  <c r="V115" i="20"/>
  <c r="BZ115" i="20"/>
  <c r="AX115" i="20"/>
  <c r="U115" i="20"/>
  <c r="CP115" i="20"/>
  <c r="BN115" i="20"/>
  <c r="AJ115" i="20"/>
  <c r="K115" i="20"/>
  <c r="CO115" i="20"/>
  <c r="BJ115" i="20"/>
  <c r="AI115" i="20"/>
  <c r="J115" i="20"/>
  <c r="BI115" i="20"/>
  <c r="T115" i="20"/>
  <c r="CT115" i="20"/>
  <c r="BF115" i="20"/>
  <c r="N115" i="20"/>
  <c r="CE115" i="20"/>
  <c r="AQ115" i="20"/>
  <c r="CD115" i="20"/>
  <c r="AP115" i="20"/>
  <c r="BW115" i="20"/>
  <c r="AH115" i="20"/>
  <c r="C115" i="20"/>
  <c r="BV115" i="20"/>
  <c r="CU24" i="20"/>
  <c r="CI24" i="20"/>
  <c r="BW24" i="20"/>
  <c r="BK24" i="20"/>
  <c r="AY24" i="20"/>
  <c r="AM24" i="20"/>
  <c r="AA24" i="20"/>
  <c r="O24" i="20"/>
  <c r="C24" i="20"/>
  <c r="CP24" i="20"/>
  <c r="CC24" i="20"/>
  <c r="BP24" i="20"/>
  <c r="BC24" i="20"/>
  <c r="AP24" i="20"/>
  <c r="AC24" i="20"/>
  <c r="P24" i="20"/>
  <c r="CO24" i="20"/>
  <c r="CB24" i="20"/>
  <c r="BO24" i="20"/>
  <c r="BB24" i="20"/>
  <c r="AO24" i="20"/>
  <c r="AB24" i="20"/>
  <c r="N24" i="20"/>
  <c r="CM24" i="20"/>
  <c r="BX24" i="20"/>
  <c r="BH24" i="20"/>
  <c r="AS24" i="20"/>
  <c r="AD24" i="20"/>
  <c r="L24" i="20"/>
  <c r="CL24" i="20"/>
  <c r="BV24" i="20"/>
  <c r="BG24" i="20"/>
  <c r="AR24" i="20"/>
  <c r="Z24" i="20"/>
  <c r="K24" i="20"/>
  <c r="CV24" i="20"/>
  <c r="CF24" i="20"/>
  <c r="BQ24" i="20"/>
  <c r="AZ24" i="20"/>
  <c r="AJ24" i="20"/>
  <c r="U24" i="20"/>
  <c r="F24" i="20"/>
  <c r="H24" i="20"/>
  <c r="AE24" i="20"/>
  <c r="AW24" i="20"/>
  <c r="BS24" i="20"/>
  <c r="CN24" i="20"/>
  <c r="S27" i="20"/>
  <c r="AO27" i="20"/>
  <c r="BI27" i="20"/>
  <c r="CD27" i="20"/>
  <c r="CX27" i="20"/>
  <c r="L34" i="20"/>
  <c r="AG34" i="20"/>
  <c r="BC34" i="20"/>
  <c r="BX34" i="20"/>
  <c r="X53" i="20"/>
  <c r="AX53" i="20"/>
  <c r="BY53" i="20"/>
  <c r="W59" i="20"/>
  <c r="AW59" i="20"/>
  <c r="BW59" i="20"/>
  <c r="Q88" i="20"/>
  <c r="AX88" i="20"/>
  <c r="AH119" i="20"/>
  <c r="CB119" i="20"/>
  <c r="CU34" i="20"/>
  <c r="CI34" i="20"/>
  <c r="BW34" i="20"/>
  <c r="BK34" i="20"/>
  <c r="AY34" i="20"/>
  <c r="AM34" i="20"/>
  <c r="AA34" i="20"/>
  <c r="O34" i="20"/>
  <c r="C34" i="20"/>
  <c r="CW34" i="20"/>
  <c r="CJ34" i="20"/>
  <c r="BV34" i="20"/>
  <c r="BI34" i="20"/>
  <c r="AV34" i="20"/>
  <c r="AI34" i="20"/>
  <c r="V34" i="20"/>
  <c r="I34" i="20"/>
  <c r="CV34" i="20"/>
  <c r="CH34" i="20"/>
  <c r="BU34" i="20"/>
  <c r="BH34" i="20"/>
  <c r="AU34" i="20"/>
  <c r="AH34" i="20"/>
  <c r="U34" i="20"/>
  <c r="H34" i="20"/>
  <c r="CO34" i="20"/>
  <c r="BZ34" i="20"/>
  <c r="BJ34" i="20"/>
  <c r="AS34" i="20"/>
  <c r="AD34" i="20"/>
  <c r="N34" i="20"/>
  <c r="CN34" i="20"/>
  <c r="BY34" i="20"/>
  <c r="BG34" i="20"/>
  <c r="AR34" i="20"/>
  <c r="AC34" i="20"/>
  <c r="M34" i="20"/>
  <c r="CX34" i="20"/>
  <c r="CF34" i="20"/>
  <c r="BQ34" i="20"/>
  <c r="BB34" i="20"/>
  <c r="AL34" i="20"/>
  <c r="W34" i="20"/>
  <c r="F34" i="20"/>
  <c r="P34" i="20"/>
  <c r="AJ34" i="20"/>
  <c r="BD34" i="20"/>
  <c r="CA34" i="20"/>
  <c r="CS34" i="20"/>
  <c r="CX59" i="20"/>
  <c r="CL59" i="20"/>
  <c r="BZ59" i="20"/>
  <c r="BN59" i="20"/>
  <c r="BB59" i="20"/>
  <c r="AP59" i="20"/>
  <c r="AD59" i="20"/>
  <c r="R59" i="20"/>
  <c r="F59" i="20"/>
  <c r="CS59" i="20"/>
  <c r="CF59" i="20"/>
  <c r="BS59" i="20"/>
  <c r="BF59" i="20"/>
  <c r="AS59" i="20"/>
  <c r="AF59" i="20"/>
  <c r="S59" i="20"/>
  <c r="E59" i="20"/>
  <c r="CR59" i="20"/>
  <c r="CE59" i="20"/>
  <c r="BR59" i="20"/>
  <c r="BE59" i="20"/>
  <c r="AR59" i="20"/>
  <c r="AE59" i="20"/>
  <c r="Q59" i="20"/>
  <c r="D59" i="20"/>
  <c r="CZ59" i="20"/>
  <c r="CM59" i="20"/>
  <c r="BY59" i="20"/>
  <c r="BL59" i="20"/>
  <c r="AY59" i="20"/>
  <c r="AL59" i="20"/>
  <c r="Y59" i="20"/>
  <c r="L59" i="20"/>
  <c r="CV59" i="20"/>
  <c r="CD59" i="20"/>
  <c r="BM59" i="20"/>
  <c r="AV59" i="20"/>
  <c r="AC59" i="20"/>
  <c r="M59" i="20"/>
  <c r="CU59" i="20"/>
  <c r="CC59" i="20"/>
  <c r="BK59" i="20"/>
  <c r="AU59" i="20"/>
  <c r="AB59" i="20"/>
  <c r="K59" i="20"/>
  <c r="CN59" i="20"/>
  <c r="BV59" i="20"/>
  <c r="BD59" i="20"/>
  <c r="AM59" i="20"/>
  <c r="V59" i="20"/>
  <c r="C59" i="20"/>
  <c r="CK59" i="20"/>
  <c r="BU59" i="20"/>
  <c r="BC59" i="20"/>
  <c r="AK59" i="20"/>
  <c r="U59" i="20"/>
  <c r="X59" i="20"/>
  <c r="AX59" i="20"/>
  <c r="BX59" i="20"/>
  <c r="CY59" i="20"/>
  <c r="CV88" i="20"/>
  <c r="CJ88" i="20"/>
  <c r="BX88" i="20"/>
  <c r="BL88" i="20"/>
  <c r="AZ88" i="20"/>
  <c r="AN88" i="20"/>
  <c r="AB88" i="20"/>
  <c r="P88" i="20"/>
  <c r="D88" i="20"/>
  <c r="CN88" i="20"/>
  <c r="CA88" i="20"/>
  <c r="BN88" i="20"/>
  <c r="BA88" i="20"/>
  <c r="AM88" i="20"/>
  <c r="Z88" i="20"/>
  <c r="M88" i="20"/>
  <c r="CS88" i="20"/>
  <c r="CE88" i="20"/>
  <c r="BQ88" i="20"/>
  <c r="BC88" i="20"/>
  <c r="AO88" i="20"/>
  <c r="Y88" i="20"/>
  <c r="K88" i="20"/>
  <c r="CY88" i="20"/>
  <c r="CK88" i="20"/>
  <c r="BV88" i="20"/>
  <c r="BH88" i="20"/>
  <c r="AT88" i="20"/>
  <c r="AF88" i="20"/>
  <c r="R88" i="20"/>
  <c r="CL88" i="20"/>
  <c r="BT88" i="20"/>
  <c r="BD88" i="20"/>
  <c r="AK88" i="20"/>
  <c r="U88" i="20"/>
  <c r="E88" i="20"/>
  <c r="CI88" i="20"/>
  <c r="BS88" i="20"/>
  <c r="BB88" i="20"/>
  <c r="AJ88" i="20"/>
  <c r="T88" i="20"/>
  <c r="C88" i="20"/>
  <c r="CT88" i="20"/>
  <c r="CC88" i="20"/>
  <c r="BK88" i="20"/>
  <c r="AU88" i="20"/>
  <c r="AD88" i="20"/>
  <c r="L88" i="20"/>
  <c r="CD88" i="20"/>
  <c r="BG88" i="20"/>
  <c r="AI88" i="20"/>
  <c r="N88" i="20"/>
  <c r="CX88" i="20"/>
  <c r="CB88" i="20"/>
  <c r="BF88" i="20"/>
  <c r="AH88" i="20"/>
  <c r="J88" i="20"/>
  <c r="CP88" i="20"/>
  <c r="BR88" i="20"/>
  <c r="AV88" i="20"/>
  <c r="X88" i="20"/>
  <c r="CO88" i="20"/>
  <c r="BP88" i="20"/>
  <c r="AS88" i="20"/>
  <c r="W88" i="20"/>
  <c r="S88" i="20"/>
  <c r="AY88" i="20"/>
  <c r="CH88" i="20"/>
  <c r="AI119" i="20"/>
  <c r="X34" i="20"/>
  <c r="AQ34" i="20"/>
  <c r="BN34" i="20"/>
  <c r="CG34" i="20"/>
  <c r="CY37" i="20"/>
  <c r="CU53" i="20"/>
  <c r="CI53" i="20"/>
  <c r="BW53" i="20"/>
  <c r="BK53" i="20"/>
  <c r="AY53" i="20"/>
  <c r="AM53" i="20"/>
  <c r="AA53" i="20"/>
  <c r="O53" i="20"/>
  <c r="C53" i="20"/>
  <c r="CS53" i="20"/>
  <c r="CF53" i="20"/>
  <c r="BS53" i="20"/>
  <c r="BF53" i="20"/>
  <c r="AS53" i="20"/>
  <c r="AF53" i="20"/>
  <c r="S53" i="20"/>
  <c r="F53" i="20"/>
  <c r="CR53" i="20"/>
  <c r="CE53" i="20"/>
  <c r="BR53" i="20"/>
  <c r="BE53" i="20"/>
  <c r="AR53" i="20"/>
  <c r="AE53" i="20"/>
  <c r="R53" i="20"/>
  <c r="E53" i="20"/>
  <c r="CZ53" i="20"/>
  <c r="CM53" i="20"/>
  <c r="BZ53" i="20"/>
  <c r="BM53" i="20"/>
  <c r="AZ53" i="20"/>
  <c r="AL53" i="20"/>
  <c r="Y53" i="20"/>
  <c r="L53" i="20"/>
  <c r="CW53" i="20"/>
  <c r="CD53" i="20"/>
  <c r="BN53" i="20"/>
  <c r="AV53" i="20"/>
  <c r="AD53" i="20"/>
  <c r="M53" i="20"/>
  <c r="CV53" i="20"/>
  <c r="CC53" i="20"/>
  <c r="BL53" i="20"/>
  <c r="AU53" i="20"/>
  <c r="AC53" i="20"/>
  <c r="K53" i="20"/>
  <c r="CN53" i="20"/>
  <c r="BV53" i="20"/>
  <c r="BD53" i="20"/>
  <c r="AN53" i="20"/>
  <c r="V53" i="20"/>
  <c r="D53" i="20"/>
  <c r="CL53" i="20"/>
  <c r="BU53" i="20"/>
  <c r="BC53" i="20"/>
  <c r="AK53" i="20"/>
  <c r="U53" i="20"/>
  <c r="J53" i="20"/>
  <c r="AJ53" i="20"/>
  <c r="BJ53" i="20"/>
  <c r="CK53" i="20"/>
  <c r="I59" i="20"/>
  <c r="AI59" i="20"/>
  <c r="BI59" i="20"/>
  <c r="CI59" i="20"/>
  <c r="AG88" i="20"/>
  <c r="BO88" i="20"/>
  <c r="CW88" i="20"/>
  <c r="T24" i="20"/>
  <c r="AN24" i="20"/>
  <c r="BJ24" i="20"/>
  <c r="CE24" i="20"/>
  <c r="CY24" i="20"/>
  <c r="I27" i="20"/>
  <c r="AF27" i="20"/>
  <c r="BB27" i="20"/>
  <c r="BT27" i="20"/>
  <c r="D34" i="20"/>
  <c r="Y34" i="20"/>
  <c r="AT34" i="20"/>
  <c r="BO34" i="20"/>
  <c r="CK34" i="20"/>
  <c r="N53" i="20"/>
  <c r="AO53" i="20"/>
  <c r="BO53" i="20"/>
  <c r="CO53" i="20"/>
  <c r="J59" i="20"/>
  <c r="AJ59" i="20"/>
  <c r="BJ59" i="20"/>
  <c r="CJ59" i="20"/>
  <c r="F88" i="20"/>
  <c r="AL88" i="20"/>
  <c r="BU88" i="20"/>
  <c r="CT119" i="20"/>
  <c r="CH119" i="20"/>
  <c r="BV119" i="20"/>
  <c r="BJ119" i="20"/>
  <c r="AX119" i="20"/>
  <c r="AL119" i="20"/>
  <c r="Z119" i="20"/>
  <c r="N119" i="20"/>
  <c r="CS119" i="20"/>
  <c r="CG119" i="20"/>
  <c r="BU119" i="20"/>
  <c r="BI119" i="20"/>
  <c r="AW119" i="20"/>
  <c r="AK119" i="20"/>
  <c r="Y119" i="20"/>
  <c r="M119" i="20"/>
  <c r="CZ119" i="20"/>
  <c r="CL119" i="20"/>
  <c r="BX119" i="20"/>
  <c r="BH119" i="20"/>
  <c r="AT119" i="20"/>
  <c r="AF119" i="20"/>
  <c r="R119" i="20"/>
  <c r="D119" i="20"/>
  <c r="CQ119" i="20"/>
  <c r="CC119" i="20"/>
  <c r="BO119" i="20"/>
  <c r="BA119" i="20"/>
  <c r="AM119" i="20"/>
  <c r="W119" i="20"/>
  <c r="I119" i="20"/>
  <c r="CW119" i="20"/>
  <c r="CE119" i="20"/>
  <c r="BN119" i="20"/>
  <c r="AV119" i="20"/>
  <c r="AE119" i="20"/>
  <c r="O119" i="20"/>
  <c r="CN119" i="20"/>
  <c r="BW119" i="20"/>
  <c r="BE119" i="20"/>
  <c r="AO119" i="20"/>
  <c r="V119" i="20"/>
  <c r="F119" i="20"/>
  <c r="CM119" i="20"/>
  <c r="BT119" i="20"/>
  <c r="BD119" i="20"/>
  <c r="AN119" i="20"/>
  <c r="U119" i="20"/>
  <c r="E119" i="20"/>
  <c r="CJ119" i="20"/>
  <c r="BM119" i="20"/>
  <c r="AQ119" i="20"/>
  <c r="S119" i="20"/>
  <c r="CI119" i="20"/>
  <c r="BL119" i="20"/>
  <c r="AP119" i="20"/>
  <c r="Q119" i="20"/>
  <c r="CV119" i="20"/>
  <c r="BZ119" i="20"/>
  <c r="BB119" i="20"/>
  <c r="AD119" i="20"/>
  <c r="H119" i="20"/>
  <c r="CA119" i="20"/>
  <c r="AU119" i="20"/>
  <c r="P119" i="20"/>
  <c r="BY119" i="20"/>
  <c r="AS119" i="20"/>
  <c r="L119" i="20"/>
  <c r="CP119" i="20"/>
  <c r="BK119" i="20"/>
  <c r="AG119" i="20"/>
  <c r="CO119" i="20"/>
  <c r="BG119" i="20"/>
  <c r="AC119" i="20"/>
  <c r="K119" i="20"/>
  <c r="BF119" i="20"/>
  <c r="CY119" i="20"/>
  <c r="J20" i="20"/>
  <c r="Y20" i="20"/>
  <c r="AN20" i="20"/>
  <c r="BD20" i="20"/>
  <c r="BS20" i="20"/>
  <c r="CJ20" i="20"/>
  <c r="E27" i="20"/>
  <c r="T27" i="20"/>
  <c r="AI27" i="20"/>
  <c r="BA27" i="20"/>
  <c r="BP27" i="20"/>
  <c r="CE27" i="20"/>
  <c r="CX20" i="20"/>
  <c r="CX120" i="20" s="1"/>
  <c r="CL20" i="20"/>
  <c r="BZ20" i="20"/>
  <c r="BN20" i="20"/>
  <c r="BB20" i="20"/>
  <c r="AP20" i="20"/>
  <c r="AD20" i="20"/>
  <c r="R20" i="20"/>
  <c r="R120" i="20" s="1"/>
  <c r="F20" i="20"/>
  <c r="CV20" i="20"/>
  <c r="CI20" i="20"/>
  <c r="BV20" i="20"/>
  <c r="BI20" i="20"/>
  <c r="AV20" i="20"/>
  <c r="AI20" i="20"/>
  <c r="V20" i="20"/>
  <c r="I20" i="20"/>
  <c r="CU20" i="20"/>
  <c r="CH20" i="20"/>
  <c r="BU20" i="20"/>
  <c r="BH20" i="20"/>
  <c r="AU20" i="20"/>
  <c r="AH20" i="20"/>
  <c r="U20" i="20"/>
  <c r="H20" i="20"/>
  <c r="O20" i="20"/>
  <c r="AE20" i="20"/>
  <c r="AT20" i="20"/>
  <c r="BK20" i="20"/>
  <c r="CA20" i="20"/>
  <c r="CP20" i="20"/>
  <c r="CU27" i="20"/>
  <c r="CI27" i="20"/>
  <c r="BW27" i="20"/>
  <c r="BK27" i="20"/>
  <c r="AY27" i="20"/>
  <c r="AM27" i="20"/>
  <c r="AA27" i="20"/>
  <c r="O27" i="20"/>
  <c r="C27" i="20"/>
  <c r="CZ27" i="20"/>
  <c r="CM27" i="20"/>
  <c r="BZ27" i="20"/>
  <c r="BM27" i="20"/>
  <c r="AZ27" i="20"/>
  <c r="AL27" i="20"/>
  <c r="Y27" i="20"/>
  <c r="L27" i="20"/>
  <c r="CY27" i="20"/>
  <c r="CL27" i="20"/>
  <c r="BY27" i="20"/>
  <c r="BL27" i="20"/>
  <c r="AX27" i="20"/>
  <c r="AK27" i="20"/>
  <c r="X27" i="20"/>
  <c r="K27" i="20"/>
  <c r="J27" i="20"/>
  <c r="AB27" i="20"/>
  <c r="AQ27" i="20"/>
  <c r="BF27" i="20"/>
  <c r="BU27" i="20"/>
  <c r="CK27" i="20"/>
  <c r="CZ47" i="20"/>
  <c r="P20" i="20"/>
  <c r="AF20" i="20"/>
  <c r="AW20" i="20"/>
  <c r="BL20" i="20"/>
  <c r="CB20" i="20"/>
  <c r="CQ20" i="20"/>
  <c r="M27" i="20"/>
  <c r="AC27" i="20"/>
  <c r="AR27" i="20"/>
  <c r="BG27" i="20"/>
  <c r="BV27" i="20"/>
  <c r="CN27" i="20"/>
  <c r="CV81" i="20"/>
  <c r="CJ81" i="20"/>
  <c r="BX81" i="20"/>
  <c r="BL81" i="20"/>
  <c r="AZ81" i="20"/>
  <c r="AN81" i="20"/>
  <c r="AB81" i="20"/>
  <c r="P81" i="20"/>
  <c r="D81" i="20"/>
  <c r="CQ81" i="20"/>
  <c r="CD81" i="20"/>
  <c r="BQ81" i="20"/>
  <c r="BD81" i="20"/>
  <c r="AQ81" i="20"/>
  <c r="AD81" i="20"/>
  <c r="Q81" i="20"/>
  <c r="C81" i="20"/>
  <c r="CN81" i="20"/>
  <c r="BZ81" i="20"/>
  <c r="BK81" i="20"/>
  <c r="AW81" i="20"/>
  <c r="AI81" i="20"/>
  <c r="U81" i="20"/>
  <c r="G81" i="20"/>
  <c r="CU81" i="20"/>
  <c r="CF81" i="20"/>
  <c r="BP81" i="20"/>
  <c r="BA81" i="20"/>
  <c r="AK81" i="20"/>
  <c r="V81" i="20"/>
  <c r="F81" i="20"/>
  <c r="CT81" i="20"/>
  <c r="CE81" i="20"/>
  <c r="BO81" i="20"/>
  <c r="AY81" i="20"/>
  <c r="AJ81" i="20"/>
  <c r="T81" i="20"/>
  <c r="E81" i="20"/>
  <c r="CM81" i="20"/>
  <c r="BW81" i="20"/>
  <c r="BH81" i="20"/>
  <c r="AS81" i="20"/>
  <c r="AC81" i="20"/>
  <c r="M81" i="20"/>
  <c r="W81" i="20"/>
  <c r="AP81" i="20"/>
  <c r="BJ81" i="20"/>
  <c r="CG81" i="20"/>
  <c r="CZ81" i="20"/>
  <c r="CS92" i="20"/>
  <c r="CG92" i="20"/>
  <c r="BU92" i="20"/>
  <c r="BI92" i="20"/>
  <c r="AW92" i="20"/>
  <c r="AK92" i="20"/>
  <c r="Y92" i="20"/>
  <c r="M92" i="20"/>
  <c r="F92" i="20"/>
  <c r="S92" i="20"/>
  <c r="AF92" i="20"/>
  <c r="AS92" i="20"/>
  <c r="BF92" i="20"/>
  <c r="BS92" i="20"/>
  <c r="CF92" i="20"/>
  <c r="CT92" i="20"/>
  <c r="CF20" i="19"/>
  <c r="AZ24" i="19"/>
  <c r="AZ20" i="19"/>
  <c r="BA24" i="19"/>
  <c r="CV53" i="19"/>
  <c r="CG53" i="19"/>
  <c r="BS53" i="19"/>
  <c r="BD53" i="19"/>
  <c r="AP53" i="19"/>
  <c r="AA53" i="19"/>
  <c r="M53" i="19"/>
  <c r="CU53" i="19"/>
  <c r="CF53" i="19"/>
  <c r="BQ53" i="19"/>
  <c r="BC53" i="19"/>
  <c r="AN53" i="19"/>
  <c r="Z53" i="19"/>
  <c r="L53" i="19"/>
  <c r="CZ53" i="19"/>
  <c r="CA53" i="19"/>
  <c r="BA53" i="19"/>
  <c r="AE53" i="19"/>
  <c r="E53" i="19"/>
  <c r="X53" i="19"/>
  <c r="CY53" i="19"/>
  <c r="BX53" i="19"/>
  <c r="AZ53" i="19"/>
  <c r="AD53" i="19"/>
  <c r="D53" i="19"/>
  <c r="CX53" i="19"/>
  <c r="BW53" i="19"/>
  <c r="AY53" i="19"/>
  <c r="Y53" i="19"/>
  <c r="C53" i="19"/>
  <c r="CT53" i="19"/>
  <c r="BV53" i="19"/>
  <c r="AV53" i="19"/>
  <c r="S53" i="19"/>
  <c r="BI53" i="19"/>
  <c r="CQ53" i="19"/>
  <c r="CP110" i="19"/>
  <c r="CD110" i="19"/>
  <c r="BR110" i="19"/>
  <c r="BF110" i="19"/>
  <c r="AT110" i="19"/>
  <c r="AH110" i="19"/>
  <c r="V110" i="19"/>
  <c r="J110" i="19"/>
  <c r="CN110" i="19"/>
  <c r="CA110" i="19"/>
  <c r="BN110" i="19"/>
  <c r="BA110" i="19"/>
  <c r="AN110" i="19"/>
  <c r="AA110" i="19"/>
  <c r="N110" i="19"/>
  <c r="CU110" i="19"/>
  <c r="CH110" i="19"/>
  <c r="BU110" i="19"/>
  <c r="BH110" i="19"/>
  <c r="AU110" i="19"/>
  <c r="AG110" i="19"/>
  <c r="T110" i="19"/>
  <c r="G110" i="19"/>
  <c r="CT110" i="19"/>
  <c r="CE110" i="19"/>
  <c r="BO110" i="19"/>
  <c r="AY110" i="19"/>
  <c r="AJ110" i="19"/>
  <c r="S110" i="19"/>
  <c r="D110" i="19"/>
  <c r="CX110" i="19"/>
  <c r="CG110" i="19"/>
  <c r="BP110" i="19"/>
  <c r="AX110" i="19"/>
  <c r="AF110" i="19"/>
  <c r="P110" i="19"/>
  <c r="CV110" i="19"/>
  <c r="CB110" i="19"/>
  <c r="BJ110" i="19"/>
  <c r="AQ110" i="19"/>
  <c r="Y110" i="19"/>
  <c r="F110" i="19"/>
  <c r="CS110" i="19"/>
  <c r="BZ110" i="19"/>
  <c r="BI110" i="19"/>
  <c r="AP110" i="19"/>
  <c r="X110" i="19"/>
  <c r="E110" i="19"/>
  <c r="CL110" i="19"/>
  <c r="BT110" i="19"/>
  <c r="BB110" i="19"/>
  <c r="AI110" i="19"/>
  <c r="O110" i="19"/>
  <c r="CI110" i="19"/>
  <c r="BG110" i="19"/>
  <c r="AK110" i="19"/>
  <c r="K110" i="19"/>
  <c r="CF110" i="19"/>
  <c r="BE110" i="19"/>
  <c r="AE110" i="19"/>
  <c r="I110" i="19"/>
  <c r="CC110" i="19"/>
  <c r="BD110" i="19"/>
  <c r="AD110" i="19"/>
  <c r="H110" i="19"/>
  <c r="CR110" i="19"/>
  <c r="BV110" i="19"/>
  <c r="AV110" i="19"/>
  <c r="W110" i="19"/>
  <c r="CQ110" i="19"/>
  <c r="BS110" i="19"/>
  <c r="AS110" i="19"/>
  <c r="U110" i="19"/>
  <c r="CO110" i="19"/>
  <c r="BQ110" i="19"/>
  <c r="AR110" i="19"/>
  <c r="R110" i="19"/>
  <c r="CW110" i="19"/>
  <c r="AW110" i="19"/>
  <c r="CM110" i="19"/>
  <c r="AO110" i="19"/>
  <c r="CK110" i="19"/>
  <c r="AM110" i="19"/>
  <c r="CJ110" i="19"/>
  <c r="AL110" i="19"/>
  <c r="AC110" i="19"/>
  <c r="AC20" i="19"/>
  <c r="BD20" i="19"/>
  <c r="CI20" i="19"/>
  <c r="X24" i="19"/>
  <c r="BD24" i="19"/>
  <c r="CC24" i="19"/>
  <c r="CQ37" i="19"/>
  <c r="CB37" i="19"/>
  <c r="BN37" i="19"/>
  <c r="AZ37" i="19"/>
  <c r="AL37" i="19"/>
  <c r="X37" i="19"/>
  <c r="I37" i="19"/>
  <c r="CO37" i="19"/>
  <c r="BS37" i="19"/>
  <c r="AR37" i="19"/>
  <c r="U37" i="19"/>
  <c r="CJ37" i="19"/>
  <c r="O37" i="19"/>
  <c r="CN37" i="19"/>
  <c r="BQ37" i="19"/>
  <c r="AQ37" i="19"/>
  <c r="T37" i="19"/>
  <c r="CM37" i="19"/>
  <c r="BM37" i="19"/>
  <c r="AP37" i="19"/>
  <c r="P37" i="19"/>
  <c r="BL37" i="19"/>
  <c r="AO37" i="19"/>
  <c r="AD37" i="19"/>
  <c r="BU37" i="19"/>
  <c r="CP40" i="19"/>
  <c r="CD40" i="19"/>
  <c r="BR40" i="19"/>
  <c r="BF40" i="19"/>
  <c r="AT40" i="19"/>
  <c r="AH40" i="19"/>
  <c r="V40" i="19"/>
  <c r="J40" i="19"/>
  <c r="CO40" i="19"/>
  <c r="CB40" i="19"/>
  <c r="BO40" i="19"/>
  <c r="BB40" i="19"/>
  <c r="AO40" i="19"/>
  <c r="AB40" i="19"/>
  <c r="O40" i="19"/>
  <c r="CW40" i="19"/>
  <c r="CI40" i="19"/>
  <c r="BU40" i="19"/>
  <c r="BG40" i="19"/>
  <c r="AR40" i="19"/>
  <c r="AD40" i="19"/>
  <c r="P40" i="19"/>
  <c r="CV40" i="19"/>
  <c r="CH40" i="19"/>
  <c r="BT40" i="19"/>
  <c r="BE40" i="19"/>
  <c r="AQ40" i="19"/>
  <c r="AC40" i="19"/>
  <c r="N40" i="19"/>
  <c r="CU40" i="19"/>
  <c r="CG40" i="19"/>
  <c r="BS40" i="19"/>
  <c r="BD40" i="19"/>
  <c r="AP40" i="19"/>
  <c r="AA40" i="19"/>
  <c r="M40" i="19"/>
  <c r="CQ40" i="19"/>
  <c r="CA40" i="19"/>
  <c r="BM40" i="19"/>
  <c r="AY40" i="19"/>
  <c r="AK40" i="19"/>
  <c r="W40" i="19"/>
  <c r="H40" i="19"/>
  <c r="CN40" i="19"/>
  <c r="BZ40" i="19"/>
  <c r="BL40" i="19"/>
  <c r="AX40" i="19"/>
  <c r="AJ40" i="19"/>
  <c r="U40" i="19"/>
  <c r="G40" i="19"/>
  <c r="CX40" i="19"/>
  <c r="BX40" i="19"/>
  <c r="AZ40" i="19"/>
  <c r="Z40" i="19"/>
  <c r="D40" i="19"/>
  <c r="BQ40" i="19"/>
  <c r="CT40" i="19"/>
  <c r="BW40" i="19"/>
  <c r="AW40" i="19"/>
  <c r="Y40" i="19"/>
  <c r="C40" i="19"/>
  <c r="CS40" i="19"/>
  <c r="BV40" i="19"/>
  <c r="AV40" i="19"/>
  <c r="X40" i="19"/>
  <c r="CR40" i="19"/>
  <c r="AU40" i="19"/>
  <c r="T40" i="19"/>
  <c r="R40" i="19"/>
  <c r="BH40" i="19"/>
  <c r="CL40" i="19"/>
  <c r="W53" i="19"/>
  <c r="BJ53" i="19"/>
  <c r="CR53" i="19"/>
  <c r="AZ110" i="19"/>
  <c r="CS119" i="19"/>
  <c r="CG119" i="19"/>
  <c r="BU119" i="19"/>
  <c r="BI119" i="19"/>
  <c r="AW119" i="19"/>
  <c r="AK119" i="19"/>
  <c r="Y119" i="19"/>
  <c r="M119" i="19"/>
  <c r="CW119" i="19"/>
  <c r="CJ119" i="19"/>
  <c r="BW119" i="19"/>
  <c r="BJ119" i="19"/>
  <c r="AV119" i="19"/>
  <c r="AI119" i="19"/>
  <c r="V119" i="19"/>
  <c r="I119" i="19"/>
  <c r="CP119" i="19"/>
  <c r="CC119" i="19"/>
  <c r="BP119" i="19"/>
  <c r="BC119" i="19"/>
  <c r="AP119" i="19"/>
  <c r="AC119" i="19"/>
  <c r="P119" i="19"/>
  <c r="C119" i="19"/>
  <c r="CQ119" i="19"/>
  <c r="CA119" i="19"/>
  <c r="BL119" i="19"/>
  <c r="AU119" i="19"/>
  <c r="AF119" i="19"/>
  <c r="Q119" i="19"/>
  <c r="CY119" i="19"/>
  <c r="CI119" i="19"/>
  <c r="BS119" i="19"/>
  <c r="BD119" i="19"/>
  <c r="AN119" i="19"/>
  <c r="X119" i="19"/>
  <c r="H119" i="19"/>
  <c r="CV119" i="19"/>
  <c r="CD119" i="19"/>
  <c r="BK119" i="19"/>
  <c r="AR119" i="19"/>
  <c r="Z119" i="19"/>
  <c r="F119" i="19"/>
  <c r="CU119" i="19"/>
  <c r="CB119" i="19"/>
  <c r="BH119" i="19"/>
  <c r="AQ119" i="19"/>
  <c r="W119" i="19"/>
  <c r="E119" i="19"/>
  <c r="CM119" i="19"/>
  <c r="BQ119" i="19"/>
  <c r="AT119" i="19"/>
  <c r="U119" i="19"/>
  <c r="CL119" i="19"/>
  <c r="BO119" i="19"/>
  <c r="AS119" i="19"/>
  <c r="T119" i="19"/>
  <c r="BZ119" i="19"/>
  <c r="BE119" i="19"/>
  <c r="AH119" i="19"/>
  <c r="L119" i="19"/>
  <c r="CE119" i="19"/>
  <c r="AZ119" i="19"/>
  <c r="S119" i="19"/>
  <c r="BY119" i="19"/>
  <c r="AY119" i="19"/>
  <c r="R119" i="19"/>
  <c r="BX119" i="19"/>
  <c r="AX119" i="19"/>
  <c r="O119" i="19"/>
  <c r="CR119" i="19"/>
  <c r="BN119" i="19"/>
  <c r="AJ119" i="19"/>
  <c r="G119" i="19"/>
  <c r="CO119" i="19"/>
  <c r="BM119" i="19"/>
  <c r="AG119" i="19"/>
  <c r="D119" i="19"/>
  <c r="CN119" i="19"/>
  <c r="BG119" i="19"/>
  <c r="AE119" i="19"/>
  <c r="BV119" i="19"/>
  <c r="N119" i="19"/>
  <c r="BT119" i="19"/>
  <c r="K119" i="19"/>
  <c r="BR119" i="19"/>
  <c r="J119" i="19"/>
  <c r="BF119" i="19"/>
  <c r="AL119" i="19"/>
  <c r="X10" i="19"/>
  <c r="AY10" i="19"/>
  <c r="CG10" i="19"/>
  <c r="C20" i="19"/>
  <c r="AD20" i="19"/>
  <c r="BK20" i="19"/>
  <c r="CJ20" i="19"/>
  <c r="AD24" i="19"/>
  <c r="BE24" i="19"/>
  <c r="CH24" i="19"/>
  <c r="AI37" i="19"/>
  <c r="BV37" i="19"/>
  <c r="S40" i="19"/>
  <c r="BI40" i="19"/>
  <c r="CM40" i="19"/>
  <c r="T47" i="19"/>
  <c r="AZ47" i="19"/>
  <c r="CO47" i="19"/>
  <c r="AF53" i="19"/>
  <c r="BM53" i="19"/>
  <c r="AI59" i="19"/>
  <c r="CK59" i="19"/>
  <c r="BC110" i="19"/>
  <c r="CX115" i="19"/>
  <c r="CK115" i="19"/>
  <c r="BW115" i="19"/>
  <c r="BJ115" i="19"/>
  <c r="AW115" i="19"/>
  <c r="AJ115" i="19"/>
  <c r="W115" i="19"/>
  <c r="J115" i="19"/>
  <c r="CT115" i="19"/>
  <c r="CM115" i="19"/>
  <c r="BV115" i="19"/>
  <c r="BG115" i="19"/>
  <c r="AR115" i="19"/>
  <c r="AA115" i="19"/>
  <c r="L115" i="19"/>
  <c r="CG115" i="19"/>
  <c r="BP115" i="19"/>
  <c r="AY115" i="19"/>
  <c r="AH115" i="19"/>
  <c r="R115" i="19"/>
  <c r="CY115" i="19"/>
  <c r="CF115" i="19"/>
  <c r="BO115" i="19"/>
  <c r="CP115" i="19"/>
  <c r="BU115" i="19"/>
  <c r="BB115" i="19"/>
  <c r="AI115" i="19"/>
  <c r="O115" i="19"/>
  <c r="CO115" i="19"/>
  <c r="BT115" i="19"/>
  <c r="BA115" i="19"/>
  <c r="AG115" i="19"/>
  <c r="N115" i="19"/>
  <c r="CE115" i="19"/>
  <c r="BK115" i="19"/>
  <c r="AS115" i="19"/>
  <c r="Y115" i="19"/>
  <c r="G115" i="19"/>
  <c r="CH115" i="19"/>
  <c r="BF115" i="19"/>
  <c r="AF115" i="19"/>
  <c r="H115" i="19"/>
  <c r="CC115" i="19"/>
  <c r="BE115" i="19"/>
  <c r="AE115" i="19"/>
  <c r="F115" i="19"/>
  <c r="CB115" i="19"/>
  <c r="BC115" i="19"/>
  <c r="AC115" i="19"/>
  <c r="E115" i="19"/>
  <c r="CU115" i="19"/>
  <c r="BS115" i="19"/>
  <c r="AT115" i="19"/>
  <c r="U115" i="19"/>
  <c r="CS115" i="19"/>
  <c r="BR115" i="19"/>
  <c r="AP115" i="19"/>
  <c r="T115" i="19"/>
  <c r="CR115" i="19"/>
  <c r="BN115" i="19"/>
  <c r="AO115" i="19"/>
  <c r="S115" i="19"/>
  <c r="CW115" i="19"/>
  <c r="AU115" i="19"/>
  <c r="AK115" i="19"/>
  <c r="CN115" i="19"/>
  <c r="AM115" i="19"/>
  <c r="CL115" i="19"/>
  <c r="AL115" i="19"/>
  <c r="CI115" i="19"/>
  <c r="V115" i="19"/>
  <c r="AM119" i="19"/>
  <c r="AA10" i="19"/>
  <c r="AZ10" i="19"/>
  <c r="CH10" i="19"/>
  <c r="F20" i="19"/>
  <c r="AE20" i="19"/>
  <c r="BL20" i="19"/>
  <c r="AE24" i="19"/>
  <c r="BH24" i="19"/>
  <c r="AJ37" i="19"/>
  <c r="BY37" i="19"/>
  <c r="AE40" i="19"/>
  <c r="BJ40" i="19"/>
  <c r="CY40" i="19"/>
  <c r="U47" i="19"/>
  <c r="BL47" i="19"/>
  <c r="AG53" i="19"/>
  <c r="BN53" i="19"/>
  <c r="AJ59" i="19"/>
  <c r="AP71" i="19"/>
  <c r="CU71" i="19"/>
  <c r="CT79" i="19"/>
  <c r="CA79" i="19"/>
  <c r="BH79" i="19"/>
  <c r="AQ79" i="19"/>
  <c r="W79" i="19"/>
  <c r="E79" i="19"/>
  <c r="CK79" i="19"/>
  <c r="BR79" i="19"/>
  <c r="AZ79" i="19"/>
  <c r="AG79" i="19"/>
  <c r="P79" i="19"/>
  <c r="BQ79" i="19"/>
  <c r="AF79" i="19"/>
  <c r="CZ79" i="19"/>
  <c r="BP79" i="19"/>
  <c r="AD79" i="19"/>
  <c r="CX79" i="19"/>
  <c r="BN79" i="19"/>
  <c r="AC79" i="19"/>
  <c r="CR79" i="19"/>
  <c r="BG79" i="19"/>
  <c r="V79" i="19"/>
  <c r="C79" i="19"/>
  <c r="AY79" i="19"/>
  <c r="CZ88" i="19"/>
  <c r="CG88" i="19"/>
  <c r="BO88" i="19"/>
  <c r="AU88" i="19"/>
  <c r="AD88" i="19"/>
  <c r="J88" i="19"/>
  <c r="CX88" i="19"/>
  <c r="CE88" i="19"/>
  <c r="BN88" i="19"/>
  <c r="AT88" i="19"/>
  <c r="AC88" i="19"/>
  <c r="I88" i="19"/>
  <c r="CU88" i="19"/>
  <c r="CD88" i="19"/>
  <c r="BM88" i="19"/>
  <c r="AS88" i="19"/>
  <c r="Z88" i="19"/>
  <c r="H88" i="19"/>
  <c r="CQ88" i="19"/>
  <c r="BW88" i="19"/>
  <c r="BE88" i="19"/>
  <c r="AM88" i="19"/>
  <c r="U88" i="19"/>
  <c r="CP88" i="19"/>
  <c r="BV88" i="19"/>
  <c r="BD88" i="19"/>
  <c r="AL88" i="19"/>
  <c r="S88" i="19"/>
  <c r="CO88" i="19"/>
  <c r="BT88" i="19"/>
  <c r="BC88" i="19"/>
  <c r="AJ88" i="19"/>
  <c r="R88" i="19"/>
  <c r="CR88" i="19"/>
  <c r="BG88" i="19"/>
  <c r="V88" i="19"/>
  <c r="CM88" i="19"/>
  <c r="BB88" i="19"/>
  <c r="O88" i="19"/>
  <c r="CI88" i="19"/>
  <c r="BA88" i="19"/>
  <c r="N88" i="19"/>
  <c r="CH88" i="19"/>
  <c r="AW88" i="19"/>
  <c r="M88" i="19"/>
  <c r="C88" i="19"/>
  <c r="BI88" i="19"/>
  <c r="BK110" i="19"/>
  <c r="X115" i="19"/>
  <c r="AO119" i="19"/>
  <c r="CS20" i="19"/>
  <c r="CG20" i="19"/>
  <c r="BU20" i="19"/>
  <c r="BI20" i="19"/>
  <c r="AW20" i="19"/>
  <c r="AK20" i="19"/>
  <c r="Y20" i="19"/>
  <c r="M20" i="19"/>
  <c r="CN20" i="19"/>
  <c r="CA20" i="19"/>
  <c r="BN20" i="19"/>
  <c r="BA20" i="19"/>
  <c r="AN20" i="19"/>
  <c r="AA20" i="19"/>
  <c r="N20" i="19"/>
  <c r="CT20" i="19"/>
  <c r="CE20" i="19"/>
  <c r="BQ20" i="19"/>
  <c r="BC20" i="19"/>
  <c r="AO20" i="19"/>
  <c r="Z20" i="19"/>
  <c r="K20" i="19"/>
  <c r="CR20" i="19"/>
  <c r="CD20" i="19"/>
  <c r="BP20" i="19"/>
  <c r="BB20" i="19"/>
  <c r="AM20" i="19"/>
  <c r="X20" i="19"/>
  <c r="J20" i="19"/>
  <c r="CZ20" i="19"/>
  <c r="CL20" i="19"/>
  <c r="BX20" i="19"/>
  <c r="BJ20" i="19"/>
  <c r="AU20" i="19"/>
  <c r="AG20" i="19"/>
  <c r="S20" i="19"/>
  <c r="E20" i="19"/>
  <c r="CY20" i="19"/>
  <c r="CK20" i="19"/>
  <c r="BW20" i="19"/>
  <c r="BH20" i="19"/>
  <c r="AT20" i="19"/>
  <c r="AF20" i="19"/>
  <c r="R20" i="19"/>
  <c r="D20" i="19"/>
  <c r="CX20" i="19"/>
  <c r="CC20" i="19"/>
  <c r="BG20" i="19"/>
  <c r="AL20" i="19"/>
  <c r="Q20" i="19"/>
  <c r="CW20" i="19"/>
  <c r="CB20" i="19"/>
  <c r="BF20" i="19"/>
  <c r="AJ20" i="19"/>
  <c r="P20" i="19"/>
  <c r="CV20" i="19"/>
  <c r="BZ20" i="19"/>
  <c r="BE20" i="19"/>
  <c r="AI20" i="19"/>
  <c r="O20" i="19"/>
  <c r="W20" i="19"/>
  <c r="AY20" i="19"/>
  <c r="CU24" i="19"/>
  <c r="CF24" i="19"/>
  <c r="BQ24" i="19"/>
  <c r="BC24" i="19"/>
  <c r="AO24" i="19"/>
  <c r="AA24" i="19"/>
  <c r="M24" i="19"/>
  <c r="CS24" i="19"/>
  <c r="CE24" i="19"/>
  <c r="BP24" i="19"/>
  <c r="BB24" i="19"/>
  <c r="AN24" i="19"/>
  <c r="Z24" i="19"/>
  <c r="L24" i="19"/>
  <c r="CM24" i="19"/>
  <c r="BY24" i="19"/>
  <c r="BK24" i="19"/>
  <c r="AW24" i="19"/>
  <c r="AI24" i="19"/>
  <c r="T24" i="19"/>
  <c r="E24" i="19"/>
  <c r="CZ24" i="19"/>
  <c r="CL24" i="19"/>
  <c r="BX24" i="19"/>
  <c r="BJ24" i="19"/>
  <c r="AV24" i="19"/>
  <c r="AG24" i="19"/>
  <c r="R24" i="19"/>
  <c r="D24" i="19"/>
  <c r="CO24" i="19"/>
  <c r="BU24" i="19"/>
  <c r="AY24" i="19"/>
  <c r="AC24" i="19"/>
  <c r="H24" i="19"/>
  <c r="C24" i="19"/>
  <c r="CN24" i="19"/>
  <c r="BS24" i="19"/>
  <c r="AX24" i="19"/>
  <c r="AB24" i="19"/>
  <c r="G24" i="19"/>
  <c r="CK24" i="19"/>
  <c r="BO24" i="19"/>
  <c r="AU24" i="19"/>
  <c r="Y24" i="19"/>
  <c r="U24" i="19"/>
  <c r="CA24" i="19"/>
  <c r="AB20" i="19"/>
  <c r="CH20" i="19"/>
  <c r="W24" i="19"/>
  <c r="CB24" i="19"/>
  <c r="G20" i="19"/>
  <c r="AH20" i="19"/>
  <c r="BM20" i="19"/>
  <c r="CO20" i="19"/>
  <c r="AJ24" i="19"/>
  <c r="BI24" i="19"/>
  <c r="CJ24" i="19"/>
  <c r="AK53" i="19"/>
  <c r="BP53" i="19"/>
  <c r="BL110" i="19"/>
  <c r="C10" i="19"/>
  <c r="AD10" i="19"/>
  <c r="BK10" i="19"/>
  <c r="H20" i="19"/>
  <c r="AP20" i="19"/>
  <c r="BO20" i="19"/>
  <c r="CP20" i="19"/>
  <c r="I24" i="19"/>
  <c r="AK24" i="19"/>
  <c r="BL24" i="19"/>
  <c r="CQ24" i="19"/>
  <c r="G37" i="19"/>
  <c r="AW37" i="19"/>
  <c r="CA37" i="19"/>
  <c r="AG40" i="19"/>
  <c r="BN40" i="19"/>
  <c r="CP47" i="19"/>
  <c r="CD47" i="19"/>
  <c r="BR47" i="19"/>
  <c r="BF47" i="19"/>
  <c r="AT47" i="19"/>
  <c r="AH47" i="19"/>
  <c r="V47" i="19"/>
  <c r="J47" i="19"/>
  <c r="CX47" i="19"/>
  <c r="CK47" i="19"/>
  <c r="BX47" i="19"/>
  <c r="BK47" i="19"/>
  <c r="AX47" i="19"/>
  <c r="AK47" i="19"/>
  <c r="X47" i="19"/>
  <c r="K47" i="19"/>
  <c r="CM47" i="19"/>
  <c r="BY47" i="19"/>
  <c r="BJ47" i="19"/>
  <c r="AV47" i="19"/>
  <c r="AG47" i="19"/>
  <c r="S47" i="19"/>
  <c r="E47" i="19"/>
  <c r="CZ47" i="19"/>
  <c r="CL47" i="19"/>
  <c r="BW47" i="19"/>
  <c r="BI47" i="19"/>
  <c r="AU47" i="19"/>
  <c r="AF47" i="19"/>
  <c r="R47" i="19"/>
  <c r="D47" i="19"/>
  <c r="CY47" i="19"/>
  <c r="CJ47" i="19"/>
  <c r="BV47" i="19"/>
  <c r="BH47" i="19"/>
  <c r="AS47" i="19"/>
  <c r="AE47" i="19"/>
  <c r="Q47" i="19"/>
  <c r="C47" i="19"/>
  <c r="CT47" i="19"/>
  <c r="CF47" i="19"/>
  <c r="BQ47" i="19"/>
  <c r="BC47" i="19"/>
  <c r="AO47" i="19"/>
  <c r="AA47" i="19"/>
  <c r="M47" i="19"/>
  <c r="CS47" i="19"/>
  <c r="CE47" i="19"/>
  <c r="BP47" i="19"/>
  <c r="BB47" i="19"/>
  <c r="AN47" i="19"/>
  <c r="Z47" i="19"/>
  <c r="L47" i="19"/>
  <c r="CG47" i="19"/>
  <c r="BG47" i="19"/>
  <c r="AJ47" i="19"/>
  <c r="I47" i="19"/>
  <c r="CA47" i="19"/>
  <c r="CC47" i="19"/>
  <c r="BE47" i="19"/>
  <c r="AI47" i="19"/>
  <c r="H47" i="19"/>
  <c r="CB47" i="19"/>
  <c r="BD47" i="19"/>
  <c r="AD47" i="19"/>
  <c r="G47" i="19"/>
  <c r="CW47" i="19"/>
  <c r="BA47" i="19"/>
  <c r="AC47" i="19"/>
  <c r="F47" i="19"/>
  <c r="Y47" i="19"/>
  <c r="BN47" i="19"/>
  <c r="CU47" i="19"/>
  <c r="AL53" i="19"/>
  <c r="BU53" i="19"/>
  <c r="CE59" i="19"/>
  <c r="AY59" i="19"/>
  <c r="U59" i="19"/>
  <c r="CD59" i="19"/>
  <c r="AX59" i="19"/>
  <c r="T59" i="19"/>
  <c r="CB59" i="19"/>
  <c r="AW59" i="19"/>
  <c r="S59" i="19"/>
  <c r="BW59" i="19"/>
  <c r="AR59" i="19"/>
  <c r="L59" i="19"/>
  <c r="C59" i="19"/>
  <c r="AQ59" i="19"/>
  <c r="CR59" i="19"/>
  <c r="BM110" i="19"/>
  <c r="BB119" i="19"/>
  <c r="F10" i="19"/>
  <c r="AE10" i="19"/>
  <c r="BL10" i="19"/>
  <c r="CM10" i="19"/>
  <c r="I20" i="19"/>
  <c r="AQ20" i="19"/>
  <c r="BR20" i="19"/>
  <c r="CQ20" i="19"/>
  <c r="K24" i="19"/>
  <c r="AL24" i="19"/>
  <c r="BM24" i="19"/>
  <c r="CR24" i="19"/>
  <c r="H37" i="19"/>
  <c r="AX37" i="19"/>
  <c r="CF37" i="19"/>
  <c r="AI40" i="19"/>
  <c r="BP40" i="19"/>
  <c r="AB47" i="19"/>
  <c r="BO47" i="19"/>
  <c r="CV47" i="19"/>
  <c r="H53" i="19"/>
  <c r="AM53" i="19"/>
  <c r="CC53" i="19"/>
  <c r="E59" i="19"/>
  <c r="BE59" i="19"/>
  <c r="CS59" i="19"/>
  <c r="C110" i="19"/>
  <c r="BW110" i="19"/>
  <c r="CF119" i="19"/>
  <c r="G10" i="19"/>
  <c r="AI10" i="19"/>
  <c r="BM10" i="19"/>
  <c r="L20" i="19"/>
  <c r="AR20" i="19"/>
  <c r="BS20" i="19"/>
  <c r="CU20" i="19"/>
  <c r="N24" i="19"/>
  <c r="AM24" i="19"/>
  <c r="BN24" i="19"/>
  <c r="CV24" i="19"/>
  <c r="M37" i="19"/>
  <c r="AY37" i="19"/>
  <c r="CH37" i="19"/>
  <c r="E40" i="19"/>
  <c r="AL40" i="19"/>
  <c r="BY40" i="19"/>
  <c r="AL47" i="19"/>
  <c r="BS47" i="19"/>
  <c r="I53" i="19"/>
  <c r="AR53" i="19"/>
  <c r="CE53" i="19"/>
  <c r="F59" i="19"/>
  <c r="BF59" i="19"/>
  <c r="CT59" i="19"/>
  <c r="L110" i="19"/>
  <c r="BX110" i="19"/>
  <c r="BH115" i="19"/>
  <c r="CH119" i="19"/>
  <c r="CP10" i="19"/>
  <c r="CD10" i="19"/>
  <c r="BR10" i="19"/>
  <c r="BF10" i="19"/>
  <c r="AT10" i="19"/>
  <c r="AH10" i="19"/>
  <c r="V10" i="19"/>
  <c r="J10" i="19"/>
  <c r="CO10" i="19"/>
  <c r="CB10" i="19"/>
  <c r="BO10" i="19"/>
  <c r="BB10" i="19"/>
  <c r="AO10" i="19"/>
  <c r="AB10" i="19"/>
  <c r="O10" i="19"/>
  <c r="CZ10" i="19"/>
  <c r="CL10" i="19"/>
  <c r="BX10" i="19"/>
  <c r="BJ10" i="19"/>
  <c r="AV10" i="19"/>
  <c r="AG10" i="19"/>
  <c r="S10" i="19"/>
  <c r="E10" i="19"/>
  <c r="CY10" i="19"/>
  <c r="CK10" i="19"/>
  <c r="BW10" i="19"/>
  <c r="BI10" i="19"/>
  <c r="AU10" i="19"/>
  <c r="AF10" i="19"/>
  <c r="R10" i="19"/>
  <c r="D10" i="19"/>
  <c r="CT10" i="19"/>
  <c r="CF10" i="19"/>
  <c r="BQ10" i="19"/>
  <c r="BC10" i="19"/>
  <c r="AN10" i="19"/>
  <c r="Z10" i="19"/>
  <c r="L10" i="19"/>
  <c r="CS10" i="19"/>
  <c r="CE10" i="19"/>
  <c r="BP10" i="19"/>
  <c r="BA10" i="19"/>
  <c r="AM10" i="19"/>
  <c r="Y10" i="19"/>
  <c r="K10" i="19"/>
  <c r="CX10" i="19"/>
  <c r="CC10" i="19"/>
  <c r="BH10" i="19"/>
  <c r="AL10" i="19"/>
  <c r="Q10" i="19"/>
  <c r="CW10" i="19"/>
  <c r="CA10" i="19"/>
  <c r="BG10" i="19"/>
  <c r="AK10" i="19"/>
  <c r="P10" i="19"/>
  <c r="CV10" i="19"/>
  <c r="BZ10" i="19"/>
  <c r="BE10" i="19"/>
  <c r="AJ10" i="19"/>
  <c r="N10" i="19"/>
  <c r="H10" i="19"/>
  <c r="AP10" i="19"/>
  <c r="BN10" i="19"/>
  <c r="CQ10" i="19"/>
  <c r="T20" i="19"/>
  <c r="AS20" i="19"/>
  <c r="BT20" i="19"/>
  <c r="O24" i="19"/>
  <c r="AP24" i="19"/>
  <c r="BV24" i="19"/>
  <c r="CW24" i="19"/>
  <c r="CH34" i="19"/>
  <c r="BH34" i="19"/>
  <c r="AL34" i="19"/>
  <c r="P34" i="19"/>
  <c r="CB34" i="19"/>
  <c r="CC34" i="19"/>
  <c r="BE34" i="19"/>
  <c r="AF34" i="19"/>
  <c r="L34" i="19"/>
  <c r="CY34" i="19"/>
  <c r="BB34" i="19"/>
  <c r="C34" i="19"/>
  <c r="AD34" i="19"/>
  <c r="BO34" i="19"/>
  <c r="CV34" i="19"/>
  <c r="N37" i="19"/>
  <c r="BC37" i="19"/>
  <c r="CI37" i="19"/>
  <c r="F40" i="19"/>
  <c r="AM40" i="19"/>
  <c r="CC40" i="19"/>
  <c r="AM47" i="19"/>
  <c r="BT47" i="19"/>
  <c r="K53" i="19"/>
  <c r="AS53" i="19"/>
  <c r="CI53" i="19"/>
  <c r="J59" i="19"/>
  <c r="BH59" i="19"/>
  <c r="CZ59" i="19"/>
  <c r="I71" i="19"/>
  <c r="S79" i="19"/>
  <c r="BY79" i="19"/>
  <c r="AE88" i="19"/>
  <c r="CB88" i="19"/>
  <c r="M110" i="19"/>
  <c r="BY110" i="19"/>
  <c r="BI115" i="19"/>
  <c r="CK119" i="19"/>
  <c r="I10" i="19"/>
  <c r="AQ10" i="19"/>
  <c r="BS10" i="19"/>
  <c r="CR10" i="19"/>
  <c r="U20" i="19"/>
  <c r="AV20" i="19"/>
  <c r="BV20" i="19"/>
  <c r="P24" i="19"/>
  <c r="AQ24" i="19"/>
  <c r="BW24" i="19"/>
  <c r="CX24" i="19"/>
  <c r="D34" i="19"/>
  <c r="AE34" i="19"/>
  <c r="BP34" i="19"/>
  <c r="CW34" i="19"/>
  <c r="W37" i="19"/>
  <c r="BD37" i="19"/>
  <c r="CU37" i="19"/>
  <c r="I40" i="19"/>
  <c r="AN40" i="19"/>
  <c r="CE40" i="19"/>
  <c r="AP47" i="19"/>
  <c r="BU47" i="19"/>
  <c r="P53" i="19"/>
  <c r="AU53" i="19"/>
  <c r="CJ53" i="19"/>
  <c r="K59" i="19"/>
  <c r="BM59" i="19"/>
  <c r="CV71" i="19"/>
  <c r="CW71" i="19"/>
  <c r="CJ71" i="19"/>
  <c r="BX71" i="19"/>
  <c r="BL71" i="19"/>
  <c r="AZ71" i="19"/>
  <c r="AN71" i="19"/>
  <c r="AB71" i="19"/>
  <c r="P71" i="19"/>
  <c r="CN71" i="19"/>
  <c r="CA71" i="19"/>
  <c r="BN71" i="19"/>
  <c r="BA71" i="19"/>
  <c r="AM71" i="19"/>
  <c r="Z71" i="19"/>
  <c r="M71" i="19"/>
  <c r="CP71" i="19"/>
  <c r="CB71" i="19"/>
  <c r="BM71" i="19"/>
  <c r="AX71" i="19"/>
  <c r="AJ71" i="19"/>
  <c r="V71" i="19"/>
  <c r="H71" i="19"/>
  <c r="CR71" i="19"/>
  <c r="CC71" i="19"/>
  <c r="BK71" i="19"/>
  <c r="AV71" i="19"/>
  <c r="AG71" i="19"/>
  <c r="R71" i="19"/>
  <c r="C71" i="19"/>
  <c r="CK71" i="19"/>
  <c r="BT71" i="19"/>
  <c r="BD71" i="19"/>
  <c r="AL71" i="19"/>
  <c r="U71" i="19"/>
  <c r="E71" i="19"/>
  <c r="CI71" i="19"/>
  <c r="BS71" i="19"/>
  <c r="BC71" i="19"/>
  <c r="AK71" i="19"/>
  <c r="T71" i="19"/>
  <c r="D71" i="19"/>
  <c r="CZ71" i="19"/>
  <c r="CH71" i="19"/>
  <c r="BR71" i="19"/>
  <c r="BB71" i="19"/>
  <c r="AI71" i="19"/>
  <c r="S71" i="19"/>
  <c r="CT71" i="19"/>
  <c r="CD71" i="19"/>
  <c r="BJ71" i="19"/>
  <c r="AT71" i="19"/>
  <c r="AD71" i="19"/>
  <c r="L71" i="19"/>
  <c r="CS71" i="19"/>
  <c r="BZ71" i="19"/>
  <c r="BI71" i="19"/>
  <c r="AS71" i="19"/>
  <c r="AC71" i="19"/>
  <c r="K71" i="19"/>
  <c r="CQ71" i="19"/>
  <c r="BY71" i="19"/>
  <c r="BH71" i="19"/>
  <c r="AR71" i="19"/>
  <c r="AA71" i="19"/>
  <c r="J71" i="19"/>
  <c r="CM71" i="19"/>
  <c r="BF71" i="19"/>
  <c r="X71" i="19"/>
  <c r="CL71" i="19"/>
  <c r="BE71" i="19"/>
  <c r="W71" i="19"/>
  <c r="CG71" i="19"/>
  <c r="AY71" i="19"/>
  <c r="Q71" i="19"/>
  <c r="CF71" i="19"/>
  <c r="AW71" i="19"/>
  <c r="O71" i="19"/>
  <c r="N71" i="19"/>
  <c r="BQ71" i="19"/>
  <c r="T79" i="19"/>
  <c r="CF79" i="19"/>
  <c r="AF88" i="19"/>
  <c r="CC88" i="19"/>
  <c r="Q110" i="19"/>
  <c r="CY110" i="19"/>
  <c r="BM115" i="19"/>
  <c r="CT119" i="19"/>
  <c r="CI92" i="19"/>
  <c r="BN92" i="19"/>
  <c r="AS92" i="19"/>
  <c r="Z92" i="19"/>
  <c r="E92" i="19"/>
  <c r="AO92" i="19"/>
  <c r="CC92" i="19"/>
  <c r="CU99" i="19"/>
  <c r="CC99" i="19"/>
  <c r="BM99" i="19"/>
  <c r="AW99" i="19"/>
  <c r="AD99" i="19"/>
  <c r="CX99" i="19"/>
  <c r="BY99" i="19"/>
  <c r="BB99" i="19"/>
  <c r="AI99" i="19"/>
  <c r="K99" i="19"/>
  <c r="CT99" i="19"/>
  <c r="BX99" i="19"/>
  <c r="BA99" i="19"/>
  <c r="AC99" i="19"/>
  <c r="I99" i="19"/>
  <c r="CR99" i="19"/>
  <c r="BV99" i="19"/>
  <c r="AZ99" i="19"/>
  <c r="AA99" i="19"/>
  <c r="H99" i="19"/>
  <c r="CK99" i="19"/>
  <c r="BO99" i="19"/>
  <c r="AQ99" i="19"/>
  <c r="U99" i="19"/>
  <c r="CJ99" i="19"/>
  <c r="BL99" i="19"/>
  <c r="AO99" i="19"/>
  <c r="T99" i="19"/>
  <c r="CI99" i="19"/>
  <c r="BJ99" i="19"/>
  <c r="AM99" i="19"/>
  <c r="S99" i="19"/>
  <c r="W99" i="19"/>
  <c r="BP99" i="19"/>
  <c r="CX27" i="19"/>
  <c r="CJ27" i="19"/>
  <c r="BV27" i="19"/>
  <c r="BH27" i="19"/>
  <c r="AS27" i="19"/>
  <c r="AE27" i="19"/>
  <c r="Q27" i="19"/>
  <c r="C27" i="19"/>
  <c r="CW27" i="19"/>
  <c r="CI27" i="19"/>
  <c r="BU27" i="19"/>
  <c r="BG27" i="19"/>
  <c r="AR27" i="19"/>
  <c r="AD27" i="19"/>
  <c r="P27" i="19"/>
  <c r="CQ27" i="19"/>
  <c r="CA27" i="19"/>
  <c r="BM27" i="19"/>
  <c r="AY27" i="19"/>
  <c r="AK27" i="19"/>
  <c r="W27" i="19"/>
  <c r="H27" i="19"/>
  <c r="S27" i="19"/>
  <c r="AN27" i="19"/>
  <c r="BJ27" i="19"/>
  <c r="CF27" i="19"/>
  <c r="CZ27" i="19"/>
  <c r="CZ37" i="19"/>
  <c r="AP92" i="19"/>
  <c r="CE92" i="19"/>
  <c r="Y99" i="19"/>
  <c r="BQ99" i="19"/>
  <c r="T27" i="19"/>
  <c r="AP27" i="19"/>
  <c r="BK27" i="19"/>
  <c r="CG27" i="19"/>
  <c r="CP34" i="19"/>
  <c r="CD34" i="19"/>
  <c r="BR34" i="19"/>
  <c r="BF34" i="19"/>
  <c r="AT34" i="19"/>
  <c r="AH34" i="19"/>
  <c r="V34" i="19"/>
  <c r="J34" i="19"/>
  <c r="CX34" i="19"/>
  <c r="CK34" i="19"/>
  <c r="BX34" i="19"/>
  <c r="BK34" i="19"/>
  <c r="AX34" i="19"/>
  <c r="AK34" i="19"/>
  <c r="X34" i="19"/>
  <c r="K34" i="19"/>
  <c r="CN34" i="19"/>
  <c r="BZ34" i="19"/>
  <c r="BL34" i="19"/>
  <c r="AW34" i="19"/>
  <c r="AI34" i="19"/>
  <c r="T34" i="19"/>
  <c r="F34" i="19"/>
  <c r="CM34" i="19"/>
  <c r="BY34" i="19"/>
  <c r="BJ34" i="19"/>
  <c r="AV34" i="19"/>
  <c r="AG34" i="19"/>
  <c r="S34" i="19"/>
  <c r="E34" i="19"/>
  <c r="CZ34" i="19"/>
  <c r="CL34" i="19"/>
  <c r="BW34" i="19"/>
  <c r="BI34" i="19"/>
  <c r="AU34" i="19"/>
  <c r="CU34" i="19"/>
  <c r="CG34" i="19"/>
  <c r="BS34" i="19"/>
  <c r="BD34" i="19"/>
  <c r="AP34" i="19"/>
  <c r="AB34" i="19"/>
  <c r="N34" i="19"/>
  <c r="CT34" i="19"/>
  <c r="CF34" i="19"/>
  <c r="BQ34" i="19"/>
  <c r="BC34" i="19"/>
  <c r="AO34" i="19"/>
  <c r="AA34" i="19"/>
  <c r="M34" i="19"/>
  <c r="O34" i="19"/>
  <c r="AJ34" i="19"/>
  <c r="BG34" i="19"/>
  <c r="CE34" i="19"/>
  <c r="Y81" i="19"/>
  <c r="BK81" i="19"/>
  <c r="AR92" i="19"/>
  <c r="CF92" i="19"/>
  <c r="Z99" i="19"/>
  <c r="BU99" i="19"/>
  <c r="U27" i="19"/>
  <c r="AQ27" i="19"/>
  <c r="BL27" i="19"/>
  <c r="CH27" i="19"/>
  <c r="CV81" i="19"/>
  <c r="CJ81" i="19"/>
  <c r="BX81" i="19"/>
  <c r="BL81" i="19"/>
  <c r="AZ81" i="19"/>
  <c r="AN81" i="19"/>
  <c r="AB81" i="19"/>
  <c r="P81" i="19"/>
  <c r="D81" i="19"/>
  <c r="CO81" i="19"/>
  <c r="CB81" i="19"/>
  <c r="BO81" i="19"/>
  <c r="BB81" i="19"/>
  <c r="AO81" i="19"/>
  <c r="AA81" i="19"/>
  <c r="N81" i="19"/>
  <c r="CW81" i="19"/>
  <c r="CH81" i="19"/>
  <c r="BT81" i="19"/>
  <c r="BF81" i="19"/>
  <c r="AR81" i="19"/>
  <c r="AD81" i="19"/>
  <c r="O81" i="19"/>
  <c r="CL81" i="19"/>
  <c r="BV81" i="19"/>
  <c r="BG81" i="19"/>
  <c r="AQ81" i="19"/>
  <c r="Z81" i="19"/>
  <c r="K81" i="19"/>
  <c r="CP81" i="19"/>
  <c r="BY81" i="19"/>
  <c r="BH81" i="19"/>
  <c r="AP81" i="19"/>
  <c r="X81" i="19"/>
  <c r="H81" i="19"/>
  <c r="CZ81" i="19"/>
  <c r="CG81" i="19"/>
  <c r="BP81" i="19"/>
  <c r="AW81" i="19"/>
  <c r="AF81" i="19"/>
  <c r="L81" i="19"/>
  <c r="CY81" i="19"/>
  <c r="CF81" i="19"/>
  <c r="BN81" i="19"/>
  <c r="AV81" i="19"/>
  <c r="AE81" i="19"/>
  <c r="J81" i="19"/>
  <c r="CX81" i="19"/>
  <c r="CE81" i="19"/>
  <c r="BM81" i="19"/>
  <c r="AU81" i="19"/>
  <c r="AC81" i="19"/>
  <c r="I81" i="19"/>
  <c r="CR81" i="19"/>
  <c r="BZ81" i="19"/>
  <c r="BE81" i="19"/>
  <c r="AL81" i="19"/>
  <c r="U81" i="19"/>
  <c r="C81" i="19"/>
  <c r="CQ81" i="19"/>
  <c r="BW81" i="19"/>
  <c r="BD81" i="19"/>
  <c r="AK81" i="19"/>
  <c r="T81" i="19"/>
  <c r="CN81" i="19"/>
  <c r="BU81" i="19"/>
  <c r="BC81" i="19"/>
  <c r="AJ81" i="19"/>
  <c r="S81" i="19"/>
  <c r="AG81" i="19"/>
  <c r="BQ81" i="19"/>
  <c r="J92" i="19"/>
  <c r="AX92" i="19"/>
  <c r="CM92" i="19"/>
  <c r="AJ99" i="19"/>
  <c r="CA99" i="19"/>
  <c r="CV59" i="19"/>
  <c r="CJ59" i="19"/>
  <c r="BX59" i="19"/>
  <c r="BL59" i="19"/>
  <c r="AZ59" i="19"/>
  <c r="AN59" i="19"/>
  <c r="AB59" i="19"/>
  <c r="P59" i="19"/>
  <c r="D59" i="19"/>
  <c r="CP59" i="19"/>
  <c r="CC59" i="19"/>
  <c r="BP59" i="19"/>
  <c r="BC59" i="19"/>
  <c r="AP59" i="19"/>
  <c r="AC59" i="19"/>
  <c r="O59" i="19"/>
  <c r="CX59" i="19"/>
  <c r="CI59" i="19"/>
  <c r="BU59" i="19"/>
  <c r="BG59" i="19"/>
  <c r="AS59" i="19"/>
  <c r="AE59" i="19"/>
  <c r="Q59" i="19"/>
  <c r="M59" i="19"/>
  <c r="AD59" i="19"/>
  <c r="AT59" i="19"/>
  <c r="BI59" i="19"/>
  <c r="BY59" i="19"/>
  <c r="CN59" i="19"/>
  <c r="CW88" i="19"/>
  <c r="CK92" i="19"/>
  <c r="BT92" i="19"/>
  <c r="BC92" i="19"/>
  <c r="AL92" i="19"/>
  <c r="T92" i="19"/>
  <c r="C92" i="19"/>
  <c r="CT92" i="19"/>
  <c r="CB92" i="19"/>
  <c r="BK92" i="19"/>
  <c r="AT92" i="19"/>
  <c r="AC92" i="19"/>
  <c r="L92" i="19"/>
  <c r="O92" i="19"/>
  <c r="AH92" i="19"/>
  <c r="BE92" i="19"/>
  <c r="BX92" i="19"/>
  <c r="CR92" i="19"/>
  <c r="C37" i="19"/>
  <c r="Q37" i="19"/>
  <c r="AE37" i="19"/>
  <c r="AU37" i="19"/>
  <c r="BI37" i="19"/>
  <c r="BW37" i="19"/>
  <c r="CK37" i="19"/>
  <c r="CY37" i="19"/>
  <c r="CS53" i="19"/>
  <c r="CP53" i="19"/>
  <c r="CD53" i="19"/>
  <c r="BR53" i="19"/>
  <c r="BF53" i="19"/>
  <c r="AT53" i="19"/>
  <c r="AH53" i="19"/>
  <c r="V53" i="19"/>
  <c r="J53" i="19"/>
  <c r="CO53" i="19"/>
  <c r="CB53" i="19"/>
  <c r="BO53" i="19"/>
  <c r="BB53" i="19"/>
  <c r="AO53" i="19"/>
  <c r="AB53" i="19"/>
  <c r="O53" i="19"/>
  <c r="F53" i="19"/>
  <c r="T53" i="19"/>
  <c r="AI53" i="19"/>
  <c r="AW53" i="19"/>
  <c r="BK53" i="19"/>
  <c r="BY53" i="19"/>
  <c r="CM53" i="19"/>
  <c r="N59" i="19"/>
  <c r="AF59" i="19"/>
  <c r="AU59" i="19"/>
  <c r="BJ59" i="19"/>
  <c r="BZ59" i="19"/>
  <c r="CO59" i="19"/>
  <c r="Q79" i="19"/>
  <c r="AH79" i="19"/>
  <c r="BA79" i="19"/>
  <c r="BS79" i="19"/>
  <c r="CL79" i="19"/>
  <c r="P92" i="19"/>
  <c r="AI92" i="19"/>
  <c r="BF92" i="19"/>
  <c r="BY92" i="19"/>
  <c r="CU92" i="19"/>
  <c r="CP27" i="19"/>
  <c r="CD27" i="19"/>
  <c r="BR27" i="19"/>
  <c r="BF27" i="19"/>
  <c r="AT27" i="19"/>
  <c r="AH27" i="19"/>
  <c r="V27" i="19"/>
  <c r="J27" i="19"/>
  <c r="CO27" i="19"/>
  <c r="CB27" i="19"/>
  <c r="BO27" i="19"/>
  <c r="BB27" i="19"/>
  <c r="AO27" i="19"/>
  <c r="AB27" i="19"/>
  <c r="O27" i="19"/>
  <c r="I27" i="19"/>
  <c r="X27" i="19"/>
  <c r="AL27" i="19"/>
  <c r="AZ27" i="19"/>
  <c r="BN27" i="19"/>
  <c r="CC27" i="19"/>
  <c r="CR27" i="19"/>
  <c r="D37" i="19"/>
  <c r="R37" i="19"/>
  <c r="AG37" i="19"/>
  <c r="AV37" i="19"/>
  <c r="BJ37" i="19"/>
  <c r="BX37" i="19"/>
  <c r="CL37" i="19"/>
  <c r="F49" i="19"/>
  <c r="T49" i="19"/>
  <c r="AH49" i="19"/>
  <c r="AX49" i="19"/>
  <c r="BL49" i="19"/>
  <c r="BZ49" i="19"/>
  <c r="G53" i="19"/>
  <c r="U53" i="19"/>
  <c r="AJ53" i="19"/>
  <c r="AX53" i="19"/>
  <c r="BL53" i="19"/>
  <c r="BZ53" i="19"/>
  <c r="CN53" i="19"/>
  <c r="R59" i="19"/>
  <c r="AG59" i="19"/>
  <c r="AV59" i="19"/>
  <c r="BK59" i="19"/>
  <c r="CA59" i="19"/>
  <c r="CQ59" i="19"/>
  <c r="R79" i="19"/>
  <c r="AJ79" i="19"/>
  <c r="BC79" i="19"/>
  <c r="BV79" i="19"/>
  <c r="R92" i="19"/>
  <c r="AN92" i="19"/>
  <c r="BG92" i="19"/>
  <c r="BZ92" i="19"/>
  <c r="CV92" i="19"/>
  <c r="G59" i="19"/>
  <c r="V59" i="19"/>
  <c r="AK59" i="19"/>
  <c r="BA59" i="19"/>
  <c r="BQ59" i="19"/>
  <c r="CF59" i="19"/>
  <c r="CU59" i="19"/>
  <c r="CZ119" i="19"/>
  <c r="CP37" i="19"/>
  <c r="CD37" i="19"/>
  <c r="BR37" i="19"/>
  <c r="BF37" i="19"/>
  <c r="AT37" i="19"/>
  <c r="AH37" i="19"/>
  <c r="V37" i="19"/>
  <c r="J37" i="19"/>
  <c r="CT37" i="19"/>
  <c r="CG37" i="19"/>
  <c r="BT37" i="19"/>
  <c r="BG37" i="19"/>
  <c r="AS37" i="19"/>
  <c r="AF37" i="19"/>
  <c r="S37" i="19"/>
  <c r="F37" i="19"/>
  <c r="K37" i="19"/>
  <c r="Y37" i="19"/>
  <c r="AM37" i="19"/>
  <c r="BA37" i="19"/>
  <c r="BO37" i="19"/>
  <c r="CC37" i="19"/>
  <c r="CR37" i="19"/>
  <c r="H59" i="19"/>
  <c r="W59" i="19"/>
  <c r="AL59" i="19"/>
  <c r="BB59" i="19"/>
  <c r="BR59" i="19"/>
  <c r="CG59" i="19"/>
  <c r="CW59" i="19"/>
  <c r="CS79" i="19"/>
  <c r="CG79" i="19"/>
  <c r="BU79" i="19"/>
  <c r="BI79" i="19"/>
  <c r="AW79" i="19"/>
  <c r="AK79" i="19"/>
  <c r="Y79" i="19"/>
  <c r="M79" i="19"/>
  <c r="CO79" i="19"/>
  <c r="CB79" i="19"/>
  <c r="BO79" i="19"/>
  <c r="BB79" i="19"/>
  <c r="AO79" i="19"/>
  <c r="AB79" i="19"/>
  <c r="O79" i="19"/>
  <c r="CN79" i="19"/>
  <c r="BZ79" i="19"/>
  <c r="BL79" i="19"/>
  <c r="AX79" i="19"/>
  <c r="AI79" i="19"/>
  <c r="U79" i="19"/>
  <c r="G79" i="19"/>
  <c r="CY79" i="19"/>
  <c r="CJ79" i="19"/>
  <c r="BT79" i="19"/>
  <c r="BE79" i="19"/>
  <c r="AP79" i="19"/>
  <c r="Z79" i="19"/>
  <c r="J79" i="19"/>
  <c r="CU79" i="19"/>
  <c r="CD79" i="19"/>
  <c r="BM79" i="19"/>
  <c r="AU79" i="19"/>
  <c r="AE79" i="19"/>
  <c r="N79" i="19"/>
  <c r="F79" i="19"/>
  <c r="X79" i="19"/>
  <c r="AR79" i="19"/>
  <c r="BJ79" i="19"/>
  <c r="CC79" i="19"/>
  <c r="CV79" i="19"/>
  <c r="F92" i="19"/>
  <c r="AA92" i="19"/>
  <c r="AU92" i="19"/>
  <c r="BO92" i="19"/>
  <c r="CJ92" i="19"/>
  <c r="L37" i="19"/>
  <c r="Z37" i="19"/>
  <c r="AN37" i="19"/>
  <c r="BB37" i="19"/>
  <c r="BP37" i="19"/>
  <c r="CE37" i="19"/>
  <c r="CS37" i="19"/>
  <c r="CS49" i="19"/>
  <c r="CG49" i="19"/>
  <c r="BU49" i="19"/>
  <c r="BI49" i="19"/>
  <c r="AW49" i="19"/>
  <c r="AK49" i="19"/>
  <c r="Y49" i="19"/>
  <c r="M49" i="19"/>
  <c r="CW49" i="19"/>
  <c r="CJ49" i="19"/>
  <c r="BW49" i="19"/>
  <c r="BJ49" i="19"/>
  <c r="AV49" i="19"/>
  <c r="AI49" i="19"/>
  <c r="V49" i="19"/>
  <c r="I49" i="19"/>
  <c r="N49" i="19"/>
  <c r="AB49" i="19"/>
  <c r="AP49" i="19"/>
  <c r="BD49" i="19"/>
  <c r="BR49" i="19"/>
  <c r="CF49" i="19"/>
  <c r="CU49" i="19"/>
  <c r="N53" i="19"/>
  <c r="AC53" i="19"/>
  <c r="AQ53" i="19"/>
  <c r="BE53" i="19"/>
  <c r="BT53" i="19"/>
  <c r="CH53" i="19"/>
  <c r="CW53" i="19"/>
  <c r="I59" i="19"/>
  <c r="X59" i="19"/>
  <c r="AM59" i="19"/>
  <c r="BD59" i="19"/>
  <c r="BS59" i="19"/>
  <c r="CH59" i="19"/>
  <c r="CY59" i="19"/>
  <c r="H79" i="19"/>
  <c r="AA79" i="19"/>
  <c r="AS79" i="19"/>
  <c r="BK79" i="19"/>
  <c r="CE79" i="19"/>
  <c r="CW79" i="19"/>
  <c r="I92" i="19"/>
  <c r="AB92" i="19"/>
  <c r="AV92" i="19"/>
  <c r="BP92" i="19"/>
  <c r="CL92" i="19"/>
  <c r="CP99" i="19"/>
  <c r="CD99" i="19"/>
  <c r="BR99" i="19"/>
  <c r="BF99" i="19"/>
  <c r="AT99" i="19"/>
  <c r="AH99" i="19"/>
  <c r="V99" i="19"/>
  <c r="J99" i="19"/>
  <c r="CS99" i="19"/>
  <c r="CF99" i="19"/>
  <c r="BS99" i="19"/>
  <c r="BE99" i="19"/>
  <c r="AR99" i="19"/>
  <c r="AE99" i="19"/>
  <c r="R99" i="19"/>
  <c r="E99" i="19"/>
  <c r="CV99" i="19"/>
  <c r="CH99" i="19"/>
  <c r="BT99" i="19"/>
  <c r="BD99" i="19"/>
  <c r="AP99" i="19"/>
  <c r="AB99" i="19"/>
  <c r="N99" i="19"/>
  <c r="CO99" i="19"/>
  <c r="BZ99" i="19"/>
  <c r="BK99" i="19"/>
  <c r="AV99" i="19"/>
  <c r="AF99" i="19"/>
  <c r="P99" i="19"/>
  <c r="G99" i="19"/>
  <c r="X99" i="19"/>
  <c r="AN99" i="19"/>
  <c r="BG99" i="19"/>
  <c r="BW99" i="19"/>
  <c r="CM99" i="19"/>
  <c r="CZ115" i="19"/>
  <c r="CP24" i="19"/>
  <c r="CD24" i="19"/>
  <c r="BR24" i="19"/>
  <c r="BF24" i="19"/>
  <c r="AT24" i="19"/>
  <c r="AH24" i="19"/>
  <c r="V24" i="19"/>
  <c r="J24" i="19"/>
  <c r="F24" i="19"/>
  <c r="S24" i="19"/>
  <c r="AF24" i="19"/>
  <c r="AS24" i="19"/>
  <c r="BG24" i="19"/>
  <c r="BT24" i="19"/>
  <c r="CG24" i="19"/>
  <c r="CT24" i="19"/>
  <c r="Q88" i="19"/>
  <c r="AG88" i="19"/>
  <c r="AY88" i="19"/>
  <c r="BP88" i="19"/>
  <c r="CF88" i="19"/>
  <c r="CS95" i="19"/>
  <c r="CG95" i="19"/>
  <c r="BU95" i="19"/>
  <c r="BI95" i="19"/>
  <c r="AW95" i="19"/>
  <c r="AK95" i="19"/>
  <c r="Y95" i="19"/>
  <c r="M95" i="19"/>
  <c r="CZ95" i="19"/>
  <c r="CM95" i="19"/>
  <c r="BZ95" i="19"/>
  <c r="BM95" i="19"/>
  <c r="AZ95" i="19"/>
  <c r="AM95" i="19"/>
  <c r="Z95" i="19"/>
  <c r="L95" i="19"/>
  <c r="CT95" i="19"/>
  <c r="CE95" i="19"/>
  <c r="BQ95" i="19"/>
  <c r="BC95" i="19"/>
  <c r="AO95" i="19"/>
  <c r="AA95" i="19"/>
  <c r="K95" i="19"/>
  <c r="CU95" i="19"/>
  <c r="CD95" i="19"/>
  <c r="BO95" i="19"/>
  <c r="AY95" i="19"/>
  <c r="AI95" i="19"/>
  <c r="T95" i="19"/>
  <c r="E95" i="19"/>
  <c r="J95" i="19"/>
  <c r="AC95" i="19"/>
  <c r="AS95" i="19"/>
  <c r="BJ95" i="19"/>
  <c r="CA95" i="19"/>
  <c r="CQ95" i="19"/>
  <c r="O99" i="19"/>
  <c r="AG99" i="19"/>
  <c r="AX99" i="19"/>
  <c r="BN99" i="19"/>
  <c r="CE99" i="19"/>
  <c r="CW99" i="19"/>
  <c r="CV88" i="19"/>
  <c r="CJ88" i="19"/>
  <c r="BX88" i="19"/>
  <c r="BL88" i="19"/>
  <c r="AZ88" i="19"/>
  <c r="AN88" i="19"/>
  <c r="AB88" i="19"/>
  <c r="P88" i="19"/>
  <c r="D88" i="19"/>
  <c r="CY88" i="19"/>
  <c r="CL88" i="19"/>
  <c r="BY88" i="19"/>
  <c r="BK88" i="19"/>
  <c r="AX88" i="19"/>
  <c r="AK88" i="19"/>
  <c r="X88" i="19"/>
  <c r="K88" i="19"/>
  <c r="CN88" i="19"/>
  <c r="BZ88" i="19"/>
  <c r="BJ88" i="19"/>
  <c r="AV88" i="19"/>
  <c r="AH88" i="19"/>
  <c r="T88" i="19"/>
  <c r="F88" i="19"/>
  <c r="L88" i="19"/>
  <c r="AA88" i="19"/>
  <c r="AQ88" i="19"/>
  <c r="BF88" i="19"/>
  <c r="BU88" i="19"/>
  <c r="CK88" i="19"/>
  <c r="CS92" i="19"/>
  <c r="CG92" i="19"/>
  <c r="BU92" i="19"/>
  <c r="BI92" i="19"/>
  <c r="AW92" i="19"/>
  <c r="AK92" i="19"/>
  <c r="Y92" i="19"/>
  <c r="M92" i="19"/>
  <c r="CQ92" i="19"/>
  <c r="CD92" i="19"/>
  <c r="BQ92" i="19"/>
  <c r="BD92" i="19"/>
  <c r="AQ92" i="19"/>
  <c r="AD92" i="19"/>
  <c r="Q92" i="19"/>
  <c r="D92" i="19"/>
  <c r="CO92" i="19"/>
  <c r="CA92" i="19"/>
  <c r="BM92" i="19"/>
  <c r="AY92" i="19"/>
  <c r="AJ92" i="19"/>
  <c r="V92" i="19"/>
  <c r="H92" i="19"/>
  <c r="G92" i="19"/>
  <c r="W92" i="19"/>
  <c r="AM92" i="19"/>
  <c r="BB92" i="19"/>
  <c r="BR92" i="19"/>
  <c r="CH92" i="19"/>
  <c r="CW92" i="19"/>
  <c r="CV115" i="19"/>
  <c r="CJ115" i="19"/>
  <c r="BX115" i="19"/>
  <c r="BL115" i="19"/>
  <c r="AZ115" i="19"/>
  <c r="AN115" i="19"/>
  <c r="AB115" i="19"/>
  <c r="P115" i="19"/>
  <c r="D115" i="19"/>
  <c r="C115" i="19"/>
  <c r="Q115" i="19"/>
  <c r="AD115" i="19"/>
  <c r="AQ115" i="19"/>
  <c r="BD115" i="19"/>
  <c r="BQ115" i="19"/>
  <c r="CD115" i="19"/>
  <c r="CQ115" i="19"/>
  <c r="C20" i="18"/>
  <c r="CV34" i="18"/>
  <c r="CJ34" i="18"/>
  <c r="BX34" i="18"/>
  <c r="BL34" i="18"/>
  <c r="AZ34" i="18"/>
  <c r="AN34" i="18"/>
  <c r="AB34" i="18"/>
  <c r="P34" i="18"/>
  <c r="D34" i="18"/>
  <c r="CZ34" i="18"/>
  <c r="CM34" i="18"/>
  <c r="BZ34" i="18"/>
  <c r="BM34" i="18"/>
  <c r="AY34" i="18"/>
  <c r="AL34" i="18"/>
  <c r="Y34" i="18"/>
  <c r="L34" i="18"/>
  <c r="CY34" i="18"/>
  <c r="CL34" i="18"/>
  <c r="BY34" i="18"/>
  <c r="BK34" i="18"/>
  <c r="AX34" i="18"/>
  <c r="AK34" i="18"/>
  <c r="X34" i="18"/>
  <c r="K34" i="18"/>
  <c r="CS34" i="18"/>
  <c r="CF34" i="18"/>
  <c r="BS34" i="18"/>
  <c r="BF34" i="18"/>
  <c r="AS34" i="18"/>
  <c r="AF34" i="18"/>
  <c r="S34" i="18"/>
  <c r="F34" i="18"/>
  <c r="CX34" i="18"/>
  <c r="CG34" i="18"/>
  <c r="BP34" i="18"/>
  <c r="AW34" i="18"/>
  <c r="AG34" i="18"/>
  <c r="O34" i="18"/>
  <c r="CW34" i="18"/>
  <c r="CE34" i="18"/>
  <c r="BO34" i="18"/>
  <c r="AV34" i="18"/>
  <c r="AE34" i="18"/>
  <c r="N34" i="18"/>
  <c r="CU34" i="18"/>
  <c r="CD34" i="18"/>
  <c r="CR34" i="18"/>
  <c r="BV34" i="18"/>
  <c r="BC34" i="18"/>
  <c r="AH34" i="18"/>
  <c r="J34" i="18"/>
  <c r="CQ34" i="18"/>
  <c r="BU34" i="18"/>
  <c r="BB34" i="18"/>
  <c r="AD34" i="18"/>
  <c r="I34" i="18"/>
  <c r="CP34" i="18"/>
  <c r="BT34" i="18"/>
  <c r="BA34" i="18"/>
  <c r="AC34" i="18"/>
  <c r="H34" i="18"/>
  <c r="CO34" i="18"/>
  <c r="BR34" i="18"/>
  <c r="AU34" i="18"/>
  <c r="AA34" i="18"/>
  <c r="G34" i="18"/>
  <c r="CN34" i="18"/>
  <c r="BQ34" i="18"/>
  <c r="AT34" i="18"/>
  <c r="Z34" i="18"/>
  <c r="E34" i="18"/>
  <c r="CI34" i="18"/>
  <c r="BJ34" i="18"/>
  <c r="AQ34" i="18"/>
  <c r="V34" i="18"/>
  <c r="CH34" i="18"/>
  <c r="BI34" i="18"/>
  <c r="AP34" i="18"/>
  <c r="U34" i="18"/>
  <c r="CC34" i="18"/>
  <c r="BH34" i="18"/>
  <c r="AO34" i="18"/>
  <c r="T34" i="18"/>
  <c r="CB34" i="18"/>
  <c r="BG34" i="18"/>
  <c r="AM34" i="18"/>
  <c r="R34" i="18"/>
  <c r="H20" i="18"/>
  <c r="CE20" i="18"/>
  <c r="BD34" i="18"/>
  <c r="AR47" i="18"/>
  <c r="CT79" i="18"/>
  <c r="CH79" i="18"/>
  <c r="BV79" i="18"/>
  <c r="BJ79" i="18"/>
  <c r="AX79" i="18"/>
  <c r="AL79" i="18"/>
  <c r="Z79" i="18"/>
  <c r="N79" i="18"/>
  <c r="CO79" i="18"/>
  <c r="CB79" i="18"/>
  <c r="BO79" i="18"/>
  <c r="BB79" i="18"/>
  <c r="AO79" i="18"/>
  <c r="AB79" i="18"/>
  <c r="O79" i="18"/>
  <c r="CP79" i="18"/>
  <c r="CA79" i="18"/>
  <c r="BM79" i="18"/>
  <c r="AY79" i="18"/>
  <c r="AJ79" i="18"/>
  <c r="V79" i="18"/>
  <c r="H79" i="18"/>
  <c r="CR79" i="18"/>
  <c r="CC79" i="18"/>
  <c r="BL79" i="18"/>
  <c r="AV79" i="18"/>
  <c r="AG79" i="18"/>
  <c r="R79" i="18"/>
  <c r="C79" i="18"/>
  <c r="CY79" i="18"/>
  <c r="CJ79" i="18"/>
  <c r="BT79" i="18"/>
  <c r="BE79" i="18"/>
  <c r="AP79" i="18"/>
  <c r="Y79" i="18"/>
  <c r="J79" i="18"/>
  <c r="CZ79" i="18"/>
  <c r="CG79" i="18"/>
  <c r="BP79" i="18"/>
  <c r="AU79" i="18"/>
  <c r="AD79" i="18"/>
  <c r="K79" i="18"/>
  <c r="CX79" i="18"/>
  <c r="CF79" i="18"/>
  <c r="BN79" i="18"/>
  <c r="AT79" i="18"/>
  <c r="AC79" i="18"/>
  <c r="I79" i="18"/>
  <c r="CQ79" i="18"/>
  <c r="BX79" i="18"/>
  <c r="BF79" i="18"/>
  <c r="AM79" i="18"/>
  <c r="T79" i="18"/>
  <c r="CW79" i="18"/>
  <c r="BY79" i="18"/>
  <c r="BA79" i="18"/>
  <c r="AA79" i="18"/>
  <c r="D79" i="18"/>
  <c r="CV79" i="18"/>
  <c r="BW79" i="18"/>
  <c r="AZ79" i="18"/>
  <c r="X79" i="18"/>
  <c r="CU79" i="18"/>
  <c r="BU79" i="18"/>
  <c r="AW79" i="18"/>
  <c r="W79" i="18"/>
  <c r="CL79" i="18"/>
  <c r="BG79" i="18"/>
  <c r="U79" i="18"/>
  <c r="CK79" i="18"/>
  <c r="BD79" i="18"/>
  <c r="S79" i="18"/>
  <c r="CI79" i="18"/>
  <c r="BC79" i="18"/>
  <c r="Q79" i="18"/>
  <c r="CE79" i="18"/>
  <c r="AS79" i="18"/>
  <c r="P79" i="18"/>
  <c r="CD79" i="18"/>
  <c r="AR79" i="18"/>
  <c r="M79" i="18"/>
  <c r="BS79" i="18"/>
  <c r="AN79" i="18"/>
  <c r="G79" i="18"/>
  <c r="BR79" i="18"/>
  <c r="AK79" i="18"/>
  <c r="F79" i="18"/>
  <c r="BQ79" i="18"/>
  <c r="AI79" i="18"/>
  <c r="E79" i="18"/>
  <c r="CS79" i="18"/>
  <c r="BK79" i="18"/>
  <c r="AH79" i="18"/>
  <c r="AQ79" i="18"/>
  <c r="N20" i="18"/>
  <c r="CP20" i="18"/>
  <c r="BE34" i="18"/>
  <c r="CS47" i="18"/>
  <c r="BD47" i="18"/>
  <c r="BH79" i="18"/>
  <c r="CC119" i="18"/>
  <c r="BS10" i="18"/>
  <c r="Y20" i="18"/>
  <c r="CW20" i="18"/>
  <c r="BN34" i="18"/>
  <c r="Q37" i="18"/>
  <c r="BK47" i="18"/>
  <c r="BI79" i="18"/>
  <c r="CD119" i="18"/>
  <c r="E10" i="18"/>
  <c r="BW34" i="18"/>
  <c r="BZ79" i="18"/>
  <c r="CA47" i="18"/>
  <c r="BF47" i="18"/>
  <c r="AJ47" i="18"/>
  <c r="J47" i="18"/>
  <c r="CU47" i="18"/>
  <c r="BZ47" i="18"/>
  <c r="BE47" i="18"/>
  <c r="AE47" i="18"/>
  <c r="H47" i="18"/>
  <c r="CN47" i="18"/>
  <c r="BS47" i="18"/>
  <c r="AS47" i="18"/>
  <c r="W47" i="18"/>
  <c r="AD47" i="18"/>
  <c r="CR20" i="18"/>
  <c r="BW20" i="18"/>
  <c r="BE20" i="18"/>
  <c r="AJ20" i="18"/>
  <c r="R20" i="18"/>
  <c r="CQ20" i="18"/>
  <c r="BV20" i="18"/>
  <c r="BD20" i="18"/>
  <c r="AH20" i="18"/>
  <c r="O20" i="18"/>
  <c r="CJ20" i="18"/>
  <c r="BO20" i="18"/>
  <c r="AV20" i="18"/>
  <c r="AD20" i="18"/>
  <c r="J20" i="18"/>
  <c r="CG20" i="18"/>
  <c r="BN20" i="18"/>
  <c r="AT20" i="18"/>
  <c r="AA20" i="18"/>
  <c r="I20" i="18"/>
  <c r="CD20" i="18"/>
  <c r="AR34" i="18"/>
  <c r="AQ47" i="18"/>
  <c r="AG20" i="18"/>
  <c r="CA34" i="18"/>
  <c r="BY47" i="18"/>
  <c r="AR20" i="18"/>
  <c r="C34" i="18"/>
  <c r="CK34" i="18"/>
  <c r="CL47" i="18"/>
  <c r="CN79" i="18"/>
  <c r="CT10" i="18"/>
  <c r="CH10" i="18"/>
  <c r="BV10" i="18"/>
  <c r="BJ10" i="18"/>
  <c r="AX10" i="18"/>
  <c r="AL10" i="18"/>
  <c r="Z10" i="18"/>
  <c r="N10" i="18"/>
  <c r="CS10" i="18"/>
  <c r="CG10" i="18"/>
  <c r="BU10" i="18"/>
  <c r="BI10" i="18"/>
  <c r="AW10" i="18"/>
  <c r="AK10" i="18"/>
  <c r="Y10" i="18"/>
  <c r="M10" i="18"/>
  <c r="CZ10" i="18"/>
  <c r="CN10" i="18"/>
  <c r="CB10" i="18"/>
  <c r="BP10" i="18"/>
  <c r="BD10" i="18"/>
  <c r="AR10" i="18"/>
  <c r="AF10" i="18"/>
  <c r="T10" i="18"/>
  <c r="H10" i="18"/>
  <c r="CQ10" i="18"/>
  <c r="CA10" i="18"/>
  <c r="BL10" i="18"/>
  <c r="AU10" i="18"/>
  <c r="AE10" i="18"/>
  <c r="P10" i="18"/>
  <c r="CP10" i="18"/>
  <c r="BZ10" i="18"/>
  <c r="BK10" i="18"/>
  <c r="AT10" i="18"/>
  <c r="AD10" i="18"/>
  <c r="O10" i="18"/>
  <c r="CK10" i="18"/>
  <c r="BR10" i="18"/>
  <c r="AZ10" i="18"/>
  <c r="AG10" i="18"/>
  <c r="K10" i="18"/>
  <c r="CJ10" i="18"/>
  <c r="BQ10" i="18"/>
  <c r="AY10" i="18"/>
  <c r="AC10" i="18"/>
  <c r="J10" i="18"/>
  <c r="CI10" i="18"/>
  <c r="BO10" i="18"/>
  <c r="AV10" i="18"/>
  <c r="AB10" i="18"/>
  <c r="I10" i="18"/>
  <c r="CY10" i="18"/>
  <c r="CF10" i="18"/>
  <c r="BN10" i="18"/>
  <c r="AS10" i="18"/>
  <c r="AA10" i="18"/>
  <c r="G10" i="18"/>
  <c r="CX10" i="18"/>
  <c r="CE10" i="18"/>
  <c r="BM10" i="18"/>
  <c r="AQ10" i="18"/>
  <c r="X10" i="18"/>
  <c r="CV10" i="18"/>
  <c r="CC10" i="18"/>
  <c r="BG10" i="18"/>
  <c r="AO10" i="18"/>
  <c r="V10" i="18"/>
  <c r="D10" i="18"/>
  <c r="CU10" i="18"/>
  <c r="BY10" i="18"/>
  <c r="BF10" i="18"/>
  <c r="AN10" i="18"/>
  <c r="U10" i="18"/>
  <c r="C10" i="18"/>
  <c r="CR10" i="18"/>
  <c r="BX10" i="18"/>
  <c r="BE10" i="18"/>
  <c r="AM10" i="18"/>
  <c r="S10" i="18"/>
  <c r="CO10" i="18"/>
  <c r="BW10" i="18"/>
  <c r="BC10" i="18"/>
  <c r="AJ10" i="18"/>
  <c r="R10" i="18"/>
  <c r="Q10" i="18"/>
  <c r="CM10" i="18"/>
  <c r="AS20" i="18"/>
  <c r="M34" i="18"/>
  <c r="CT34" i="18"/>
  <c r="CM47" i="18"/>
  <c r="BZ119" i="18"/>
  <c r="AR119" i="18"/>
  <c r="M119" i="18"/>
  <c r="CY119" i="18"/>
  <c r="BS119" i="18"/>
  <c r="AP119" i="18"/>
  <c r="K119" i="18"/>
  <c r="BR119" i="18"/>
  <c r="AD119" i="18"/>
  <c r="BN119" i="18"/>
  <c r="AC119" i="18"/>
  <c r="BM119" i="18"/>
  <c r="Y119" i="18"/>
  <c r="CX119" i="18"/>
  <c r="BL119" i="18"/>
  <c r="W119" i="18"/>
  <c r="CR119" i="18"/>
  <c r="BG119" i="18"/>
  <c r="U119" i="18"/>
  <c r="CP119" i="18"/>
  <c r="BB119" i="18"/>
  <c r="J119" i="18"/>
  <c r="CN119" i="18"/>
  <c r="BA119" i="18"/>
  <c r="C119" i="18"/>
  <c r="CG119" i="18"/>
  <c r="AZ119" i="18"/>
  <c r="CF119" i="18"/>
  <c r="AN119" i="18"/>
  <c r="W10" i="18"/>
  <c r="CW10" i="18"/>
  <c r="AY20" i="18"/>
  <c r="Q34" i="18"/>
  <c r="CV37" i="18"/>
  <c r="CJ37" i="18"/>
  <c r="BX37" i="18"/>
  <c r="BL37" i="18"/>
  <c r="AZ37" i="18"/>
  <c r="AN37" i="18"/>
  <c r="AB37" i="18"/>
  <c r="P37" i="18"/>
  <c r="D37" i="18"/>
  <c r="CW37" i="18"/>
  <c r="CI37" i="18"/>
  <c r="BV37" i="18"/>
  <c r="BI37" i="18"/>
  <c r="AV37" i="18"/>
  <c r="AI37" i="18"/>
  <c r="V37" i="18"/>
  <c r="I37" i="18"/>
  <c r="CU37" i="18"/>
  <c r="CH37" i="18"/>
  <c r="BU37" i="18"/>
  <c r="BH37" i="18"/>
  <c r="AU37" i="18"/>
  <c r="AH37" i="18"/>
  <c r="U37" i="18"/>
  <c r="H37" i="18"/>
  <c r="CP37" i="18"/>
  <c r="CC37" i="18"/>
  <c r="BP37" i="18"/>
  <c r="BC37" i="18"/>
  <c r="AP37" i="18"/>
  <c r="AC37" i="18"/>
  <c r="O37" i="18"/>
  <c r="CS37" i="18"/>
  <c r="CB37" i="18"/>
  <c r="BK37" i="18"/>
  <c r="AS37" i="18"/>
  <c r="AA37" i="18"/>
  <c r="K37" i="18"/>
  <c r="CR37" i="18"/>
  <c r="CA37" i="18"/>
  <c r="BJ37" i="18"/>
  <c r="AR37" i="18"/>
  <c r="Z37" i="18"/>
  <c r="J37" i="18"/>
  <c r="CQ37" i="18"/>
  <c r="BZ37" i="18"/>
  <c r="BG37" i="18"/>
  <c r="AQ37" i="18"/>
  <c r="Y37" i="18"/>
  <c r="G37" i="18"/>
  <c r="CE37" i="18"/>
  <c r="BE37" i="18"/>
  <c r="AJ37" i="18"/>
  <c r="M37" i="18"/>
  <c r="CZ37" i="18"/>
  <c r="CD37" i="18"/>
  <c r="BD37" i="18"/>
  <c r="AG37" i="18"/>
  <c r="L37" i="18"/>
  <c r="CY37" i="18"/>
  <c r="BY37" i="18"/>
  <c r="BB37" i="18"/>
  <c r="AF37" i="18"/>
  <c r="F37" i="18"/>
  <c r="CX37" i="18"/>
  <c r="BW37" i="18"/>
  <c r="BA37" i="18"/>
  <c r="AE37" i="18"/>
  <c r="E37" i="18"/>
  <c r="CT37" i="18"/>
  <c r="BT37" i="18"/>
  <c r="AY37" i="18"/>
  <c r="AD37" i="18"/>
  <c r="C37" i="18"/>
  <c r="CN37" i="18"/>
  <c r="BR37" i="18"/>
  <c r="AW37" i="18"/>
  <c r="W37" i="18"/>
  <c r="CM37" i="18"/>
  <c r="BQ37" i="18"/>
  <c r="AT37" i="18"/>
  <c r="T37" i="18"/>
  <c r="CL37" i="18"/>
  <c r="BO37" i="18"/>
  <c r="AO37" i="18"/>
  <c r="S37" i="18"/>
  <c r="CK37" i="18"/>
  <c r="BN37" i="18"/>
  <c r="AM37" i="18"/>
  <c r="R37" i="18"/>
  <c r="BF37" i="18"/>
  <c r="CQ47" i="18"/>
  <c r="G47" i="18"/>
  <c r="CT47" i="18"/>
  <c r="AH10" i="18"/>
  <c r="CO20" i="18"/>
  <c r="BJ20" i="18"/>
  <c r="W34" i="18"/>
  <c r="BM37" i="18"/>
  <c r="T47" i="18"/>
  <c r="AI10" i="18"/>
  <c r="BK20" i="18"/>
  <c r="AI34" i="18"/>
  <c r="BS37" i="18"/>
  <c r="U47" i="18"/>
  <c r="L79" i="18"/>
  <c r="T119" i="18"/>
  <c r="M24" i="18"/>
  <c r="AH24" i="18"/>
  <c r="BB24" i="18"/>
  <c r="BV24" i="18"/>
  <c r="CP24" i="18"/>
  <c r="G27" i="18"/>
  <c r="Z27" i="18"/>
  <c r="AU27" i="18"/>
  <c r="BQ27" i="18"/>
  <c r="CK27" i="18"/>
  <c r="X40" i="18"/>
  <c r="AU40" i="18"/>
  <c r="BP40" i="18"/>
  <c r="CP40" i="18"/>
  <c r="F53" i="18"/>
  <c r="AC53" i="18"/>
  <c r="BB53" i="18"/>
  <c r="CD53" i="18"/>
  <c r="CY59" i="18"/>
  <c r="CM59" i="18"/>
  <c r="CA59" i="18"/>
  <c r="BO59" i="18"/>
  <c r="BC59" i="18"/>
  <c r="AQ59" i="18"/>
  <c r="AE59" i="18"/>
  <c r="S59" i="18"/>
  <c r="G59" i="18"/>
  <c r="CU59" i="18"/>
  <c r="CH59" i="18"/>
  <c r="BU59" i="18"/>
  <c r="BH59" i="18"/>
  <c r="AU59" i="18"/>
  <c r="AH59" i="18"/>
  <c r="CN59" i="18"/>
  <c r="BY59" i="18"/>
  <c r="BK59" i="18"/>
  <c r="AW59" i="18"/>
  <c r="AI59" i="18"/>
  <c r="U59" i="18"/>
  <c r="H59" i="18"/>
  <c r="CQ59" i="18"/>
  <c r="CB59" i="18"/>
  <c r="BL59" i="18"/>
  <c r="AV59" i="18"/>
  <c r="AF59" i="18"/>
  <c r="Q59" i="18"/>
  <c r="C59" i="18"/>
  <c r="CP59" i="18"/>
  <c r="BZ59" i="18"/>
  <c r="BJ59" i="18"/>
  <c r="AT59" i="18"/>
  <c r="AD59" i="18"/>
  <c r="P59" i="18"/>
  <c r="CX59" i="18"/>
  <c r="CI59" i="18"/>
  <c r="BS59" i="18"/>
  <c r="BD59" i="18"/>
  <c r="AN59" i="18"/>
  <c r="Y59" i="18"/>
  <c r="K59" i="18"/>
  <c r="CL59" i="18"/>
  <c r="BR59" i="18"/>
  <c r="AY59" i="18"/>
  <c r="AB59" i="18"/>
  <c r="J59" i="18"/>
  <c r="CK59" i="18"/>
  <c r="BQ59" i="18"/>
  <c r="AX59" i="18"/>
  <c r="AA59" i="18"/>
  <c r="I59" i="18"/>
  <c r="CJ59" i="18"/>
  <c r="BP59" i="18"/>
  <c r="AS59" i="18"/>
  <c r="Z59" i="18"/>
  <c r="F59" i="18"/>
  <c r="W59" i="18"/>
  <c r="BA59" i="18"/>
  <c r="CC59" i="18"/>
  <c r="CW71" i="18"/>
  <c r="CV71" i="18"/>
  <c r="CJ71" i="18"/>
  <c r="BX71" i="18"/>
  <c r="BL71" i="18"/>
  <c r="AZ71" i="18"/>
  <c r="AN71" i="18"/>
  <c r="AB71" i="18"/>
  <c r="P71" i="18"/>
  <c r="D71" i="18"/>
  <c r="CO71" i="18"/>
  <c r="CB71" i="18"/>
  <c r="BO71" i="18"/>
  <c r="BB71" i="18"/>
  <c r="AO71" i="18"/>
  <c r="AA71" i="18"/>
  <c r="N71" i="18"/>
  <c r="CX71" i="18"/>
  <c r="CP71" i="18"/>
  <c r="CA71" i="18"/>
  <c r="BM71" i="18"/>
  <c r="AX71" i="18"/>
  <c r="AJ71" i="18"/>
  <c r="V71" i="18"/>
  <c r="H71" i="18"/>
  <c r="CL71" i="18"/>
  <c r="BV71" i="18"/>
  <c r="BG71" i="18"/>
  <c r="AR71" i="18"/>
  <c r="AC71" i="18"/>
  <c r="L71" i="18"/>
  <c r="CK71" i="18"/>
  <c r="BU71" i="18"/>
  <c r="BF71" i="18"/>
  <c r="AQ71" i="18"/>
  <c r="Z71" i="18"/>
  <c r="K71" i="18"/>
  <c r="CT71" i="18"/>
  <c r="CE71" i="18"/>
  <c r="BP71" i="18"/>
  <c r="AY71" i="18"/>
  <c r="AI71" i="18"/>
  <c r="T71" i="18"/>
  <c r="E71" i="18"/>
  <c r="CU71" i="18"/>
  <c r="BZ71" i="18"/>
  <c r="BE71" i="18"/>
  <c r="AK71" i="18"/>
  <c r="Q71" i="18"/>
  <c r="CS71" i="18"/>
  <c r="BY71" i="18"/>
  <c r="BD71" i="18"/>
  <c r="AH71" i="18"/>
  <c r="O71" i="18"/>
  <c r="CR71" i="18"/>
  <c r="BW71" i="18"/>
  <c r="BC71" i="18"/>
  <c r="AG71" i="18"/>
  <c r="M71" i="18"/>
  <c r="I71" i="18"/>
  <c r="AM71" i="18"/>
  <c r="BN71" i="18"/>
  <c r="CN71" i="18"/>
  <c r="V88" i="18"/>
  <c r="BE88" i="18"/>
  <c r="CP88" i="18"/>
  <c r="N24" i="18"/>
  <c r="AI24" i="18"/>
  <c r="BC24" i="18"/>
  <c r="BW24" i="18"/>
  <c r="CU24" i="18"/>
  <c r="H27" i="18"/>
  <c r="AD27" i="18"/>
  <c r="AW27" i="18"/>
  <c r="BR27" i="18"/>
  <c r="CN27" i="18"/>
  <c r="Z40" i="18"/>
  <c r="AV40" i="18"/>
  <c r="BQ40" i="18"/>
  <c r="CQ40" i="18"/>
  <c r="C47" i="18"/>
  <c r="X47" i="18"/>
  <c r="AT47" i="18"/>
  <c r="BT47" i="18"/>
  <c r="H49" i="18"/>
  <c r="AH49" i="18"/>
  <c r="BE49" i="18"/>
  <c r="BY49" i="18"/>
  <c r="CZ49" i="18"/>
  <c r="G53" i="18"/>
  <c r="AE53" i="18"/>
  <c r="BC53" i="18"/>
  <c r="CE53" i="18"/>
  <c r="X59" i="18"/>
  <c r="BB59" i="18"/>
  <c r="CD59" i="18"/>
  <c r="J71" i="18"/>
  <c r="AP71" i="18"/>
  <c r="BQ71" i="18"/>
  <c r="CQ71" i="18"/>
  <c r="CW81" i="18"/>
  <c r="CK81" i="18"/>
  <c r="BY81" i="18"/>
  <c r="BM81" i="18"/>
  <c r="BA81" i="18"/>
  <c r="AO81" i="18"/>
  <c r="AC81" i="18"/>
  <c r="Q81" i="18"/>
  <c r="E81" i="18"/>
  <c r="CO81" i="18"/>
  <c r="CB81" i="18"/>
  <c r="BO81" i="18"/>
  <c r="BB81" i="18"/>
  <c r="AN81" i="18"/>
  <c r="AA81" i="18"/>
  <c r="N81" i="18"/>
  <c r="CX81" i="18"/>
  <c r="CI81" i="18"/>
  <c r="BU81" i="18"/>
  <c r="BG81" i="18"/>
  <c r="AS81" i="18"/>
  <c r="AE81" i="18"/>
  <c r="P81" i="18"/>
  <c r="CS81" i="18"/>
  <c r="CD81" i="18"/>
  <c r="BN81" i="18"/>
  <c r="AX81" i="18"/>
  <c r="AI81" i="18"/>
  <c r="T81" i="18"/>
  <c r="D81" i="18"/>
  <c r="CL81" i="18"/>
  <c r="BV81" i="18"/>
  <c r="BF81" i="18"/>
  <c r="AQ81" i="18"/>
  <c r="Z81" i="18"/>
  <c r="K81" i="18"/>
  <c r="CM81" i="18"/>
  <c r="BS81" i="18"/>
  <c r="AZ81" i="18"/>
  <c r="AH81" i="18"/>
  <c r="O81" i="18"/>
  <c r="CJ81" i="18"/>
  <c r="BR81" i="18"/>
  <c r="AY81" i="18"/>
  <c r="AG81" i="18"/>
  <c r="M81" i="18"/>
  <c r="CU81" i="18"/>
  <c r="CC81" i="18"/>
  <c r="BJ81" i="18"/>
  <c r="AR81" i="18"/>
  <c r="X81" i="18"/>
  <c r="G81" i="18"/>
  <c r="CT81" i="18"/>
  <c r="CA81" i="18"/>
  <c r="BI81" i="18"/>
  <c r="AP81" i="18"/>
  <c r="CY81" i="18"/>
  <c r="BW81" i="18"/>
  <c r="AU81" i="18"/>
  <c r="U81" i="18"/>
  <c r="CV81" i="18"/>
  <c r="BT81" i="18"/>
  <c r="AT81" i="18"/>
  <c r="S81" i="18"/>
  <c r="CR81" i="18"/>
  <c r="BQ81" i="18"/>
  <c r="AM81" i="18"/>
  <c r="R81" i="18"/>
  <c r="AB81" i="18"/>
  <c r="BK81" i="18"/>
  <c r="CZ81" i="18"/>
  <c r="W88" i="18"/>
  <c r="BG88" i="18"/>
  <c r="CX88" i="18"/>
  <c r="AD110" i="18"/>
  <c r="BO110" i="18"/>
  <c r="L20" i="18"/>
  <c r="AE20" i="18"/>
  <c r="AW20" i="18"/>
  <c r="BP20" i="18"/>
  <c r="CN20" i="18"/>
  <c r="CT24" i="18"/>
  <c r="CB24" i="18"/>
  <c r="BJ24" i="18"/>
  <c r="AT24" i="18"/>
  <c r="AA24" i="18"/>
  <c r="J24" i="18"/>
  <c r="O24" i="18"/>
  <c r="AJ24" i="18"/>
  <c r="BD24" i="18"/>
  <c r="BY24" i="18"/>
  <c r="CW24" i="18"/>
  <c r="J27" i="18"/>
  <c r="AE27" i="18"/>
  <c r="AX27" i="18"/>
  <c r="BS27" i="18"/>
  <c r="CQ27" i="18"/>
  <c r="AA40" i="18"/>
  <c r="AW40" i="18"/>
  <c r="BT40" i="18"/>
  <c r="CT40" i="18"/>
  <c r="E47" i="18"/>
  <c r="Y47" i="18"/>
  <c r="AU47" i="18"/>
  <c r="BU47" i="18"/>
  <c r="CR47" i="18"/>
  <c r="J49" i="18"/>
  <c r="AJ49" i="18"/>
  <c r="BF49" i="18"/>
  <c r="BZ49" i="18"/>
  <c r="CV53" i="18"/>
  <c r="CJ53" i="18"/>
  <c r="BX53" i="18"/>
  <c r="BL53" i="18"/>
  <c r="AZ53" i="18"/>
  <c r="AN53" i="18"/>
  <c r="AB53" i="18"/>
  <c r="P53" i="18"/>
  <c r="D53" i="18"/>
  <c r="CU53" i="18"/>
  <c r="CH53" i="18"/>
  <c r="BU53" i="18"/>
  <c r="BH53" i="18"/>
  <c r="AU53" i="18"/>
  <c r="AH53" i="18"/>
  <c r="U53" i="18"/>
  <c r="CP53" i="18"/>
  <c r="CB53" i="18"/>
  <c r="BN53" i="18"/>
  <c r="AY53" i="18"/>
  <c r="AK53" i="18"/>
  <c r="W53" i="18"/>
  <c r="I53" i="18"/>
  <c r="CO53" i="18"/>
  <c r="CA53" i="18"/>
  <c r="BM53" i="18"/>
  <c r="AX53" i="18"/>
  <c r="AJ53" i="18"/>
  <c r="V53" i="18"/>
  <c r="H53" i="18"/>
  <c r="CX53" i="18"/>
  <c r="CI53" i="18"/>
  <c r="BT53" i="18"/>
  <c r="BF53" i="18"/>
  <c r="AR53" i="18"/>
  <c r="AD53" i="18"/>
  <c r="O53" i="18"/>
  <c r="CS53" i="18"/>
  <c r="BZ53" i="18"/>
  <c r="BG53" i="18"/>
  <c r="AO53" i="18"/>
  <c r="T53" i="18"/>
  <c r="C53" i="18"/>
  <c r="CR53" i="18"/>
  <c r="BY53" i="18"/>
  <c r="BE53" i="18"/>
  <c r="AM53" i="18"/>
  <c r="S53" i="18"/>
  <c r="CQ53" i="18"/>
  <c r="BW53" i="18"/>
  <c r="BD53" i="18"/>
  <c r="AL53" i="18"/>
  <c r="R53" i="18"/>
  <c r="J53" i="18"/>
  <c r="AF53" i="18"/>
  <c r="BI53" i="18"/>
  <c r="CF53" i="18"/>
  <c r="AC59" i="18"/>
  <c r="BE59" i="18"/>
  <c r="CE59" i="18"/>
  <c r="R71" i="18"/>
  <c r="AS71" i="18"/>
  <c r="BR71" i="18"/>
  <c r="CY71" i="18"/>
  <c r="AD81" i="18"/>
  <c r="BL81" i="18"/>
  <c r="AB88" i="18"/>
  <c r="BH88" i="18"/>
  <c r="CZ88" i="18"/>
  <c r="C99" i="18"/>
  <c r="AL99" i="18"/>
  <c r="BW99" i="18"/>
  <c r="AE110" i="18"/>
  <c r="BT110" i="18"/>
  <c r="M115" i="18"/>
  <c r="BB115" i="18"/>
  <c r="CO115" i="18"/>
  <c r="M20" i="18"/>
  <c r="AF20" i="18"/>
  <c r="AX20" i="18"/>
  <c r="BT20" i="18"/>
  <c r="Q24" i="18"/>
  <c r="AK24" i="18"/>
  <c r="BG24" i="18"/>
  <c r="CC24" i="18"/>
  <c r="CX24" i="18"/>
  <c r="K27" i="18"/>
  <c r="AF27" i="18"/>
  <c r="AY27" i="18"/>
  <c r="BW27" i="18"/>
  <c r="H40" i="18"/>
  <c r="AC40" i="18"/>
  <c r="AX40" i="18"/>
  <c r="BY40" i="18"/>
  <c r="F47" i="18"/>
  <c r="Z47" i="18"/>
  <c r="BA47" i="18"/>
  <c r="BW47" i="18"/>
  <c r="P49" i="18"/>
  <c r="AK49" i="18"/>
  <c r="BG49" i="18"/>
  <c r="K53" i="18"/>
  <c r="AG53" i="18"/>
  <c r="BJ53" i="18"/>
  <c r="CG53" i="18"/>
  <c r="D59" i="18"/>
  <c r="AG59" i="18"/>
  <c r="BF59" i="18"/>
  <c r="CF59" i="18"/>
  <c r="S71" i="18"/>
  <c r="AT71" i="18"/>
  <c r="BS71" i="18"/>
  <c r="CZ71" i="18"/>
  <c r="AF81" i="18"/>
  <c r="BP81" i="18"/>
  <c r="AD88" i="18"/>
  <c r="D99" i="18"/>
  <c r="AN99" i="18"/>
  <c r="AJ110" i="18"/>
  <c r="N115" i="18"/>
  <c r="BC115" i="18"/>
  <c r="U24" i="18"/>
  <c r="AO24" i="18"/>
  <c r="BK24" i="18"/>
  <c r="CG24" i="18"/>
  <c r="CV27" i="18"/>
  <c r="CJ27" i="18"/>
  <c r="BX27" i="18"/>
  <c r="BL27" i="18"/>
  <c r="AZ27" i="18"/>
  <c r="AN27" i="18"/>
  <c r="AB27" i="18"/>
  <c r="P27" i="18"/>
  <c r="D27" i="18"/>
  <c r="CP27" i="18"/>
  <c r="CC27" i="18"/>
  <c r="BP27" i="18"/>
  <c r="BC27" i="18"/>
  <c r="AP27" i="18"/>
  <c r="AC27" i="18"/>
  <c r="O27" i="18"/>
  <c r="CO27" i="18"/>
  <c r="CB27" i="18"/>
  <c r="BO27" i="18"/>
  <c r="BB27" i="18"/>
  <c r="AO27" i="18"/>
  <c r="AA27" i="18"/>
  <c r="N27" i="18"/>
  <c r="CW27" i="18"/>
  <c r="CI27" i="18"/>
  <c r="BV27" i="18"/>
  <c r="BI27" i="18"/>
  <c r="AV27" i="18"/>
  <c r="AI27" i="18"/>
  <c r="V27" i="18"/>
  <c r="I27" i="18"/>
  <c r="CM27" i="18"/>
  <c r="BU27" i="18"/>
  <c r="BE27" i="18"/>
  <c r="AL27" i="18"/>
  <c r="U27" i="18"/>
  <c r="E27" i="18"/>
  <c r="CL27" i="18"/>
  <c r="BT27" i="18"/>
  <c r="BD27" i="18"/>
  <c r="AK27" i="18"/>
  <c r="T27" i="18"/>
  <c r="C27" i="18"/>
  <c r="M27" i="18"/>
  <c r="AH27" i="18"/>
  <c r="BF27" i="18"/>
  <c r="BZ27" i="18"/>
  <c r="CT27" i="18"/>
  <c r="M53" i="18"/>
  <c r="AP53" i="18"/>
  <c r="BO53" i="18"/>
  <c r="CL53" i="18"/>
  <c r="CO59" i="18"/>
  <c r="CC71" i="18"/>
  <c r="CS88" i="18"/>
  <c r="CD88" i="18"/>
  <c r="BO88" i="18"/>
  <c r="AY88" i="18"/>
  <c r="AH88" i="18"/>
  <c r="S88" i="18"/>
  <c r="C88" i="18"/>
  <c r="CN88" i="18"/>
  <c r="BT88" i="18"/>
  <c r="BC88" i="18"/>
  <c r="AJ88" i="18"/>
  <c r="P88" i="18"/>
  <c r="CM88" i="18"/>
  <c r="BS88" i="18"/>
  <c r="BB88" i="18"/>
  <c r="AG88" i="18"/>
  <c r="O88" i="18"/>
  <c r="CV88" i="18"/>
  <c r="CE88" i="18"/>
  <c r="BJ88" i="18"/>
  <c r="AS88" i="18"/>
  <c r="Z88" i="18"/>
  <c r="H88" i="18"/>
  <c r="CU88" i="18"/>
  <c r="CC88" i="18"/>
  <c r="BI88" i="18"/>
  <c r="AR88" i="18"/>
  <c r="Y88" i="18"/>
  <c r="F88" i="18"/>
  <c r="CT88" i="18"/>
  <c r="BR88" i="18"/>
  <c r="AP88" i="18"/>
  <c r="N88" i="18"/>
  <c r="CR88" i="18"/>
  <c r="BQ88" i="18"/>
  <c r="AN88" i="18"/>
  <c r="M88" i="18"/>
  <c r="CQ88" i="18"/>
  <c r="BP88" i="18"/>
  <c r="AM88" i="18"/>
  <c r="J88" i="18"/>
  <c r="AF88" i="18"/>
  <c r="BW88" i="18"/>
  <c r="V24" i="18"/>
  <c r="AP24" i="18"/>
  <c r="BN24" i="18"/>
  <c r="CH24" i="18"/>
  <c r="Q27" i="18"/>
  <c r="AJ27" i="18"/>
  <c r="BG27" i="18"/>
  <c r="CA27" i="18"/>
  <c r="CU27" i="18"/>
  <c r="K40" i="18"/>
  <c r="AH40" i="18"/>
  <c r="BH40" i="18"/>
  <c r="CC40" i="18"/>
  <c r="CY40" i="18"/>
  <c r="CY49" i="18"/>
  <c r="CM49" i="18"/>
  <c r="CA49" i="18"/>
  <c r="BO49" i="18"/>
  <c r="BC49" i="18"/>
  <c r="AQ49" i="18"/>
  <c r="AE49" i="18"/>
  <c r="S49" i="18"/>
  <c r="G49" i="18"/>
  <c r="CP49" i="18"/>
  <c r="CC49" i="18"/>
  <c r="BP49" i="18"/>
  <c r="BB49" i="18"/>
  <c r="AO49" i="18"/>
  <c r="AB49" i="18"/>
  <c r="O49" i="18"/>
  <c r="CO49" i="18"/>
  <c r="CB49" i="18"/>
  <c r="BN49" i="18"/>
  <c r="BA49" i="18"/>
  <c r="AN49" i="18"/>
  <c r="AA49" i="18"/>
  <c r="N49" i="18"/>
  <c r="CV49" i="18"/>
  <c r="CI49" i="18"/>
  <c r="BV49" i="18"/>
  <c r="BI49" i="18"/>
  <c r="AV49" i="18"/>
  <c r="AI49" i="18"/>
  <c r="V49" i="18"/>
  <c r="I49" i="18"/>
  <c r="CW49" i="18"/>
  <c r="CF49" i="18"/>
  <c r="BM49" i="18"/>
  <c r="AW49" i="18"/>
  <c r="AF49" i="18"/>
  <c r="M49" i="18"/>
  <c r="CU49" i="18"/>
  <c r="CE49" i="18"/>
  <c r="BL49" i="18"/>
  <c r="AU49" i="18"/>
  <c r="AD49" i="18"/>
  <c r="L49" i="18"/>
  <c r="CT49" i="18"/>
  <c r="CD49" i="18"/>
  <c r="BK49" i="18"/>
  <c r="AT49" i="18"/>
  <c r="AC49" i="18"/>
  <c r="K49" i="18"/>
  <c r="T49" i="18"/>
  <c r="AP49" i="18"/>
  <c r="BQ49" i="18"/>
  <c r="CK49" i="18"/>
  <c r="N53" i="18"/>
  <c r="AQ53" i="18"/>
  <c r="BP53" i="18"/>
  <c r="CM53" i="18"/>
  <c r="M59" i="18"/>
  <c r="AL59" i="18"/>
  <c r="BM59" i="18"/>
  <c r="CR59" i="18"/>
  <c r="X71" i="18"/>
  <c r="AW71" i="18"/>
  <c r="CD71" i="18"/>
  <c r="AL88" i="18"/>
  <c r="BZ88" i="18"/>
  <c r="CF110" i="18"/>
  <c r="BB110" i="18"/>
  <c r="V110" i="18"/>
  <c r="BZ110" i="18"/>
  <c r="AS110" i="18"/>
  <c r="O110" i="18"/>
  <c r="C110" i="18"/>
  <c r="AQ110" i="18"/>
  <c r="CI110" i="18"/>
  <c r="CY20" i="18"/>
  <c r="CM20" i="18"/>
  <c r="CA20" i="18"/>
  <c r="CZ20" i="18"/>
  <c r="CL20" i="18"/>
  <c r="BY20" i="18"/>
  <c r="BM20" i="18"/>
  <c r="BA20" i="18"/>
  <c r="AO20" i="18"/>
  <c r="AC20" i="18"/>
  <c r="Q20" i="18"/>
  <c r="E20" i="18"/>
  <c r="CX20" i="18"/>
  <c r="CK20" i="18"/>
  <c r="BX20" i="18"/>
  <c r="BL20" i="18"/>
  <c r="AZ20" i="18"/>
  <c r="AN20" i="18"/>
  <c r="AB20" i="18"/>
  <c r="P20" i="18"/>
  <c r="D20" i="18"/>
  <c r="CS20" i="18"/>
  <c r="CF20" i="18"/>
  <c r="BS20" i="18"/>
  <c r="BG20" i="18"/>
  <c r="AU20" i="18"/>
  <c r="AI20" i="18"/>
  <c r="W20" i="18"/>
  <c r="K20" i="18"/>
  <c r="CI20" i="18"/>
  <c r="BR20" i="18"/>
  <c r="BC20" i="18"/>
  <c r="AL20" i="18"/>
  <c r="V20" i="18"/>
  <c r="G20" i="18"/>
  <c r="CH20" i="18"/>
  <c r="BQ20" i="18"/>
  <c r="BB20" i="18"/>
  <c r="AK20" i="18"/>
  <c r="U20" i="18"/>
  <c r="F20" i="18"/>
  <c r="S20" i="18"/>
  <c r="AM20" i="18"/>
  <c r="BF20" i="18"/>
  <c r="BZ20" i="18"/>
  <c r="CT20" i="18"/>
  <c r="W24" i="18"/>
  <c r="AU24" i="18"/>
  <c r="BO24" i="18"/>
  <c r="R27" i="18"/>
  <c r="AM27" i="18"/>
  <c r="BH27" i="18"/>
  <c r="CD27" i="18"/>
  <c r="CX27" i="18"/>
  <c r="M40" i="18"/>
  <c r="AI40" i="18"/>
  <c r="BI40" i="18"/>
  <c r="CD40" i="18"/>
  <c r="CV47" i="18"/>
  <c r="CJ47" i="18"/>
  <c r="BX47" i="18"/>
  <c r="BL47" i="18"/>
  <c r="AZ47" i="18"/>
  <c r="AN47" i="18"/>
  <c r="AB47" i="18"/>
  <c r="P47" i="18"/>
  <c r="D47" i="18"/>
  <c r="CP47" i="18"/>
  <c r="CC47" i="18"/>
  <c r="BP47" i="18"/>
  <c r="BC47" i="18"/>
  <c r="AP47" i="18"/>
  <c r="AC47" i="18"/>
  <c r="O47" i="18"/>
  <c r="CO47" i="18"/>
  <c r="CB47" i="18"/>
  <c r="BO47" i="18"/>
  <c r="BB47" i="18"/>
  <c r="AO47" i="18"/>
  <c r="AA47" i="18"/>
  <c r="N47" i="18"/>
  <c r="CW47" i="18"/>
  <c r="CI47" i="18"/>
  <c r="BV47" i="18"/>
  <c r="BI47" i="18"/>
  <c r="AV47" i="18"/>
  <c r="AI47" i="18"/>
  <c r="V47" i="18"/>
  <c r="I47" i="18"/>
  <c r="CZ47" i="18"/>
  <c r="CH47" i="18"/>
  <c r="BR47" i="18"/>
  <c r="AY47" i="18"/>
  <c r="AH47" i="18"/>
  <c r="R47" i="18"/>
  <c r="CY47" i="18"/>
  <c r="CG47" i="18"/>
  <c r="BQ47" i="18"/>
  <c r="AX47" i="18"/>
  <c r="AG47" i="18"/>
  <c r="Q47" i="18"/>
  <c r="CX47" i="18"/>
  <c r="CF47" i="18"/>
  <c r="BN47" i="18"/>
  <c r="AW47" i="18"/>
  <c r="AF47" i="18"/>
  <c r="M47" i="18"/>
  <c r="K47" i="18"/>
  <c r="AK47" i="18"/>
  <c r="BG47" i="18"/>
  <c r="CD47" i="18"/>
  <c r="U49" i="18"/>
  <c r="AR49" i="18"/>
  <c r="BR49" i="18"/>
  <c r="CL49" i="18"/>
  <c r="Q53" i="18"/>
  <c r="AS53" i="18"/>
  <c r="BQ53" i="18"/>
  <c r="N59" i="18"/>
  <c r="AM59" i="18"/>
  <c r="BN59" i="18"/>
  <c r="CS59" i="18"/>
  <c r="Y71" i="18"/>
  <c r="BA71" i="18"/>
  <c r="CF71" i="18"/>
  <c r="I81" i="18"/>
  <c r="AV81" i="18"/>
  <c r="CF81" i="18"/>
  <c r="AT88" i="18"/>
  <c r="CB88" i="18"/>
  <c r="D110" i="18"/>
  <c r="AR110" i="18"/>
  <c r="CO110" i="18"/>
  <c r="CN115" i="18"/>
  <c r="BS115" i="18"/>
  <c r="AX115" i="18"/>
  <c r="AB115" i="18"/>
  <c r="J115" i="18"/>
  <c r="CM115" i="18"/>
  <c r="BR115" i="18"/>
  <c r="AW115" i="18"/>
  <c r="AA115" i="18"/>
  <c r="H115" i="18"/>
  <c r="CV115" i="18"/>
  <c r="CC115" i="18"/>
  <c r="BJ115" i="18"/>
  <c r="AM115" i="18"/>
  <c r="U115" i="18"/>
  <c r="CU115" i="18"/>
  <c r="CB115" i="18"/>
  <c r="BF115" i="18"/>
  <c r="AL115" i="18"/>
  <c r="T115" i="18"/>
  <c r="BU115" i="18"/>
  <c r="AR115" i="18"/>
  <c r="L115" i="18"/>
  <c r="BT115" i="18"/>
  <c r="AN115" i="18"/>
  <c r="K115" i="18"/>
  <c r="CT115" i="18"/>
  <c r="BO115" i="18"/>
  <c r="AK115" i="18"/>
  <c r="G115" i="18"/>
  <c r="Z115" i="18"/>
  <c r="BN115" i="18"/>
  <c r="T20" i="18"/>
  <c r="AP20" i="18"/>
  <c r="BH20" i="18"/>
  <c r="CB20" i="18"/>
  <c r="CU20" i="18"/>
  <c r="C24" i="18"/>
  <c r="X24" i="18"/>
  <c r="AV24" i="18"/>
  <c r="BP24" i="18"/>
  <c r="CK24" i="18"/>
  <c r="S27" i="18"/>
  <c r="AQ27" i="18"/>
  <c r="BJ27" i="18"/>
  <c r="CE27" i="18"/>
  <c r="CY27" i="18"/>
  <c r="N40" i="18"/>
  <c r="AJ40" i="18"/>
  <c r="BJ40" i="18"/>
  <c r="L47" i="18"/>
  <c r="AL47" i="18"/>
  <c r="BH47" i="18"/>
  <c r="CE47" i="18"/>
  <c r="W49" i="18"/>
  <c r="AS49" i="18"/>
  <c r="BS49" i="18"/>
  <c r="CN49" i="18"/>
  <c r="X53" i="18"/>
  <c r="AT53" i="18"/>
  <c r="BR53" i="18"/>
  <c r="CT53" i="18"/>
  <c r="O59" i="18"/>
  <c r="AO59" i="18"/>
  <c r="BT59" i="18"/>
  <c r="CT59" i="18"/>
  <c r="AD71" i="18"/>
  <c r="BH71" i="18"/>
  <c r="CG71" i="18"/>
  <c r="J81" i="18"/>
  <c r="AW81" i="18"/>
  <c r="CG81" i="18"/>
  <c r="D88" i="18"/>
  <c r="AU88" i="18"/>
  <c r="CF88" i="18"/>
  <c r="CU99" i="18"/>
  <c r="CB99" i="18"/>
  <c r="BJ99" i="18"/>
  <c r="AP99" i="18"/>
  <c r="Y99" i="18"/>
  <c r="F99" i="18"/>
  <c r="CM99" i="18"/>
  <c r="BV99" i="18"/>
  <c r="BA99" i="18"/>
  <c r="AJ99" i="18"/>
  <c r="Q99" i="18"/>
  <c r="CL99" i="18"/>
  <c r="BT99" i="18"/>
  <c r="AZ99" i="18"/>
  <c r="AH99" i="18"/>
  <c r="N99" i="18"/>
  <c r="CA99" i="18"/>
  <c r="AY99" i="18"/>
  <c r="V99" i="18"/>
  <c r="BY99" i="18"/>
  <c r="AX99" i="18"/>
  <c r="U99" i="18"/>
  <c r="CZ99" i="18"/>
  <c r="BX99" i="18"/>
  <c r="AW99" i="18"/>
  <c r="T99" i="18"/>
  <c r="S99" i="18"/>
  <c r="BH99" i="18"/>
  <c r="CP99" i="18"/>
  <c r="J110" i="18"/>
  <c r="BC110" i="18"/>
  <c r="CR110" i="18"/>
  <c r="AE115" i="18"/>
  <c r="BX115" i="18"/>
  <c r="X20" i="18"/>
  <c r="AQ20" i="18"/>
  <c r="BI20" i="18"/>
  <c r="CC20" i="18"/>
  <c r="CV20" i="18"/>
  <c r="G24" i="18"/>
  <c r="AC24" i="18"/>
  <c r="AW24" i="18"/>
  <c r="BQ24" i="18"/>
  <c r="CL24" i="18"/>
  <c r="W27" i="18"/>
  <c r="AR27" i="18"/>
  <c r="BK27" i="18"/>
  <c r="CF27" i="18"/>
  <c r="CZ27" i="18"/>
  <c r="CV40" i="18"/>
  <c r="CJ40" i="18"/>
  <c r="BX40" i="18"/>
  <c r="BL40" i="18"/>
  <c r="AZ40" i="18"/>
  <c r="AN40" i="18"/>
  <c r="AB40" i="18"/>
  <c r="P40" i="18"/>
  <c r="D40" i="18"/>
  <c r="CS40" i="18"/>
  <c r="CF40" i="18"/>
  <c r="BS40" i="18"/>
  <c r="BF40" i="18"/>
  <c r="AS40" i="18"/>
  <c r="AF40" i="18"/>
  <c r="S40" i="18"/>
  <c r="F40" i="18"/>
  <c r="CR40" i="18"/>
  <c r="CE40" i="18"/>
  <c r="BR40" i="18"/>
  <c r="BE40" i="18"/>
  <c r="AR40" i="18"/>
  <c r="AE40" i="18"/>
  <c r="R40" i="18"/>
  <c r="E40" i="18"/>
  <c r="CZ40" i="18"/>
  <c r="CM40" i="18"/>
  <c r="BZ40" i="18"/>
  <c r="BM40" i="18"/>
  <c r="AY40" i="18"/>
  <c r="AL40" i="18"/>
  <c r="Y40" i="18"/>
  <c r="L40" i="18"/>
  <c r="CO40" i="18"/>
  <c r="BW40" i="18"/>
  <c r="BG40" i="18"/>
  <c r="AO40" i="18"/>
  <c r="W40" i="18"/>
  <c r="G40" i="18"/>
  <c r="CN40" i="18"/>
  <c r="BV40" i="18"/>
  <c r="BD40" i="18"/>
  <c r="AM40" i="18"/>
  <c r="V40" i="18"/>
  <c r="C40" i="18"/>
  <c r="CL40" i="18"/>
  <c r="BU40" i="18"/>
  <c r="BC40" i="18"/>
  <c r="AK40" i="18"/>
  <c r="U40" i="18"/>
  <c r="O40" i="18"/>
  <c r="AP40" i="18"/>
  <c r="BK40" i="18"/>
  <c r="CH40" i="18"/>
  <c r="S47" i="18"/>
  <c r="AM47" i="18"/>
  <c r="BJ47" i="18"/>
  <c r="CK47" i="18"/>
  <c r="C49" i="18"/>
  <c r="X49" i="18"/>
  <c r="AX49" i="18"/>
  <c r="BT49" i="18"/>
  <c r="CQ49" i="18"/>
  <c r="Y53" i="18"/>
  <c r="AV53" i="18"/>
  <c r="BS53" i="18"/>
  <c r="CW53" i="18"/>
  <c r="R59" i="18"/>
  <c r="AP59" i="18"/>
  <c r="BV59" i="18"/>
  <c r="CV59" i="18"/>
  <c r="C71" i="18"/>
  <c r="AE71" i="18"/>
  <c r="BI71" i="18"/>
  <c r="CH71" i="18"/>
  <c r="L81" i="18"/>
  <c r="BC81" i="18"/>
  <c r="CH81" i="18"/>
  <c r="I88" i="18"/>
  <c r="AV88" i="18"/>
  <c r="CG88" i="18"/>
  <c r="AA99" i="18"/>
  <c r="BI99" i="18"/>
  <c r="CR99" i="18"/>
  <c r="L110" i="18"/>
  <c r="BD110" i="18"/>
  <c r="CS110" i="18"/>
  <c r="AH115" i="18"/>
  <c r="CA115" i="18"/>
  <c r="CY115" i="18"/>
  <c r="CV24" i="18"/>
  <c r="CJ24" i="18"/>
  <c r="BX24" i="18"/>
  <c r="BL24" i="18"/>
  <c r="AZ24" i="18"/>
  <c r="AN24" i="18"/>
  <c r="AB24" i="18"/>
  <c r="P24" i="18"/>
  <c r="D24" i="18"/>
  <c r="CS24" i="18"/>
  <c r="CF24" i="18"/>
  <c r="BS24" i="18"/>
  <c r="BF24" i="18"/>
  <c r="AS24" i="18"/>
  <c r="AF24" i="18"/>
  <c r="S24" i="18"/>
  <c r="F24" i="18"/>
  <c r="CR24" i="18"/>
  <c r="CE24" i="18"/>
  <c r="BR24" i="18"/>
  <c r="BE24" i="18"/>
  <c r="AR24" i="18"/>
  <c r="AE24" i="18"/>
  <c r="R24" i="18"/>
  <c r="E24" i="18"/>
  <c r="CZ24" i="18"/>
  <c r="CM24" i="18"/>
  <c r="BZ24" i="18"/>
  <c r="BM24" i="18"/>
  <c r="AY24" i="18"/>
  <c r="AL24" i="18"/>
  <c r="Y24" i="18"/>
  <c r="L24" i="18"/>
  <c r="I24" i="18"/>
  <c r="Z24" i="18"/>
  <c r="AQ24" i="18"/>
  <c r="BI24" i="18"/>
  <c r="CA24" i="18"/>
  <c r="CQ24" i="18"/>
  <c r="CQ110" i="18"/>
  <c r="CE110" i="18"/>
  <c r="BS110" i="18"/>
  <c r="BG110" i="18"/>
  <c r="AU110" i="18"/>
  <c r="AI110" i="18"/>
  <c r="W110" i="18"/>
  <c r="K110" i="18"/>
  <c r="CN110" i="18"/>
  <c r="CA110" i="18"/>
  <c r="BN110" i="18"/>
  <c r="BA110" i="18"/>
  <c r="AN110" i="18"/>
  <c r="AA110" i="18"/>
  <c r="N110" i="18"/>
  <c r="CM110" i="18"/>
  <c r="BY110" i="18"/>
  <c r="BK110" i="18"/>
  <c r="AW110" i="18"/>
  <c r="AH110" i="18"/>
  <c r="T110" i="18"/>
  <c r="F110" i="18"/>
  <c r="CZ110" i="18"/>
  <c r="CL110" i="18"/>
  <c r="BX110" i="18"/>
  <c r="BJ110" i="18"/>
  <c r="AV110" i="18"/>
  <c r="AG110" i="18"/>
  <c r="S110" i="18"/>
  <c r="E110" i="18"/>
  <c r="CP110" i="18"/>
  <c r="BW110" i="18"/>
  <c r="BF110" i="18"/>
  <c r="AP110" i="18"/>
  <c r="Y110" i="18"/>
  <c r="H110" i="18"/>
  <c r="CW110" i="18"/>
  <c r="CG110" i="18"/>
  <c r="BP110" i="18"/>
  <c r="AY110" i="18"/>
  <c r="AF110" i="18"/>
  <c r="P110" i="18"/>
  <c r="CK110" i="18"/>
  <c r="BR110" i="18"/>
  <c r="AX110" i="18"/>
  <c r="AC110" i="18"/>
  <c r="I110" i="18"/>
  <c r="CJ110" i="18"/>
  <c r="BQ110" i="18"/>
  <c r="AT110" i="18"/>
  <c r="AB110" i="18"/>
  <c r="G110" i="18"/>
  <c r="CV110" i="18"/>
  <c r="CC110" i="18"/>
  <c r="BH110" i="18"/>
  <c r="AM110" i="18"/>
  <c r="R110" i="18"/>
  <c r="CU110" i="18"/>
  <c r="CB110" i="18"/>
  <c r="BE110" i="18"/>
  <c r="AL110" i="18"/>
  <c r="Q110" i="18"/>
  <c r="U110" i="18"/>
  <c r="AZ110" i="18"/>
  <c r="CD110" i="18"/>
  <c r="CT119" i="18"/>
  <c r="CH119" i="18"/>
  <c r="BV119" i="18"/>
  <c r="BJ119" i="18"/>
  <c r="AX119" i="18"/>
  <c r="AL119" i="18"/>
  <c r="Z119" i="18"/>
  <c r="N119" i="18"/>
  <c r="CW119" i="18"/>
  <c r="CJ119" i="18"/>
  <c r="BW119" i="18"/>
  <c r="BI119" i="18"/>
  <c r="AV119" i="18"/>
  <c r="AI119" i="18"/>
  <c r="V119" i="18"/>
  <c r="I119" i="18"/>
  <c r="CM119" i="18"/>
  <c r="BY119" i="18"/>
  <c r="BK119" i="18"/>
  <c r="AU119" i="18"/>
  <c r="AG119" i="18"/>
  <c r="S119" i="18"/>
  <c r="E119" i="18"/>
  <c r="CZ119" i="18"/>
  <c r="CL119" i="18"/>
  <c r="BX119" i="18"/>
  <c r="BH119" i="18"/>
  <c r="AT119" i="18"/>
  <c r="AF119" i="18"/>
  <c r="R119" i="18"/>
  <c r="D119" i="18"/>
  <c r="CV119" i="18"/>
  <c r="CE119" i="18"/>
  <c r="BO119" i="18"/>
  <c r="AY119" i="18"/>
  <c r="AE119" i="18"/>
  <c r="O119" i="18"/>
  <c r="CO119" i="18"/>
  <c r="BU119" i="18"/>
  <c r="BE119" i="18"/>
  <c r="AO119" i="18"/>
  <c r="X119" i="18"/>
  <c r="G119" i="18"/>
  <c r="CU119" i="18"/>
  <c r="CB119" i="18"/>
  <c r="BF119" i="18"/>
  <c r="AM119" i="18"/>
  <c r="Q119" i="18"/>
  <c r="CS119" i="18"/>
  <c r="CA119" i="18"/>
  <c r="BD119" i="18"/>
  <c r="AK119" i="18"/>
  <c r="P119" i="18"/>
  <c r="CK119" i="18"/>
  <c r="BQ119" i="18"/>
  <c r="AW119" i="18"/>
  <c r="AB119" i="18"/>
  <c r="H119" i="18"/>
  <c r="CI119" i="18"/>
  <c r="BP119" i="18"/>
  <c r="AS119" i="18"/>
  <c r="AA119" i="18"/>
  <c r="F119" i="18"/>
  <c r="L119" i="18"/>
  <c r="AQ119" i="18"/>
  <c r="BT119" i="18"/>
  <c r="CN92" i="18"/>
  <c r="BY92" i="18"/>
  <c r="BI92" i="18"/>
  <c r="AT92" i="18"/>
  <c r="AE92" i="18"/>
  <c r="O92" i="18"/>
  <c r="L92" i="18"/>
  <c r="AF92" i="18"/>
  <c r="AW92" i="18"/>
  <c r="BP92" i="18"/>
  <c r="CJ92" i="18"/>
  <c r="CT95" i="18"/>
  <c r="CH95" i="18"/>
  <c r="BV95" i="18"/>
  <c r="BJ95" i="18"/>
  <c r="AX95" i="18"/>
  <c r="AL95" i="18"/>
  <c r="Z95" i="18"/>
  <c r="N95" i="18"/>
  <c r="CZ95" i="18"/>
  <c r="CM95" i="18"/>
  <c r="BZ95" i="18"/>
  <c r="BM95" i="18"/>
  <c r="AZ95" i="18"/>
  <c r="AM95" i="18"/>
  <c r="Y95" i="18"/>
  <c r="L95" i="18"/>
  <c r="CU95" i="18"/>
  <c r="CF95" i="18"/>
  <c r="BR95" i="18"/>
  <c r="BD95" i="18"/>
  <c r="AP95" i="18"/>
  <c r="AB95" i="18"/>
  <c r="M95" i="18"/>
  <c r="CL95" i="18"/>
  <c r="BW95" i="18"/>
  <c r="BG95" i="18"/>
  <c r="AR95" i="18"/>
  <c r="AC95" i="18"/>
  <c r="K95" i="18"/>
  <c r="CS95" i="18"/>
  <c r="CD95" i="18"/>
  <c r="BO95" i="18"/>
  <c r="AY95" i="18"/>
  <c r="AI95" i="18"/>
  <c r="T95" i="18"/>
  <c r="E95" i="18"/>
  <c r="J95" i="18"/>
  <c r="AE95" i="18"/>
  <c r="AV95" i="18"/>
  <c r="BP95" i="18"/>
  <c r="CI95" i="18"/>
  <c r="CQ99" i="18"/>
  <c r="CE99" i="18"/>
  <c r="BS99" i="18"/>
  <c r="BG99" i="18"/>
  <c r="AU99" i="18"/>
  <c r="AI99" i="18"/>
  <c r="W99" i="18"/>
  <c r="K99" i="18"/>
  <c r="CS99" i="18"/>
  <c r="CF99" i="18"/>
  <c r="BR99" i="18"/>
  <c r="BE99" i="18"/>
  <c r="AR99" i="18"/>
  <c r="AE99" i="18"/>
  <c r="R99" i="18"/>
  <c r="E99" i="18"/>
  <c r="CW99" i="18"/>
  <c r="CI99" i="18"/>
  <c r="BU99" i="18"/>
  <c r="BF99" i="18"/>
  <c r="AQ99" i="18"/>
  <c r="AC99" i="18"/>
  <c r="O99" i="18"/>
  <c r="CX99" i="18"/>
  <c r="CH99" i="18"/>
  <c r="BQ99" i="18"/>
  <c r="BB99" i="18"/>
  <c r="AM99" i="18"/>
  <c r="X99" i="18"/>
  <c r="H99" i="18"/>
  <c r="CO99" i="18"/>
  <c r="BZ99" i="18"/>
  <c r="BK99" i="18"/>
  <c r="AV99" i="18"/>
  <c r="AF99" i="18"/>
  <c r="P99" i="18"/>
  <c r="G99" i="18"/>
  <c r="Z99" i="18"/>
  <c r="AS99" i="18"/>
  <c r="BL99" i="18"/>
  <c r="CC99" i="18"/>
  <c r="CV99" i="18"/>
  <c r="CX115" i="18"/>
  <c r="CW88" i="18"/>
  <c r="CK88" i="18"/>
  <c r="BY88" i="18"/>
  <c r="BM88" i="18"/>
  <c r="BA88" i="18"/>
  <c r="AO88" i="18"/>
  <c r="AC88" i="18"/>
  <c r="Q88" i="18"/>
  <c r="E88" i="18"/>
  <c r="CY88" i="18"/>
  <c r="CL88" i="18"/>
  <c r="BX88" i="18"/>
  <c r="BK88" i="18"/>
  <c r="AX88" i="18"/>
  <c r="AK88" i="18"/>
  <c r="X88" i="18"/>
  <c r="K88" i="18"/>
  <c r="CO88" i="18"/>
  <c r="CA88" i="18"/>
  <c r="BL88" i="18"/>
  <c r="AW88" i="18"/>
  <c r="AI88" i="18"/>
  <c r="U88" i="18"/>
  <c r="G88" i="18"/>
  <c r="L88" i="18"/>
  <c r="AA88" i="18"/>
  <c r="AQ88" i="18"/>
  <c r="BF88" i="18"/>
  <c r="BU88" i="18"/>
  <c r="CJ88" i="18"/>
  <c r="CT92" i="18"/>
  <c r="CH92" i="18"/>
  <c r="BV92" i="18"/>
  <c r="BJ92" i="18"/>
  <c r="AX92" i="18"/>
  <c r="AL92" i="18"/>
  <c r="Z92" i="18"/>
  <c r="N92" i="18"/>
  <c r="CQ92" i="18"/>
  <c r="CD92" i="18"/>
  <c r="BQ92" i="18"/>
  <c r="BD92" i="18"/>
  <c r="AQ92" i="18"/>
  <c r="AD92" i="18"/>
  <c r="Q92" i="18"/>
  <c r="D92" i="18"/>
  <c r="CP92" i="18"/>
  <c r="CB92" i="18"/>
  <c r="BN92" i="18"/>
  <c r="AZ92" i="18"/>
  <c r="AK92" i="18"/>
  <c r="W92" i="18"/>
  <c r="I92" i="18"/>
  <c r="G92" i="18"/>
  <c r="V92" i="18"/>
  <c r="AM92" i="18"/>
  <c r="BB92" i="18"/>
  <c r="BR92" i="18"/>
  <c r="CG92" i="18"/>
  <c r="CW92" i="18"/>
  <c r="O115" i="18"/>
  <c r="AI115" i="18"/>
  <c r="AY115" i="18"/>
  <c r="BP115" i="18"/>
  <c r="CG115" i="18"/>
  <c r="CZ115" i="18"/>
  <c r="CL115" i="18"/>
  <c r="BW115" i="18"/>
  <c r="BI115" i="18"/>
  <c r="AU115" i="18"/>
  <c r="AG115" i="18"/>
  <c r="S115" i="18"/>
  <c r="D115" i="18"/>
  <c r="CJ115" i="18"/>
  <c r="BV115" i="18"/>
  <c r="BH115" i="18"/>
  <c r="AT115" i="18"/>
  <c r="AF115" i="18"/>
  <c r="R115" i="18"/>
  <c r="I115" i="18"/>
  <c r="Y115" i="18"/>
  <c r="AP115" i="18"/>
  <c r="BG115" i="18"/>
  <c r="BZ115" i="18"/>
  <c r="CP115" i="18"/>
  <c r="CW115" i="18"/>
  <c r="CK115" i="18"/>
  <c r="BY115" i="18"/>
  <c r="BM115" i="18"/>
  <c r="BA115" i="18"/>
  <c r="AO115" i="18"/>
  <c r="AC115" i="18"/>
  <c r="Q115" i="18"/>
  <c r="E115" i="18"/>
  <c r="C115" i="18"/>
  <c r="P115" i="18"/>
  <c r="AD115" i="18"/>
  <c r="AQ115" i="18"/>
  <c r="BD115" i="18"/>
  <c r="BQ115" i="18"/>
  <c r="CD115" i="18"/>
  <c r="CQ115" i="18"/>
  <c r="V34" i="17"/>
  <c r="BV34" i="17"/>
  <c r="AV37" i="17"/>
  <c r="J88" i="17"/>
  <c r="CY37" i="17"/>
  <c r="CC37" i="17"/>
  <c r="C79" i="17"/>
  <c r="Y88" i="17"/>
  <c r="N10" i="17"/>
  <c r="AF34" i="17"/>
  <c r="CE34" i="17"/>
  <c r="AX37" i="17"/>
  <c r="D79" i="17"/>
  <c r="AP10" i="17"/>
  <c r="M27" i="17"/>
  <c r="CP27" i="17"/>
  <c r="BB34" i="17"/>
  <c r="AA37" i="17"/>
  <c r="BH79" i="17"/>
  <c r="U10" i="17"/>
  <c r="CP10" i="17"/>
  <c r="I20" i="17"/>
  <c r="BI20" i="17"/>
  <c r="P27" i="17"/>
  <c r="BF34" i="17"/>
  <c r="AB37" i="17"/>
  <c r="CF37" i="17"/>
  <c r="BK79" i="17"/>
  <c r="CH88" i="17"/>
  <c r="AS10" i="17"/>
  <c r="CR10" i="17"/>
  <c r="J20" i="17"/>
  <c r="W27" i="17"/>
  <c r="CR27" i="17"/>
  <c r="BI34" i="17"/>
  <c r="AD37" i="17"/>
  <c r="CP37" i="17"/>
  <c r="AM53" i="17"/>
  <c r="BT53" i="17"/>
  <c r="AS59" i="17"/>
  <c r="N79" i="17"/>
  <c r="CN88" i="17"/>
  <c r="Y10" i="17"/>
  <c r="AV10" i="17"/>
  <c r="BS10" i="17"/>
  <c r="CS10" i="17"/>
  <c r="K20" i="17"/>
  <c r="AM20" i="17"/>
  <c r="BK20" i="17"/>
  <c r="CM20" i="17"/>
  <c r="X27" i="17"/>
  <c r="AS27" i="17"/>
  <c r="BV27" i="17"/>
  <c r="CS27" i="17"/>
  <c r="N34" i="17"/>
  <c r="AJ34" i="17"/>
  <c r="BL34" i="17"/>
  <c r="CL34" i="17"/>
  <c r="H37" i="17"/>
  <c r="AE37" i="17"/>
  <c r="BK37" i="17"/>
  <c r="CQ37" i="17"/>
  <c r="CZ49" i="17"/>
  <c r="CN49" i="17"/>
  <c r="CB49" i="17"/>
  <c r="BP49" i="17"/>
  <c r="BD49" i="17"/>
  <c r="AR49" i="17"/>
  <c r="AF49" i="17"/>
  <c r="T49" i="17"/>
  <c r="H49" i="17"/>
  <c r="CW49" i="17"/>
  <c r="CK49" i="17"/>
  <c r="CU49" i="17"/>
  <c r="CG49" i="17"/>
  <c r="BT49" i="17"/>
  <c r="BG49" i="17"/>
  <c r="AT49" i="17"/>
  <c r="AG49" i="17"/>
  <c r="S49" i="17"/>
  <c r="F49" i="17"/>
  <c r="CR49" i="17"/>
  <c r="CD49" i="17"/>
  <c r="BQ49" i="17"/>
  <c r="BC49" i="17"/>
  <c r="AP49" i="17"/>
  <c r="AC49" i="17"/>
  <c r="P49" i="17"/>
  <c r="C49" i="17"/>
  <c r="CV49" i="17"/>
  <c r="CE49" i="17"/>
  <c r="BN49" i="17"/>
  <c r="AY49" i="17"/>
  <c r="AJ49" i="17"/>
  <c r="U49" i="17"/>
  <c r="D49" i="17"/>
  <c r="CT49" i="17"/>
  <c r="CC49" i="17"/>
  <c r="BM49" i="17"/>
  <c r="AX49" i="17"/>
  <c r="AI49" i="17"/>
  <c r="R49" i="17"/>
  <c r="CL49" i="17"/>
  <c r="BS49" i="17"/>
  <c r="AZ49" i="17"/>
  <c r="AE49" i="17"/>
  <c r="M49" i="17"/>
  <c r="CJ49" i="17"/>
  <c r="BR49" i="17"/>
  <c r="AW49" i="17"/>
  <c r="AD49" i="17"/>
  <c r="L49" i="17"/>
  <c r="CI49" i="17"/>
  <c r="BO49" i="17"/>
  <c r="AV49" i="17"/>
  <c r="AB49" i="17"/>
  <c r="K49" i="17"/>
  <c r="CH49" i="17"/>
  <c r="BL49" i="17"/>
  <c r="AU49" i="17"/>
  <c r="AA49" i="17"/>
  <c r="J49" i="17"/>
  <c r="CF49" i="17"/>
  <c r="BK49" i="17"/>
  <c r="AS49" i="17"/>
  <c r="Z49" i="17"/>
  <c r="I49" i="17"/>
  <c r="AH49" i="17"/>
  <c r="BI49" i="17"/>
  <c r="CQ49" i="17"/>
  <c r="AN53" i="17"/>
  <c r="BW53" i="17"/>
  <c r="D59" i="17"/>
  <c r="AT59" i="17"/>
  <c r="BZ59" i="17"/>
  <c r="AC79" i="17"/>
  <c r="BT79" i="17"/>
  <c r="AJ88" i="17"/>
  <c r="CO88" i="17"/>
  <c r="BA92" i="17"/>
  <c r="AM110" i="17"/>
  <c r="CL110" i="17"/>
  <c r="AS115" i="17"/>
  <c r="X119" i="17"/>
  <c r="CX119" i="17"/>
  <c r="Z10" i="17"/>
  <c r="AW10" i="17"/>
  <c r="BX10" i="17"/>
  <c r="CT10" i="17"/>
  <c r="N20" i="17"/>
  <c r="AQ20" i="17"/>
  <c r="BL20" i="17"/>
  <c r="CO20" i="17"/>
  <c r="Y27" i="17"/>
  <c r="AU27" i="17"/>
  <c r="BW27" i="17"/>
  <c r="CU27" i="17"/>
  <c r="O34" i="17"/>
  <c r="AK34" i="17"/>
  <c r="BN34" i="17"/>
  <c r="CM34" i="17"/>
  <c r="I37" i="17"/>
  <c r="AH37" i="17"/>
  <c r="BL37" i="17"/>
  <c r="CR37" i="17"/>
  <c r="AK49" i="17"/>
  <c r="BJ49" i="17"/>
  <c r="CS49" i="17"/>
  <c r="D53" i="17"/>
  <c r="AQ53" i="17"/>
  <c r="CD53" i="17"/>
  <c r="F59" i="17"/>
  <c r="AU59" i="17"/>
  <c r="CM59" i="17"/>
  <c r="AE79" i="17"/>
  <c r="BX79" i="17"/>
  <c r="AK88" i="17"/>
  <c r="CR88" i="17"/>
  <c r="C92" i="17"/>
  <c r="BB92" i="17"/>
  <c r="AP110" i="17"/>
  <c r="F115" i="17"/>
  <c r="AT115" i="17"/>
  <c r="AM119" i="17"/>
  <c r="CY119" i="17"/>
  <c r="H10" i="17"/>
  <c r="AA10" i="17"/>
  <c r="AX10" i="17"/>
  <c r="BZ10" i="17"/>
  <c r="R20" i="17"/>
  <c r="AS20" i="17"/>
  <c r="BO20" i="17"/>
  <c r="Z27" i="17"/>
  <c r="AZ27" i="17"/>
  <c r="BX27" i="17"/>
  <c r="R34" i="17"/>
  <c r="AL34" i="17"/>
  <c r="BO34" i="17"/>
  <c r="J37" i="17"/>
  <c r="AP37" i="17"/>
  <c r="BO37" i="17"/>
  <c r="M47" i="17"/>
  <c r="AW47" i="17"/>
  <c r="AL49" i="17"/>
  <c r="BU49" i="17"/>
  <c r="CX49" i="17"/>
  <c r="F53" i="17"/>
  <c r="AR53" i="17"/>
  <c r="G59" i="17"/>
  <c r="AV59" i="17"/>
  <c r="CI71" i="17"/>
  <c r="BL71" i="17"/>
  <c r="AJ71" i="17"/>
  <c r="M71" i="17"/>
  <c r="CG71" i="17"/>
  <c r="BD71" i="17"/>
  <c r="AG71" i="17"/>
  <c r="J71" i="17"/>
  <c r="AF71" i="17"/>
  <c r="BW71" i="17"/>
  <c r="AG79" i="17"/>
  <c r="BB88" i="17"/>
  <c r="CT88" i="17"/>
  <c r="S92" i="17"/>
  <c r="BM92" i="17"/>
  <c r="CI95" i="17"/>
  <c r="BK95" i="17"/>
  <c r="AL95" i="17"/>
  <c r="P95" i="17"/>
  <c r="CE95" i="17"/>
  <c r="BE95" i="17"/>
  <c r="AI95" i="17"/>
  <c r="N95" i="17"/>
  <c r="BY95" i="17"/>
  <c r="AX95" i="17"/>
  <c r="S95" i="17"/>
  <c r="BW95" i="17"/>
  <c r="AV95" i="17"/>
  <c r="R95" i="17"/>
  <c r="BV95" i="17"/>
  <c r="AU95" i="17"/>
  <c r="K95" i="17"/>
  <c r="CZ95" i="17"/>
  <c r="BR95" i="17"/>
  <c r="AP95" i="17"/>
  <c r="J95" i="17"/>
  <c r="CX95" i="17"/>
  <c r="BP95" i="17"/>
  <c r="AO95" i="17"/>
  <c r="H95" i="17"/>
  <c r="AY95" i="17"/>
  <c r="CP95" i="17"/>
  <c r="G115" i="17"/>
  <c r="CR34" i="17"/>
  <c r="CA34" i="17"/>
  <c r="BJ34" i="17"/>
  <c r="AT34" i="17"/>
  <c r="AB34" i="17"/>
  <c r="J34" i="17"/>
  <c r="CP34" i="17"/>
  <c r="BZ34" i="17"/>
  <c r="CO34" i="17"/>
  <c r="BX34" i="17"/>
  <c r="BH34" i="17"/>
  <c r="AR34" i="17"/>
  <c r="X34" i="17"/>
  <c r="H34" i="17"/>
  <c r="CN34" i="17"/>
  <c r="BW34" i="17"/>
  <c r="BG34" i="17"/>
  <c r="AM34" i="17"/>
  <c r="W34" i="17"/>
  <c r="G34" i="17"/>
  <c r="AX34" i="17"/>
  <c r="CW37" i="17"/>
  <c r="CK37" i="17"/>
  <c r="BY37" i="17"/>
  <c r="BM37" i="17"/>
  <c r="BA37" i="17"/>
  <c r="AO37" i="17"/>
  <c r="AC37" i="17"/>
  <c r="Q37" i="17"/>
  <c r="E37" i="17"/>
  <c r="CN37" i="17"/>
  <c r="CA37" i="17"/>
  <c r="BN37" i="17"/>
  <c r="AZ37" i="17"/>
  <c r="AM37" i="17"/>
  <c r="Z37" i="17"/>
  <c r="M37" i="17"/>
  <c r="CL37" i="17"/>
  <c r="BW37" i="17"/>
  <c r="BI37" i="17"/>
  <c r="AU37" i="17"/>
  <c r="AG37" i="17"/>
  <c r="S37" i="17"/>
  <c r="D37" i="17"/>
  <c r="CJ37" i="17"/>
  <c r="BV37" i="17"/>
  <c r="BH37" i="17"/>
  <c r="AT37" i="17"/>
  <c r="AF37" i="17"/>
  <c r="R37" i="17"/>
  <c r="C37" i="17"/>
  <c r="CO37" i="17"/>
  <c r="BU37" i="17"/>
  <c r="BE37" i="17"/>
  <c r="AN37" i="17"/>
  <c r="W37" i="17"/>
  <c r="G37" i="17"/>
  <c r="CM37" i="17"/>
  <c r="BT37" i="17"/>
  <c r="BD37" i="17"/>
  <c r="AL37" i="17"/>
  <c r="V37" i="17"/>
  <c r="F37" i="17"/>
  <c r="CI37" i="17"/>
  <c r="BS37" i="17"/>
  <c r="BC37" i="17"/>
  <c r="AK37" i="17"/>
  <c r="U37" i="17"/>
  <c r="CH37" i="17"/>
  <c r="BR37" i="17"/>
  <c r="BB37" i="17"/>
  <c r="AJ37" i="17"/>
  <c r="T37" i="17"/>
  <c r="CX37" i="17"/>
  <c r="CG37" i="17"/>
  <c r="BQ37" i="17"/>
  <c r="AY37" i="17"/>
  <c r="AI37" i="17"/>
  <c r="P37" i="17"/>
  <c r="O37" i="17"/>
  <c r="CB37" i="17"/>
  <c r="BJ88" i="17"/>
  <c r="Y34" i="17"/>
  <c r="AY34" i="17"/>
  <c r="CC34" i="17"/>
  <c r="X37" i="17"/>
  <c r="AW37" i="17"/>
  <c r="CD79" i="17"/>
  <c r="BC79" i="17"/>
  <c r="AB79" i="17"/>
  <c r="CB79" i="17"/>
  <c r="BA79" i="17"/>
  <c r="R79" i="17"/>
  <c r="CA79" i="17"/>
  <c r="AZ79" i="17"/>
  <c r="Q79" i="17"/>
  <c r="BZ79" i="17"/>
  <c r="AY79" i="17"/>
  <c r="P79" i="17"/>
  <c r="CZ79" i="17"/>
  <c r="BY79" i="17"/>
  <c r="AO79" i="17"/>
  <c r="O79" i="17"/>
  <c r="BD79" i="17"/>
  <c r="CU79" i="17"/>
  <c r="BR88" i="17"/>
  <c r="N110" i="17"/>
  <c r="BU110" i="17"/>
  <c r="T115" i="17"/>
  <c r="CE115" i="17"/>
  <c r="AN10" i="17"/>
  <c r="BK10" i="17"/>
  <c r="CI10" i="17"/>
  <c r="AZ34" i="17"/>
  <c r="CZ37" i="17"/>
  <c r="Y37" i="17"/>
  <c r="CD37" i="17"/>
  <c r="BG79" i="17"/>
  <c r="CY79" i="17"/>
  <c r="AD88" i="17"/>
  <c r="BT88" i="17"/>
  <c r="O110" i="17"/>
  <c r="BW110" i="17"/>
  <c r="AM115" i="17"/>
  <c r="CF115" i="17"/>
  <c r="O10" i="17"/>
  <c r="BL10" i="17"/>
  <c r="CO10" i="17"/>
  <c r="CW27" i="17"/>
  <c r="CK27" i="17"/>
  <c r="BY27" i="17"/>
  <c r="BM27" i="17"/>
  <c r="BA27" i="17"/>
  <c r="AO27" i="17"/>
  <c r="AC27" i="17"/>
  <c r="Q27" i="17"/>
  <c r="E27" i="17"/>
  <c r="CT27" i="17"/>
  <c r="CG27" i="17"/>
  <c r="BT27" i="17"/>
  <c r="BG27" i="17"/>
  <c r="AT27" i="17"/>
  <c r="AG27" i="17"/>
  <c r="T27" i="17"/>
  <c r="G27" i="17"/>
  <c r="CO27" i="17"/>
  <c r="CA27" i="17"/>
  <c r="BL27" i="17"/>
  <c r="AX27" i="17"/>
  <c r="AJ27" i="17"/>
  <c r="V27" i="17"/>
  <c r="H27" i="17"/>
  <c r="CN27" i="17"/>
  <c r="BZ27" i="17"/>
  <c r="BK27" i="17"/>
  <c r="AW27" i="17"/>
  <c r="AI27" i="17"/>
  <c r="U27" i="17"/>
  <c r="F27" i="17"/>
  <c r="CJ27" i="17"/>
  <c r="BS27" i="17"/>
  <c r="BC27" i="17"/>
  <c r="AL27" i="17"/>
  <c r="S27" i="17"/>
  <c r="CZ27" i="17"/>
  <c r="CI27" i="17"/>
  <c r="BR27" i="17"/>
  <c r="BB27" i="17"/>
  <c r="AK27" i="17"/>
  <c r="R27" i="17"/>
  <c r="CX27" i="17"/>
  <c r="CF27" i="17"/>
  <c r="BP27" i="17"/>
  <c r="AY27" i="17"/>
  <c r="AF27" i="17"/>
  <c r="O27" i="17"/>
  <c r="CV27" i="17"/>
  <c r="CE27" i="17"/>
  <c r="BO27" i="17"/>
  <c r="AV27" i="17"/>
  <c r="AE27" i="17"/>
  <c r="N27" i="17"/>
  <c r="AP27" i="17"/>
  <c r="BN27" i="17"/>
  <c r="D34" i="17"/>
  <c r="AG34" i="17"/>
  <c r="CH34" i="17"/>
  <c r="BF37" i="17"/>
  <c r="CE37" i="17"/>
  <c r="H79" i="17"/>
  <c r="CZ88" i="17"/>
  <c r="AE88" i="17"/>
  <c r="CE88" i="17"/>
  <c r="P110" i="17"/>
  <c r="AO115" i="17"/>
  <c r="CG115" i="17"/>
  <c r="AR10" i="17"/>
  <c r="BN10" i="17"/>
  <c r="CJ20" i="17"/>
  <c r="BT20" i="17"/>
  <c r="AZ20" i="17"/>
  <c r="AJ20" i="17"/>
  <c r="S20" i="17"/>
  <c r="CW20" i="17"/>
  <c r="CE20" i="17"/>
  <c r="BM20" i="17"/>
  <c r="AW20" i="17"/>
  <c r="AG20" i="17"/>
  <c r="O20" i="17"/>
  <c r="AI20" i="17"/>
  <c r="CI20" i="17"/>
  <c r="AQ27" i="17"/>
  <c r="BQ27" i="17"/>
  <c r="CQ27" i="17"/>
  <c r="F34" i="17"/>
  <c r="AH34" i="17"/>
  <c r="CI34" i="17"/>
  <c r="BG37" i="17"/>
  <c r="CV53" i="17"/>
  <c r="CA53" i="17"/>
  <c r="BE53" i="17"/>
  <c r="AF53" i="17"/>
  <c r="J53" i="17"/>
  <c r="Y53" i="17"/>
  <c r="BO53" i="17"/>
  <c r="J79" i="17"/>
  <c r="AH88" i="17"/>
  <c r="AX92" i="17"/>
  <c r="CO92" i="17"/>
  <c r="CP110" i="17"/>
  <c r="CD110" i="17"/>
  <c r="BR110" i="17"/>
  <c r="BF110" i="17"/>
  <c r="AT110" i="17"/>
  <c r="AH110" i="17"/>
  <c r="V110" i="17"/>
  <c r="J110" i="17"/>
  <c r="CV110" i="17"/>
  <c r="CI110" i="17"/>
  <c r="BV110" i="17"/>
  <c r="BI110" i="17"/>
  <c r="AV110" i="17"/>
  <c r="AI110" i="17"/>
  <c r="U110" i="17"/>
  <c r="H110" i="17"/>
  <c r="CS110" i="17"/>
  <c r="CF110" i="17"/>
  <c r="BS110" i="17"/>
  <c r="BE110" i="17"/>
  <c r="AR110" i="17"/>
  <c r="AE110" i="17"/>
  <c r="R110" i="17"/>
  <c r="E110" i="17"/>
  <c r="CY110" i="17"/>
  <c r="CJ110" i="17"/>
  <c r="BT110" i="17"/>
  <c r="BC110" i="17"/>
  <c r="AN110" i="17"/>
  <c r="Y110" i="17"/>
  <c r="I110" i="17"/>
  <c r="CU110" i="17"/>
  <c r="CE110" i="17"/>
  <c r="BO110" i="17"/>
  <c r="AZ110" i="17"/>
  <c r="AK110" i="17"/>
  <c r="T110" i="17"/>
  <c r="D110" i="17"/>
  <c r="CX110" i="17"/>
  <c r="CC110" i="17"/>
  <c r="BL110" i="17"/>
  <c r="AS110" i="17"/>
  <c r="AA110" i="17"/>
  <c r="G110" i="17"/>
  <c r="CW110" i="17"/>
  <c r="CB110" i="17"/>
  <c r="BK110" i="17"/>
  <c r="AQ110" i="17"/>
  <c r="Z110" i="17"/>
  <c r="F110" i="17"/>
  <c r="CR110" i="17"/>
  <c r="BZ110" i="17"/>
  <c r="BH110" i="17"/>
  <c r="AO110" i="17"/>
  <c r="W110" i="17"/>
  <c r="CA110" i="17"/>
  <c r="BB110" i="17"/>
  <c r="AD110" i="17"/>
  <c r="C110" i="17"/>
  <c r="BY110" i="17"/>
  <c r="BA110" i="17"/>
  <c r="AC110" i="17"/>
  <c r="CZ110" i="17"/>
  <c r="BX110" i="17"/>
  <c r="AY110" i="17"/>
  <c r="AB110" i="17"/>
  <c r="CT110" i="17"/>
  <c r="BP110" i="17"/>
  <c r="AJ110" i="17"/>
  <c r="CQ110" i="17"/>
  <c r="BN110" i="17"/>
  <c r="AG110" i="17"/>
  <c r="CO110" i="17"/>
  <c r="BM110" i="17"/>
  <c r="AF110" i="17"/>
  <c r="CN110" i="17"/>
  <c r="BJ110" i="17"/>
  <c r="X110" i="17"/>
  <c r="CM110" i="17"/>
  <c r="BG110" i="17"/>
  <c r="S110" i="17"/>
  <c r="Q110" i="17"/>
  <c r="CH110" i="17"/>
  <c r="AP115" i="17"/>
  <c r="CT119" i="17"/>
  <c r="CH119" i="17"/>
  <c r="BV119" i="17"/>
  <c r="BJ119" i="17"/>
  <c r="AX119" i="17"/>
  <c r="AL119" i="17"/>
  <c r="Z119" i="17"/>
  <c r="N119" i="17"/>
  <c r="CS119" i="17"/>
  <c r="CG119" i="17"/>
  <c r="BU119" i="17"/>
  <c r="BI119" i="17"/>
  <c r="AW119" i="17"/>
  <c r="AK119" i="17"/>
  <c r="Y119" i="17"/>
  <c r="M119" i="17"/>
  <c r="CZ119" i="17"/>
  <c r="CL119" i="17"/>
  <c r="BX119" i="17"/>
  <c r="BH119" i="17"/>
  <c r="AT119" i="17"/>
  <c r="AF119" i="17"/>
  <c r="R119" i="17"/>
  <c r="D119" i="17"/>
  <c r="CW119" i="17"/>
  <c r="CI119" i="17"/>
  <c r="BS119" i="17"/>
  <c r="BE119" i="17"/>
  <c r="AQ119" i="17"/>
  <c r="AC119" i="17"/>
  <c r="O119" i="17"/>
  <c r="CV119" i="17"/>
  <c r="CD119" i="17"/>
  <c r="BN119" i="17"/>
  <c r="AV119" i="17"/>
  <c r="AE119" i="17"/>
  <c r="L119" i="17"/>
  <c r="CQ119" i="17"/>
  <c r="CA119" i="17"/>
  <c r="BK119" i="17"/>
  <c r="AR119" i="17"/>
  <c r="AA119" i="17"/>
  <c r="I119" i="17"/>
  <c r="CU119" i="17"/>
  <c r="BZ119" i="17"/>
  <c r="BD119" i="17"/>
  <c r="AJ119" i="17"/>
  <c r="Q119" i="17"/>
  <c r="CR119" i="17"/>
  <c r="BY119" i="17"/>
  <c r="BC119" i="17"/>
  <c r="AI119" i="17"/>
  <c r="P119" i="17"/>
  <c r="CO119" i="17"/>
  <c r="BT119" i="17"/>
  <c r="BA119" i="17"/>
  <c r="AG119" i="17"/>
  <c r="J119" i="17"/>
  <c r="CK119" i="17"/>
  <c r="BL119" i="17"/>
  <c r="AH119" i="17"/>
  <c r="F119" i="17"/>
  <c r="CJ119" i="17"/>
  <c r="BG119" i="17"/>
  <c r="AD119" i="17"/>
  <c r="E119" i="17"/>
  <c r="CF119" i="17"/>
  <c r="BF119" i="17"/>
  <c r="AB119" i="17"/>
  <c r="C119" i="17"/>
  <c r="CE119" i="17"/>
  <c r="AU119" i="17"/>
  <c r="K119" i="17"/>
  <c r="CC119" i="17"/>
  <c r="AS119" i="17"/>
  <c r="H119" i="17"/>
  <c r="CB119" i="17"/>
  <c r="AP119" i="17"/>
  <c r="G119" i="17"/>
  <c r="BW119" i="17"/>
  <c r="AO119" i="17"/>
  <c r="BR119" i="17"/>
  <c r="AN119" i="17"/>
  <c r="V119" i="17"/>
  <c r="X10" i="17"/>
  <c r="BO10" i="17"/>
  <c r="AL20" i="17"/>
  <c r="BJ20" i="17"/>
  <c r="CL20" i="17"/>
  <c r="AR27" i="17"/>
  <c r="BU27" i="17"/>
  <c r="I34" i="17"/>
  <c r="AI34" i="17"/>
  <c r="CJ34" i="17"/>
  <c r="BJ37" i="17"/>
  <c r="CI59" i="17"/>
  <c r="BS59" i="17"/>
  <c r="AZ59" i="17"/>
  <c r="AI59" i="17"/>
  <c r="R59" i="17"/>
  <c r="CX59" i="17"/>
  <c r="CG59" i="17"/>
  <c r="BO59" i="17"/>
  <c r="AW59" i="17"/>
  <c r="AG59" i="17"/>
  <c r="O59" i="17"/>
  <c r="CL59" i="17"/>
  <c r="BK59" i="17"/>
  <c r="AQ59" i="17"/>
  <c r="U59" i="17"/>
  <c r="CJ59" i="17"/>
  <c r="BJ59" i="17"/>
  <c r="AP59" i="17"/>
  <c r="S59" i="17"/>
  <c r="CE59" i="17"/>
  <c r="BI59" i="17"/>
  <c r="AM59" i="17"/>
  <c r="N59" i="17"/>
  <c r="CD59" i="17"/>
  <c r="BH59" i="17"/>
  <c r="AL59" i="17"/>
  <c r="M59" i="17"/>
  <c r="CA59" i="17"/>
  <c r="BG59" i="17"/>
  <c r="AJ59" i="17"/>
  <c r="K59" i="17"/>
  <c r="C59" i="17"/>
  <c r="BX59" i="17"/>
  <c r="BM79" i="17"/>
  <c r="AZ92" i="17"/>
  <c r="AL110" i="17"/>
  <c r="CK110" i="17"/>
  <c r="AQ115" i="17"/>
  <c r="W119" i="17"/>
  <c r="CP119" i="17"/>
  <c r="I10" i="17"/>
  <c r="AB10" i="17"/>
  <c r="AY10" i="17"/>
  <c r="CA10" i="17"/>
  <c r="CV10" i="17"/>
  <c r="V20" i="17"/>
  <c r="AT20" i="17"/>
  <c r="BV20" i="17"/>
  <c r="CR20" i="17"/>
  <c r="C27" i="17"/>
  <c r="AA27" i="17"/>
  <c r="BD27" i="17"/>
  <c r="CB27" i="17"/>
  <c r="S34" i="17"/>
  <c r="AS34" i="17"/>
  <c r="BP34" i="17"/>
  <c r="CX34" i="17"/>
  <c r="K37" i="17"/>
  <c r="AQ37" i="17"/>
  <c r="BP37" i="17"/>
  <c r="CT37" i="17"/>
  <c r="G53" i="17"/>
  <c r="AT53" i="17"/>
  <c r="CM53" i="17"/>
  <c r="J59" i="17"/>
  <c r="BB59" i="17"/>
  <c r="CP59" i="17"/>
  <c r="AH79" i="17"/>
  <c r="CK79" i="17"/>
  <c r="C88" i="17"/>
  <c r="BD88" i="17"/>
  <c r="CW88" i="17"/>
  <c r="T92" i="17"/>
  <c r="BN92" i="17"/>
  <c r="AW110" i="17"/>
  <c r="CZ115" i="17"/>
  <c r="I115" i="17"/>
  <c r="AZ119" i="17"/>
  <c r="J10" i="17"/>
  <c r="AE10" i="17"/>
  <c r="BB10" i="17"/>
  <c r="W20" i="17"/>
  <c r="AU20" i="17"/>
  <c r="BW20" i="17"/>
  <c r="CS20" i="17"/>
  <c r="D27" i="17"/>
  <c r="AB27" i="17"/>
  <c r="BE27" i="17"/>
  <c r="CC27" i="17"/>
  <c r="T34" i="17"/>
  <c r="AV34" i="17"/>
  <c r="BT34" i="17"/>
  <c r="CY34" i="17"/>
  <c r="L37" i="17"/>
  <c r="AR37" i="17"/>
  <c r="BX37" i="17"/>
  <c r="CU37" i="17"/>
  <c r="G49" i="17"/>
  <c r="AN49" i="17"/>
  <c r="BW49" i="17"/>
  <c r="O53" i="17"/>
  <c r="AU53" i="17"/>
  <c r="CN53" i="17"/>
  <c r="V59" i="17"/>
  <c r="BE59" i="17"/>
  <c r="CR59" i="17"/>
  <c r="AJ79" i="17"/>
  <c r="CP79" i="17"/>
  <c r="G88" i="17"/>
  <c r="BE88" i="17"/>
  <c r="CR92" i="17"/>
  <c r="Z92" i="17"/>
  <c r="BZ92" i="17"/>
  <c r="K110" i="17"/>
  <c r="AX110" i="17"/>
  <c r="CC115" i="17"/>
  <c r="BB115" i="17"/>
  <c r="AA115" i="17"/>
  <c r="E115" i="17"/>
  <c r="CW115" i="17"/>
  <c r="BZ115" i="17"/>
  <c r="AW115" i="17"/>
  <c r="Y115" i="17"/>
  <c r="CT115" i="17"/>
  <c r="BO115" i="17"/>
  <c r="AI115" i="17"/>
  <c r="CS115" i="17"/>
  <c r="BN115" i="17"/>
  <c r="AE115" i="17"/>
  <c r="CR115" i="17"/>
  <c r="BJ115" i="17"/>
  <c r="AD115" i="17"/>
  <c r="CM115" i="17"/>
  <c r="BI115" i="17"/>
  <c r="W115" i="17"/>
  <c r="CI115" i="17"/>
  <c r="BF115" i="17"/>
  <c r="V115" i="17"/>
  <c r="J115" i="17"/>
  <c r="BQ115" i="17"/>
  <c r="BB119" i="17"/>
  <c r="CW10" i="17"/>
  <c r="CK10" i="17"/>
  <c r="BY10" i="17"/>
  <c r="BM10" i="17"/>
  <c r="BA10" i="17"/>
  <c r="AO10" i="17"/>
  <c r="AC10" i="17"/>
  <c r="Q10" i="17"/>
  <c r="E10" i="17"/>
  <c r="CQ10" i="17"/>
  <c r="CD10" i="17"/>
  <c r="BQ10" i="17"/>
  <c r="BD10" i="17"/>
  <c r="AQ10" i="17"/>
  <c r="AD10" i="17"/>
  <c r="P10" i="17"/>
  <c r="C10" i="17"/>
  <c r="CZ10" i="17"/>
  <c r="CL10" i="17"/>
  <c r="BW10" i="17"/>
  <c r="BI10" i="17"/>
  <c r="AU10" i="17"/>
  <c r="AG10" i="17"/>
  <c r="S10" i="17"/>
  <c r="D10" i="17"/>
  <c r="CJ10" i="17"/>
  <c r="BV10" i="17"/>
  <c r="BH10" i="17"/>
  <c r="AT10" i="17"/>
  <c r="AF10" i="17"/>
  <c r="R10" i="17"/>
  <c r="CN10" i="17"/>
  <c r="BU10" i="17"/>
  <c r="BE10" i="17"/>
  <c r="AM10" i="17"/>
  <c r="W10" i="17"/>
  <c r="G10" i="17"/>
  <c r="CM10" i="17"/>
  <c r="BT10" i="17"/>
  <c r="BC10" i="17"/>
  <c r="AL10" i="17"/>
  <c r="V10" i="17"/>
  <c r="F10" i="17"/>
  <c r="CH10" i="17"/>
  <c r="BR10" i="17"/>
  <c r="AZ10" i="17"/>
  <c r="AJ10" i="17"/>
  <c r="T10" i="17"/>
  <c r="CX10" i="17"/>
  <c r="CG10" i="17"/>
  <c r="BP10" i="17"/>
  <c r="K10" i="17"/>
  <c r="AH10" i="17"/>
  <c r="BF10" i="17"/>
  <c r="CC10" i="17"/>
  <c r="X20" i="17"/>
  <c r="AV20" i="17"/>
  <c r="BX20" i="17"/>
  <c r="CV20" i="17"/>
  <c r="I27" i="17"/>
  <c r="AD27" i="17"/>
  <c r="BF27" i="17"/>
  <c r="CD27" i="17"/>
  <c r="U34" i="17"/>
  <c r="AW34" i="17"/>
  <c r="BU34" i="17"/>
  <c r="CZ34" i="17"/>
  <c r="N37" i="17"/>
  <c r="AS37" i="17"/>
  <c r="BZ37" i="17"/>
  <c r="CV37" i="17"/>
  <c r="CW47" i="17"/>
  <c r="CK47" i="17"/>
  <c r="BY47" i="17"/>
  <c r="BM47" i="17"/>
  <c r="BA47" i="17"/>
  <c r="AO47" i="17"/>
  <c r="AC47" i="17"/>
  <c r="Q47" i="17"/>
  <c r="E47" i="17"/>
  <c r="CT47" i="17"/>
  <c r="CG47" i="17"/>
  <c r="BT47" i="17"/>
  <c r="BG47" i="17"/>
  <c r="AT47" i="17"/>
  <c r="AG47" i="17"/>
  <c r="T47" i="17"/>
  <c r="G47" i="17"/>
  <c r="CQ47" i="17"/>
  <c r="CD47" i="17"/>
  <c r="BQ47" i="17"/>
  <c r="BD47" i="17"/>
  <c r="AQ47" i="17"/>
  <c r="AD47" i="17"/>
  <c r="CO47" i="17"/>
  <c r="BZ47" i="17"/>
  <c r="BJ47" i="17"/>
  <c r="AU47" i="17"/>
  <c r="AE47" i="17"/>
  <c r="O47" i="17"/>
  <c r="CN47" i="17"/>
  <c r="BX47" i="17"/>
  <c r="BI47" i="17"/>
  <c r="AS47" i="17"/>
  <c r="AB47" i="17"/>
  <c r="N47" i="17"/>
  <c r="CX47" i="17"/>
  <c r="CE47" i="17"/>
  <c r="BL47" i="17"/>
  <c r="AR47" i="17"/>
  <c r="Y47" i="17"/>
  <c r="I47" i="17"/>
  <c r="CV47" i="17"/>
  <c r="CC47" i="17"/>
  <c r="BK47" i="17"/>
  <c r="AP47" i="17"/>
  <c r="X47" i="17"/>
  <c r="H47" i="17"/>
  <c r="CU47" i="17"/>
  <c r="CB47" i="17"/>
  <c r="BH47" i="17"/>
  <c r="AN47" i="17"/>
  <c r="W47" i="17"/>
  <c r="F47" i="17"/>
  <c r="CS47" i="17"/>
  <c r="CA47" i="17"/>
  <c r="BF47" i="17"/>
  <c r="AM47" i="17"/>
  <c r="V47" i="17"/>
  <c r="D47" i="17"/>
  <c r="CR47" i="17"/>
  <c r="BW47" i="17"/>
  <c r="BE47" i="17"/>
  <c r="AL47" i="17"/>
  <c r="U47" i="17"/>
  <c r="C47" i="17"/>
  <c r="S47" i="17"/>
  <c r="AZ47" i="17"/>
  <c r="CI47" i="17"/>
  <c r="N49" i="17"/>
  <c r="AO49" i="17"/>
  <c r="BX49" i="17"/>
  <c r="R53" i="17"/>
  <c r="AV53" i="17"/>
  <c r="CO53" i="17"/>
  <c r="X59" i="17"/>
  <c r="BF59" i="17"/>
  <c r="CS59" i="17"/>
  <c r="C71" i="17"/>
  <c r="AW71" i="17"/>
  <c r="AL79" i="17"/>
  <c r="CQ79" i="17"/>
  <c r="H88" i="17"/>
  <c r="AA92" i="17"/>
  <c r="C95" i="17"/>
  <c r="BB95" i="17"/>
  <c r="L110" i="17"/>
  <c r="BD110" i="17"/>
  <c r="L115" i="17"/>
  <c r="BS115" i="17"/>
  <c r="BM119" i="17"/>
  <c r="CW53" i="17"/>
  <c r="CK53" i="17"/>
  <c r="BY53" i="17"/>
  <c r="BM53" i="17"/>
  <c r="BA53" i="17"/>
  <c r="AO53" i="17"/>
  <c r="AC53" i="17"/>
  <c r="Q53" i="17"/>
  <c r="E53" i="17"/>
  <c r="CT53" i="17"/>
  <c r="CH53" i="17"/>
  <c r="BV53" i="17"/>
  <c r="BJ53" i="17"/>
  <c r="AX53" i="17"/>
  <c r="AL53" i="17"/>
  <c r="Z53" i="17"/>
  <c r="N53" i="17"/>
  <c r="CY53" i="17"/>
  <c r="CJ53" i="17"/>
  <c r="BU53" i="17"/>
  <c r="BG53" i="17"/>
  <c r="AS53" i="17"/>
  <c r="AE53" i="17"/>
  <c r="P53" i="17"/>
  <c r="CU53" i="17"/>
  <c r="CF53" i="17"/>
  <c r="BR53" i="17"/>
  <c r="BD53" i="17"/>
  <c r="AP53" i="17"/>
  <c r="AA53" i="17"/>
  <c r="L53" i="17"/>
  <c r="CL53" i="17"/>
  <c r="BS53" i="17"/>
  <c r="BB53" i="17"/>
  <c r="AJ53" i="17"/>
  <c r="T53" i="17"/>
  <c r="C53" i="17"/>
  <c r="CI53" i="17"/>
  <c r="BQ53" i="17"/>
  <c r="AZ53" i="17"/>
  <c r="AI53" i="17"/>
  <c r="S53" i="17"/>
  <c r="CZ53" i="17"/>
  <c r="CG53" i="17"/>
  <c r="BP53" i="17"/>
  <c r="AY53" i="17"/>
  <c r="AH53" i="17"/>
  <c r="H53" i="17"/>
  <c r="AB53" i="17"/>
  <c r="AW53" i="17"/>
  <c r="BX53" i="17"/>
  <c r="CR53" i="17"/>
  <c r="CT71" i="17"/>
  <c r="K88" i="17"/>
  <c r="AL88" i="17"/>
  <c r="BU88" i="17"/>
  <c r="CX88" i="17"/>
  <c r="E92" i="17"/>
  <c r="AF92" i="17"/>
  <c r="BO92" i="17"/>
  <c r="CQ92" i="17"/>
  <c r="F99" i="17"/>
  <c r="AR99" i="17"/>
  <c r="BU99" i="17"/>
  <c r="CZ20" i="17"/>
  <c r="CN20" i="17"/>
  <c r="CB20" i="17"/>
  <c r="BP20" i="17"/>
  <c r="BD20" i="17"/>
  <c r="AR20" i="17"/>
  <c r="AF20" i="17"/>
  <c r="T20" i="17"/>
  <c r="H20" i="17"/>
  <c r="CQ20" i="17"/>
  <c r="CD20" i="17"/>
  <c r="BQ20" i="17"/>
  <c r="BC20" i="17"/>
  <c r="AP20" i="17"/>
  <c r="AC20" i="17"/>
  <c r="P20" i="17"/>
  <c r="C20" i="17"/>
  <c r="CU20" i="17"/>
  <c r="CG20" i="17"/>
  <c r="BS20" i="17"/>
  <c r="BE20" i="17"/>
  <c r="AO20" i="17"/>
  <c r="AA20" i="17"/>
  <c r="M20" i="17"/>
  <c r="CT20" i="17"/>
  <c r="CF20" i="17"/>
  <c r="BR20" i="17"/>
  <c r="BB20" i="17"/>
  <c r="AN20" i="17"/>
  <c r="Z20" i="17"/>
  <c r="L20" i="17"/>
  <c r="Q20" i="17"/>
  <c r="AH20" i="17"/>
  <c r="AX20" i="17"/>
  <c r="BN20" i="17"/>
  <c r="CH20" i="17"/>
  <c r="CX20" i="17"/>
  <c r="D24" i="17"/>
  <c r="U24" i="17"/>
  <c r="AL24" i="17"/>
  <c r="BC24" i="17"/>
  <c r="BU24" i="17"/>
  <c r="I53" i="17"/>
  <c r="AD53" i="17"/>
  <c r="BC53" i="17"/>
  <c r="BZ53" i="17"/>
  <c r="CS53" i="17"/>
  <c r="L71" i="17"/>
  <c r="AH71" i="17"/>
  <c r="BK71" i="17"/>
  <c r="M88" i="17"/>
  <c r="AW88" i="17"/>
  <c r="BV88" i="17"/>
  <c r="F92" i="17"/>
  <c r="AO92" i="17"/>
  <c r="BP92" i="17"/>
  <c r="H99" i="17"/>
  <c r="AS99" i="17"/>
  <c r="CV88" i="17"/>
  <c r="CJ88" i="17"/>
  <c r="BX88" i="17"/>
  <c r="BL88" i="17"/>
  <c r="AZ88" i="17"/>
  <c r="AN88" i="17"/>
  <c r="AB88" i="17"/>
  <c r="P88" i="17"/>
  <c r="D88" i="17"/>
  <c r="CS88" i="17"/>
  <c r="CF88" i="17"/>
  <c r="BS88" i="17"/>
  <c r="BF88" i="17"/>
  <c r="AS88" i="17"/>
  <c r="AF88" i="17"/>
  <c r="S88" i="17"/>
  <c r="F88" i="17"/>
  <c r="CP88" i="17"/>
  <c r="CC88" i="17"/>
  <c r="BP88" i="17"/>
  <c r="BC88" i="17"/>
  <c r="AP88" i="17"/>
  <c r="AC88" i="17"/>
  <c r="O88" i="17"/>
  <c r="CQ88" i="17"/>
  <c r="CA88" i="17"/>
  <c r="BK88" i="17"/>
  <c r="AV88" i="17"/>
  <c r="AG88" i="17"/>
  <c r="Q88" i="17"/>
  <c r="CM88" i="17"/>
  <c r="BW88" i="17"/>
  <c r="BH88" i="17"/>
  <c r="AR88" i="17"/>
  <c r="AA88" i="17"/>
  <c r="L88" i="17"/>
  <c r="CY88" i="17"/>
  <c r="CG88" i="17"/>
  <c r="BN88" i="17"/>
  <c r="AU88" i="17"/>
  <c r="Z88" i="17"/>
  <c r="I88" i="17"/>
  <c r="CU88" i="17"/>
  <c r="CB88" i="17"/>
  <c r="BI88" i="17"/>
  <c r="AO88" i="17"/>
  <c r="W88" i="17"/>
  <c r="E88" i="17"/>
  <c r="CL88" i="17"/>
  <c r="BQ88" i="17"/>
  <c r="AT88" i="17"/>
  <c r="V88" i="17"/>
  <c r="CK88" i="17"/>
  <c r="BO88" i="17"/>
  <c r="AQ88" i="17"/>
  <c r="U88" i="17"/>
  <c r="CI88" i="17"/>
  <c r="BM88" i="17"/>
  <c r="AM88" i="17"/>
  <c r="T88" i="17"/>
  <c r="N88" i="17"/>
  <c r="AX88" i="17"/>
  <c r="BY88" i="17"/>
  <c r="CS92" i="17"/>
  <c r="CG92" i="17"/>
  <c r="BU92" i="17"/>
  <c r="BI92" i="17"/>
  <c r="AW92" i="17"/>
  <c r="AK92" i="17"/>
  <c r="Y92" i="17"/>
  <c r="M92" i="17"/>
  <c r="CY92" i="17"/>
  <c r="CL92" i="17"/>
  <c r="BY92" i="17"/>
  <c r="BL92" i="17"/>
  <c r="AY92" i="17"/>
  <c r="AL92" i="17"/>
  <c r="X92" i="17"/>
  <c r="K92" i="17"/>
  <c r="CV92" i="17"/>
  <c r="CI92" i="17"/>
  <c r="BV92" i="17"/>
  <c r="BH92" i="17"/>
  <c r="AU92" i="17"/>
  <c r="AH92" i="17"/>
  <c r="U92" i="17"/>
  <c r="H92" i="17"/>
  <c r="CM92" i="17"/>
  <c r="BW92" i="17"/>
  <c r="BF92" i="17"/>
  <c r="AQ92" i="17"/>
  <c r="AB92" i="17"/>
  <c r="L92" i="17"/>
  <c r="CX92" i="17"/>
  <c r="CH92" i="17"/>
  <c r="BR92" i="17"/>
  <c r="BC92" i="17"/>
  <c r="AN92" i="17"/>
  <c r="W92" i="17"/>
  <c r="G92" i="17"/>
  <c r="CT92" i="17"/>
  <c r="CB92" i="17"/>
  <c r="BJ92" i="17"/>
  <c r="AP92" i="17"/>
  <c r="V92" i="17"/>
  <c r="D92" i="17"/>
  <c r="CP92" i="17"/>
  <c r="BX92" i="17"/>
  <c r="BD92" i="17"/>
  <c r="AJ92" i="17"/>
  <c r="R92" i="17"/>
  <c r="CE92" i="17"/>
  <c r="BK92" i="17"/>
  <c r="AM92" i="17"/>
  <c r="P92" i="17"/>
  <c r="CD92" i="17"/>
  <c r="BG92" i="17"/>
  <c r="AI92" i="17"/>
  <c r="O92" i="17"/>
  <c r="CZ92" i="17"/>
  <c r="CC92" i="17"/>
  <c r="BE92" i="17"/>
  <c r="AG92" i="17"/>
  <c r="N92" i="17"/>
  <c r="I92" i="17"/>
  <c r="AR92" i="17"/>
  <c r="BQ92" i="17"/>
  <c r="CU92" i="17"/>
  <c r="CP99" i="17"/>
  <c r="CD99" i="17"/>
  <c r="BR99" i="17"/>
  <c r="BF99" i="17"/>
  <c r="AT99" i="17"/>
  <c r="AH99" i="17"/>
  <c r="V99" i="17"/>
  <c r="J99" i="17"/>
  <c r="CZ99" i="17"/>
  <c r="CM99" i="17"/>
  <c r="BZ99" i="17"/>
  <c r="BM99" i="17"/>
  <c r="AZ99" i="17"/>
  <c r="AM99" i="17"/>
  <c r="Z99" i="17"/>
  <c r="M99" i="17"/>
  <c r="CW99" i="17"/>
  <c r="CJ99" i="17"/>
  <c r="BW99" i="17"/>
  <c r="BJ99" i="17"/>
  <c r="AW99" i="17"/>
  <c r="AJ99" i="17"/>
  <c r="W99" i="17"/>
  <c r="I99" i="17"/>
  <c r="CX99" i="17"/>
  <c r="CH99" i="17"/>
  <c r="BS99" i="17"/>
  <c r="BC99" i="17"/>
  <c r="AN99" i="17"/>
  <c r="X99" i="17"/>
  <c r="G99" i="17"/>
  <c r="CT99" i="17"/>
  <c r="CE99" i="17"/>
  <c r="BO99" i="17"/>
  <c r="AY99" i="17"/>
  <c r="AI99" i="17"/>
  <c r="S99" i="17"/>
  <c r="D99" i="17"/>
  <c r="CS99" i="17"/>
  <c r="CA99" i="17"/>
  <c r="BH99" i="17"/>
  <c r="AP99" i="17"/>
  <c r="U99" i="17"/>
  <c r="C99" i="17"/>
  <c r="CR99" i="17"/>
  <c r="BY99" i="17"/>
  <c r="BG99" i="17"/>
  <c r="AO99" i="17"/>
  <c r="T99" i="17"/>
  <c r="CO99" i="17"/>
  <c r="BV99" i="17"/>
  <c r="BD99" i="17"/>
  <c r="AK99" i="17"/>
  <c r="Q99" i="17"/>
  <c r="CL99" i="17"/>
  <c r="BN99" i="17"/>
  <c r="AQ99" i="17"/>
  <c r="O99" i="17"/>
  <c r="CK99" i="17"/>
  <c r="BL99" i="17"/>
  <c r="AL99" i="17"/>
  <c r="N99" i="17"/>
  <c r="CI99" i="17"/>
  <c r="BK99" i="17"/>
  <c r="AG99" i="17"/>
  <c r="L99" i="17"/>
  <c r="K99" i="17"/>
  <c r="AU99" i="17"/>
  <c r="CB99" i="17"/>
  <c r="CW24" i="17"/>
  <c r="CK24" i="17"/>
  <c r="BY24" i="17"/>
  <c r="BM24" i="17"/>
  <c r="BA24" i="17"/>
  <c r="AO24" i="17"/>
  <c r="AC24" i="17"/>
  <c r="Q24" i="17"/>
  <c r="E24" i="17"/>
  <c r="CX24" i="17"/>
  <c r="CJ24" i="17"/>
  <c r="BW24" i="17"/>
  <c r="BJ24" i="17"/>
  <c r="AW24" i="17"/>
  <c r="AJ24" i="17"/>
  <c r="W24" i="17"/>
  <c r="J24" i="17"/>
  <c r="CV24" i="17"/>
  <c r="CH24" i="17"/>
  <c r="BT24" i="17"/>
  <c r="BF24" i="17"/>
  <c r="AR24" i="17"/>
  <c r="AD24" i="17"/>
  <c r="O24" i="17"/>
  <c r="CU24" i="17"/>
  <c r="CG24" i="17"/>
  <c r="BS24" i="17"/>
  <c r="BE24" i="17"/>
  <c r="AQ24" i="17"/>
  <c r="AB24" i="17"/>
  <c r="N24" i="17"/>
  <c r="G24" i="17"/>
  <c r="X24" i="17"/>
  <c r="AN24" i="17"/>
  <c r="BG24" i="17"/>
  <c r="BX24" i="17"/>
  <c r="CO24" i="17"/>
  <c r="K53" i="17"/>
  <c r="AG53" i="17"/>
  <c r="BF53" i="17"/>
  <c r="CB53" i="17"/>
  <c r="CX53" i="17"/>
  <c r="CS71" i="17"/>
  <c r="BY71" i="17"/>
  <c r="BF71" i="17"/>
  <c r="AL71" i="17"/>
  <c r="U71" i="17"/>
  <c r="D71" i="17"/>
  <c r="P71" i="17"/>
  <c r="AK71" i="17"/>
  <c r="BN71" i="17"/>
  <c r="CK71" i="17"/>
  <c r="R88" i="17"/>
  <c r="AY88" i="17"/>
  <c r="BZ88" i="17"/>
  <c r="J92" i="17"/>
  <c r="AS92" i="17"/>
  <c r="BS92" i="17"/>
  <c r="CW92" i="17"/>
  <c r="P99" i="17"/>
  <c r="AV99" i="17"/>
  <c r="CC99" i="17"/>
  <c r="D20" i="17"/>
  <c r="U20" i="17"/>
  <c r="AK20" i="17"/>
  <c r="BA20" i="17"/>
  <c r="BU20" i="17"/>
  <c r="CK20" i="17"/>
  <c r="H24" i="17"/>
  <c r="Y24" i="17"/>
  <c r="AP24" i="17"/>
  <c r="BH24" i="17"/>
  <c r="BZ24" i="17"/>
  <c r="CP24" i="17"/>
  <c r="CW34" i="17"/>
  <c r="CK34" i="17"/>
  <c r="BY34" i="17"/>
  <c r="BM34" i="17"/>
  <c r="BA34" i="17"/>
  <c r="AO34" i="17"/>
  <c r="AC34" i="17"/>
  <c r="Q34" i="17"/>
  <c r="E34" i="17"/>
  <c r="CQ34" i="17"/>
  <c r="CD34" i="17"/>
  <c r="BQ34" i="17"/>
  <c r="BD34" i="17"/>
  <c r="AQ34" i="17"/>
  <c r="AD34" i="17"/>
  <c r="P34" i="17"/>
  <c r="C34" i="17"/>
  <c r="CU34" i="17"/>
  <c r="CG34" i="17"/>
  <c r="BS34" i="17"/>
  <c r="BE34" i="17"/>
  <c r="AP34" i="17"/>
  <c r="AA34" i="17"/>
  <c r="M34" i="17"/>
  <c r="CT34" i="17"/>
  <c r="CF34" i="17"/>
  <c r="BR34" i="17"/>
  <c r="BC34" i="17"/>
  <c r="AN34" i="17"/>
  <c r="Z34" i="17"/>
  <c r="L34" i="17"/>
  <c r="K34" i="17"/>
  <c r="AE34" i="17"/>
  <c r="AU34" i="17"/>
  <c r="BK34" i="17"/>
  <c r="CB34" i="17"/>
  <c r="CS34" i="17"/>
  <c r="CQ40" i="17"/>
  <c r="CC40" i="17"/>
  <c r="BO40" i="17"/>
  <c r="AZ40" i="17"/>
  <c r="AL40" i="17"/>
  <c r="X40" i="17"/>
  <c r="I40" i="17"/>
  <c r="CP40" i="17"/>
  <c r="CB40" i="17"/>
  <c r="BN40" i="17"/>
  <c r="AY40" i="17"/>
  <c r="AK40" i="17"/>
  <c r="V40" i="17"/>
  <c r="H40" i="17"/>
  <c r="P40" i="17"/>
  <c r="AG40" i="17"/>
  <c r="AX40" i="17"/>
  <c r="BQ40" i="17"/>
  <c r="CG40" i="17"/>
  <c r="M53" i="17"/>
  <c r="AK53" i="17"/>
  <c r="BH53" i="17"/>
  <c r="CC53" i="17"/>
  <c r="R71" i="17"/>
  <c r="AR71" i="17"/>
  <c r="BO71" i="17"/>
  <c r="CL71" i="17"/>
  <c r="X88" i="17"/>
  <c r="BA88" i="17"/>
  <c r="CD88" i="17"/>
  <c r="Q92" i="17"/>
  <c r="AT92" i="17"/>
  <c r="BT92" i="17"/>
  <c r="R99" i="17"/>
  <c r="AX99" i="17"/>
  <c r="CF99" i="17"/>
  <c r="CL79" i="17"/>
  <c r="BV79" i="17"/>
  <c r="BE79" i="17"/>
  <c r="AP79" i="17"/>
  <c r="AA79" i="17"/>
  <c r="K79" i="17"/>
  <c r="CX79" i="17"/>
  <c r="CH79" i="17"/>
  <c r="BQ79" i="17"/>
  <c r="BB79" i="17"/>
  <c r="AM79" i="17"/>
  <c r="W79" i="17"/>
  <c r="G79" i="17"/>
  <c r="CI79" i="17"/>
  <c r="BO79" i="17"/>
  <c r="AX79" i="17"/>
  <c r="AD79" i="17"/>
  <c r="L79" i="17"/>
  <c r="CV79" i="17"/>
  <c r="CC79" i="17"/>
  <c r="BL79" i="17"/>
  <c r="AR79" i="17"/>
  <c r="Z79" i="17"/>
  <c r="E79" i="17"/>
  <c r="T79" i="17"/>
  <c r="AQ79" i="17"/>
  <c r="BN79" i="17"/>
  <c r="CM79" i="17"/>
  <c r="CZ59" i="17"/>
  <c r="CN59" i="17"/>
  <c r="CB59" i="17"/>
  <c r="BP59" i="17"/>
  <c r="BD59" i="17"/>
  <c r="AR59" i="17"/>
  <c r="AF59" i="17"/>
  <c r="T59" i="17"/>
  <c r="H59" i="17"/>
  <c r="CW59" i="17"/>
  <c r="CK59" i="17"/>
  <c r="BY59" i="17"/>
  <c r="BM59" i="17"/>
  <c r="BA59" i="17"/>
  <c r="AO59" i="17"/>
  <c r="AC59" i="17"/>
  <c r="Q59" i="17"/>
  <c r="E59" i="17"/>
  <c r="CT59" i="17"/>
  <c r="CF59" i="17"/>
  <c r="BR59" i="17"/>
  <c r="BC59" i="17"/>
  <c r="AN59" i="17"/>
  <c r="Z59" i="17"/>
  <c r="L59" i="17"/>
  <c r="CQ59" i="17"/>
  <c r="CC59" i="17"/>
  <c r="BN59" i="17"/>
  <c r="AY59" i="17"/>
  <c r="AK59" i="17"/>
  <c r="W59" i="17"/>
  <c r="I59" i="17"/>
  <c r="P59" i="17"/>
  <c r="AH59" i="17"/>
  <c r="AX59" i="17"/>
  <c r="BQ59" i="17"/>
  <c r="CH59" i="17"/>
  <c r="CY59" i="17"/>
  <c r="F71" i="17"/>
  <c r="V71" i="17"/>
  <c r="AN71" i="17"/>
  <c r="BH71" i="17"/>
  <c r="CA71" i="17"/>
  <c r="U79" i="17"/>
  <c r="AT79" i="17"/>
  <c r="BP79" i="17"/>
  <c r="CN79" i="17"/>
  <c r="CS95" i="17"/>
  <c r="CG95" i="17"/>
  <c r="BU95" i="17"/>
  <c r="BI95" i="17"/>
  <c r="AW95" i="17"/>
  <c r="AK95" i="17"/>
  <c r="Y95" i="17"/>
  <c r="M95" i="17"/>
  <c r="CU95" i="17"/>
  <c r="CH95" i="17"/>
  <c r="BT95" i="17"/>
  <c r="BG95" i="17"/>
  <c r="AT95" i="17"/>
  <c r="AG95" i="17"/>
  <c r="T95" i="17"/>
  <c r="G95" i="17"/>
  <c r="CQ95" i="17"/>
  <c r="CD95" i="17"/>
  <c r="BQ95" i="17"/>
  <c r="BD95" i="17"/>
  <c r="AQ95" i="17"/>
  <c r="AD95" i="17"/>
  <c r="Q95" i="17"/>
  <c r="D95" i="17"/>
  <c r="CM95" i="17"/>
  <c r="BX95" i="17"/>
  <c r="BH95" i="17"/>
  <c r="AR95" i="17"/>
  <c r="AB95" i="17"/>
  <c r="L95" i="17"/>
  <c r="CY95" i="17"/>
  <c r="CJ95" i="17"/>
  <c r="BS95" i="17"/>
  <c r="BC95" i="17"/>
  <c r="AN95" i="17"/>
  <c r="X95" i="17"/>
  <c r="I95" i="17"/>
  <c r="CW95" i="17"/>
  <c r="CC95" i="17"/>
  <c r="BL95" i="17"/>
  <c r="AS95" i="17"/>
  <c r="Z95" i="17"/>
  <c r="F95" i="17"/>
  <c r="CV95" i="17"/>
  <c r="CB95" i="17"/>
  <c r="CR95" i="17"/>
  <c r="BZ95" i="17"/>
  <c r="BF95" i="17"/>
  <c r="AM95" i="17"/>
  <c r="U95" i="17"/>
  <c r="O95" i="17"/>
  <c r="AJ95" i="17"/>
  <c r="BJ95" i="17"/>
  <c r="CF95" i="17"/>
  <c r="CV115" i="17"/>
  <c r="CJ115" i="17"/>
  <c r="BX115" i="17"/>
  <c r="BL115" i="17"/>
  <c r="AZ115" i="17"/>
  <c r="AN115" i="17"/>
  <c r="AB115" i="17"/>
  <c r="P115" i="17"/>
  <c r="D115" i="17"/>
  <c r="CY115" i="17"/>
  <c r="CL115" i="17"/>
  <c r="BY115" i="17"/>
  <c r="BK115" i="17"/>
  <c r="AX115" i="17"/>
  <c r="AK115" i="17"/>
  <c r="X115" i="17"/>
  <c r="K115" i="17"/>
  <c r="CU115" i="17"/>
  <c r="CH115" i="17"/>
  <c r="BU115" i="17"/>
  <c r="BH115" i="17"/>
  <c r="AU115" i="17"/>
  <c r="AH115" i="17"/>
  <c r="U115" i="17"/>
  <c r="H115" i="17"/>
  <c r="CQ115" i="17"/>
  <c r="CB115" i="17"/>
  <c r="BM115" i="17"/>
  <c r="AV115" i="17"/>
  <c r="AF115" i="17"/>
  <c r="Q115" i="17"/>
  <c r="CN115" i="17"/>
  <c r="BW115" i="17"/>
  <c r="BG115" i="17"/>
  <c r="AR115" i="17"/>
  <c r="AC115" i="17"/>
  <c r="M115" i="17"/>
  <c r="CP115" i="17"/>
  <c r="BV115" i="17"/>
  <c r="BD115" i="17"/>
  <c r="AL115" i="17"/>
  <c r="S115" i="17"/>
  <c r="CO115" i="17"/>
  <c r="BT115" i="17"/>
  <c r="BC115" i="17"/>
  <c r="AJ115" i="17"/>
  <c r="R115" i="17"/>
  <c r="CK115" i="17"/>
  <c r="BR115" i="17"/>
  <c r="BA115" i="17"/>
  <c r="AG115" i="17"/>
  <c r="N115" i="17"/>
  <c r="C115" i="17"/>
  <c r="Z115" i="17"/>
  <c r="AY115" i="17"/>
  <c r="CA115" i="17"/>
  <c r="CX115" i="17"/>
  <c r="CV71" i="17"/>
  <c r="CQ71" i="17"/>
  <c r="CE71" i="17"/>
  <c r="BS71" i="17"/>
  <c r="BG71" i="17"/>
  <c r="AU71" i="17"/>
  <c r="AI71" i="17"/>
  <c r="CP71" i="17"/>
  <c r="CC71" i="17"/>
  <c r="BP71" i="17"/>
  <c r="BC71" i="17"/>
  <c r="AP71" i="17"/>
  <c r="AC71" i="17"/>
  <c r="Q71" i="17"/>
  <c r="E71" i="17"/>
  <c r="CM71" i="17"/>
  <c r="BZ71" i="17"/>
  <c r="BM71" i="17"/>
  <c r="AZ71" i="17"/>
  <c r="AM71" i="17"/>
  <c r="Z71" i="17"/>
  <c r="N71" i="17"/>
  <c r="CN71" i="17"/>
  <c r="BX71" i="17"/>
  <c r="BI71" i="17"/>
  <c r="AS71" i="17"/>
  <c r="AD71" i="17"/>
  <c r="O71" i="17"/>
  <c r="CZ71" i="17"/>
  <c r="CJ71" i="17"/>
  <c r="BU71" i="17"/>
  <c r="BE71" i="17"/>
  <c r="AO71" i="17"/>
  <c r="Y71" i="17"/>
  <c r="K71" i="17"/>
  <c r="G71" i="17"/>
  <c r="W71" i="17"/>
  <c r="AQ71" i="17"/>
  <c r="BJ71" i="17"/>
  <c r="CB71" i="17"/>
  <c r="CU71" i="17"/>
  <c r="X79" i="17"/>
  <c r="AU79" i="17"/>
  <c r="BR79" i="17"/>
  <c r="CO79" i="17"/>
  <c r="CW40" i="17"/>
  <c r="CK40" i="17"/>
  <c r="BY40" i="17"/>
  <c r="BM40" i="17"/>
  <c r="BA40" i="17"/>
  <c r="AO40" i="17"/>
  <c r="AC40" i="17"/>
  <c r="Q40" i="17"/>
  <c r="E40" i="17"/>
  <c r="J40" i="17"/>
  <c r="W40" i="17"/>
  <c r="AJ40" i="17"/>
  <c r="AW40" i="17"/>
  <c r="BJ40" i="17"/>
  <c r="BW40" i="17"/>
  <c r="CJ40" i="17"/>
  <c r="CX40" i="17"/>
  <c r="CV81" i="17"/>
  <c r="CJ81" i="17"/>
  <c r="BX81" i="17"/>
  <c r="BL81" i="17"/>
  <c r="AZ81" i="17"/>
  <c r="AN81" i="17"/>
  <c r="AB81" i="17"/>
  <c r="P81" i="17"/>
  <c r="D81" i="17"/>
  <c r="CW81" i="17"/>
  <c r="CI81" i="17"/>
  <c r="BV81" i="17"/>
  <c r="BI81" i="17"/>
  <c r="AV81" i="17"/>
  <c r="AI81" i="17"/>
  <c r="V81" i="17"/>
  <c r="I81" i="17"/>
  <c r="CS81" i="17"/>
  <c r="CF81" i="17"/>
  <c r="BS81" i="17"/>
  <c r="BF81" i="17"/>
  <c r="AS81" i="17"/>
  <c r="AF81" i="17"/>
  <c r="S81" i="17"/>
  <c r="F81" i="17"/>
  <c r="O81" i="17"/>
  <c r="AE81" i="17"/>
  <c r="AU81" i="17"/>
  <c r="BK81" i="17"/>
  <c r="CA81" i="17"/>
  <c r="CP81" i="17"/>
  <c r="CS79" i="17"/>
  <c r="CG79" i="17"/>
  <c r="BU79" i="17"/>
  <c r="BI79" i="17"/>
  <c r="AW79" i="17"/>
  <c r="AK79" i="17"/>
  <c r="Y79" i="17"/>
  <c r="M79" i="17"/>
  <c r="F79" i="17"/>
  <c r="S79" i="17"/>
  <c r="AF79" i="17"/>
  <c r="AS79" i="17"/>
  <c r="BF79" i="17"/>
  <c r="BS79" i="17"/>
  <c r="CF79" i="17"/>
  <c r="CT79" i="17"/>
  <c r="I79" i="17"/>
  <c r="V79" i="17"/>
  <c r="AI79" i="17"/>
  <c r="AV79" i="17"/>
  <c r="BJ79" i="17"/>
  <c r="BW79" i="17"/>
  <c r="CJ79" i="17"/>
  <c r="CW79" i="17"/>
  <c r="AI10" i="16"/>
  <c r="BD34" i="16"/>
  <c r="AQ71" i="16"/>
  <c r="BE10" i="16"/>
  <c r="CC20" i="16"/>
  <c r="BI34" i="16"/>
  <c r="BF10" i="16"/>
  <c r="BI20" i="16"/>
  <c r="Q34" i="16"/>
  <c r="BM34" i="16"/>
  <c r="CR47" i="16"/>
  <c r="CB47" i="16"/>
  <c r="BH47" i="16"/>
  <c r="AR47" i="16"/>
  <c r="Y47" i="16"/>
  <c r="I47" i="16"/>
  <c r="CQ47" i="16"/>
  <c r="CA47" i="16"/>
  <c r="BG47" i="16"/>
  <c r="AQ47" i="16"/>
  <c r="X47" i="16"/>
  <c r="H47" i="16"/>
  <c r="CY49" i="16"/>
  <c r="CM49" i="16"/>
  <c r="CA49" i="16"/>
  <c r="BO49" i="16"/>
  <c r="BC49" i="16"/>
  <c r="AQ49" i="16"/>
  <c r="AE49" i="16"/>
  <c r="S49" i="16"/>
  <c r="G49" i="16"/>
  <c r="CX49" i="16"/>
  <c r="CL49" i="16"/>
  <c r="BZ49" i="16"/>
  <c r="BN49" i="16"/>
  <c r="BB49" i="16"/>
  <c r="AP49" i="16"/>
  <c r="AD49" i="16"/>
  <c r="R49" i="16"/>
  <c r="F49" i="16"/>
  <c r="CW49" i="16"/>
  <c r="CK49" i="16"/>
  <c r="BY49" i="16"/>
  <c r="BM49" i="16"/>
  <c r="BA49" i="16"/>
  <c r="AO49" i="16"/>
  <c r="AC49" i="16"/>
  <c r="Q49" i="16"/>
  <c r="E49" i="16"/>
  <c r="CV49" i="16"/>
  <c r="CJ49" i="16"/>
  <c r="BX49" i="16"/>
  <c r="BL49" i="16"/>
  <c r="AZ49" i="16"/>
  <c r="AN49" i="16"/>
  <c r="AB49" i="16"/>
  <c r="P49" i="16"/>
  <c r="D49" i="16"/>
  <c r="CG49" i="16"/>
  <c r="BQ49" i="16"/>
  <c r="AW49" i="16"/>
  <c r="AG49" i="16"/>
  <c r="M49" i="16"/>
  <c r="CZ49" i="16"/>
  <c r="CF49" i="16"/>
  <c r="BP49" i="16"/>
  <c r="AV49" i="16"/>
  <c r="AF49" i="16"/>
  <c r="L49" i="16"/>
  <c r="CU49" i="16"/>
  <c r="CE49" i="16"/>
  <c r="BK49" i="16"/>
  <c r="AU49" i="16"/>
  <c r="AA49" i="16"/>
  <c r="K49" i="16"/>
  <c r="CT49" i="16"/>
  <c r="CD49" i="16"/>
  <c r="BJ49" i="16"/>
  <c r="AT49" i="16"/>
  <c r="Z49" i="16"/>
  <c r="J49" i="16"/>
  <c r="BD49" i="16"/>
  <c r="T10" i="16"/>
  <c r="CZ10" i="16"/>
  <c r="T20" i="16"/>
  <c r="BJ20" i="16"/>
  <c r="BN34" i="16"/>
  <c r="BE49" i="16"/>
  <c r="CC49" i="16"/>
  <c r="BX53" i="16"/>
  <c r="CK71" i="16"/>
  <c r="BF88" i="16"/>
  <c r="BH95" i="16"/>
  <c r="CF10" i="16"/>
  <c r="BO34" i="16"/>
  <c r="BC47" i="16"/>
  <c r="CE47" i="16"/>
  <c r="AH49" i="16"/>
  <c r="CH49" i="16"/>
  <c r="AY53" i="16"/>
  <c r="P71" i="16"/>
  <c r="AQ10" i="16"/>
  <c r="BL20" i="16"/>
  <c r="AJ24" i="16"/>
  <c r="CX24" i="16"/>
  <c r="CV40" i="16"/>
  <c r="CJ40" i="16"/>
  <c r="BX40" i="16"/>
  <c r="BL40" i="16"/>
  <c r="AZ40" i="16"/>
  <c r="AN40" i="16"/>
  <c r="AB40" i="16"/>
  <c r="P40" i="16"/>
  <c r="D40" i="16"/>
  <c r="CU40" i="16"/>
  <c r="CI40" i="16"/>
  <c r="BW40" i="16"/>
  <c r="BK40" i="16"/>
  <c r="AY40" i="16"/>
  <c r="AM40" i="16"/>
  <c r="AA40" i="16"/>
  <c r="O40" i="16"/>
  <c r="C40" i="16"/>
  <c r="CT40" i="16"/>
  <c r="CH40" i="16"/>
  <c r="BV40" i="16"/>
  <c r="BJ40" i="16"/>
  <c r="AX40" i="16"/>
  <c r="AL40" i="16"/>
  <c r="Z40" i="16"/>
  <c r="N40" i="16"/>
  <c r="CG40" i="16"/>
  <c r="BU40" i="16"/>
  <c r="BI40" i="16"/>
  <c r="AW40" i="16"/>
  <c r="AK40" i="16"/>
  <c r="CL40" i="16"/>
  <c r="BR40" i="16"/>
  <c r="BB40" i="16"/>
  <c r="AH40" i="16"/>
  <c r="S40" i="16"/>
  <c r="CZ40" i="16"/>
  <c r="CK40" i="16"/>
  <c r="BQ40" i="16"/>
  <c r="BA40" i="16"/>
  <c r="AG40" i="16"/>
  <c r="R40" i="16"/>
  <c r="CY40" i="16"/>
  <c r="CF40" i="16"/>
  <c r="BP40" i="16"/>
  <c r="AV40" i="16"/>
  <c r="AF40" i="16"/>
  <c r="Q40" i="16"/>
  <c r="CX40" i="16"/>
  <c r="CE40" i="16"/>
  <c r="BO40" i="16"/>
  <c r="AU40" i="16"/>
  <c r="AE40" i="16"/>
  <c r="M40" i="16"/>
  <c r="BM40" i="16"/>
  <c r="BD47" i="16"/>
  <c r="AE53" i="16"/>
  <c r="BE53" i="16"/>
  <c r="CI53" i="16"/>
  <c r="S71" i="16"/>
  <c r="AX71" i="16"/>
  <c r="CN71" i="16"/>
  <c r="AG79" i="16"/>
  <c r="BZ79" i="16"/>
  <c r="K88" i="16"/>
  <c r="BR88" i="16"/>
  <c r="C95" i="16"/>
  <c r="BL95" i="16"/>
  <c r="Q99" i="16"/>
  <c r="BZ99" i="16"/>
  <c r="BJ110" i="16"/>
  <c r="X115" i="16"/>
  <c r="CM115" i="16"/>
  <c r="E10" i="16"/>
  <c r="W10" i="16"/>
  <c r="AR10" i="16"/>
  <c r="BP10" i="16"/>
  <c r="CK10" i="16"/>
  <c r="Z20" i="16"/>
  <c r="AU20" i="16"/>
  <c r="BP20" i="16"/>
  <c r="R24" i="16"/>
  <c r="AP24" i="16"/>
  <c r="BH24" i="16"/>
  <c r="CC24" i="16"/>
  <c r="CV27" i="16"/>
  <c r="CJ27" i="16"/>
  <c r="BX27" i="16"/>
  <c r="BL27" i="16"/>
  <c r="AZ27" i="16"/>
  <c r="AN27" i="16"/>
  <c r="AB27" i="16"/>
  <c r="P27" i="16"/>
  <c r="D27" i="16"/>
  <c r="CU27" i="16"/>
  <c r="CI27" i="16"/>
  <c r="BW27" i="16"/>
  <c r="BK27" i="16"/>
  <c r="AY27" i="16"/>
  <c r="AM27" i="16"/>
  <c r="AA27" i="16"/>
  <c r="O27" i="16"/>
  <c r="C27" i="16"/>
  <c r="CT27" i="16"/>
  <c r="CH27" i="16"/>
  <c r="BV27" i="16"/>
  <c r="BJ27" i="16"/>
  <c r="AX27" i="16"/>
  <c r="AL27" i="16"/>
  <c r="Z27" i="16"/>
  <c r="N27" i="16"/>
  <c r="CM27" i="16"/>
  <c r="BU27" i="16"/>
  <c r="BF27" i="16"/>
  <c r="AQ27" i="16"/>
  <c r="Y27" i="16"/>
  <c r="J27" i="16"/>
  <c r="CL27" i="16"/>
  <c r="BT27" i="16"/>
  <c r="BE27" i="16"/>
  <c r="AP27" i="16"/>
  <c r="X27" i="16"/>
  <c r="I27" i="16"/>
  <c r="CZ27" i="16"/>
  <c r="CK27" i="16"/>
  <c r="BS27" i="16"/>
  <c r="BD27" i="16"/>
  <c r="AO27" i="16"/>
  <c r="W27" i="16"/>
  <c r="CY27" i="16"/>
  <c r="CG27" i="16"/>
  <c r="BR27" i="16"/>
  <c r="BC27" i="16"/>
  <c r="AK27" i="16"/>
  <c r="V27" i="16"/>
  <c r="G27" i="16"/>
  <c r="Q27" i="16"/>
  <c r="AJ27" i="16"/>
  <c r="BM27" i="16"/>
  <c r="CF27" i="16"/>
  <c r="CO34" i="16"/>
  <c r="BZ34" i="16"/>
  <c r="BH34" i="16"/>
  <c r="AS34" i="16"/>
  <c r="AD34" i="16"/>
  <c r="L34" i="16"/>
  <c r="J34" i="16"/>
  <c r="CM34" i="16"/>
  <c r="BU34" i="16"/>
  <c r="BF34" i="16"/>
  <c r="AQ34" i="16"/>
  <c r="Y34" i="16"/>
  <c r="CL34" i="16"/>
  <c r="BT34" i="16"/>
  <c r="BE34" i="16"/>
  <c r="AP34" i="16"/>
  <c r="X34" i="16"/>
  <c r="I34" i="16"/>
  <c r="U34" i="16"/>
  <c r="AU34" i="16"/>
  <c r="BQ34" i="16"/>
  <c r="CQ34" i="16"/>
  <c r="L40" i="16"/>
  <c r="AP40" i="16"/>
  <c r="BN40" i="16"/>
  <c r="CP40" i="16"/>
  <c r="F47" i="16"/>
  <c r="AG47" i="16"/>
  <c r="BE47" i="16"/>
  <c r="CK47" i="16"/>
  <c r="H49" i="16"/>
  <c r="AJ49" i="16"/>
  <c r="BH49" i="16"/>
  <c r="CN49" i="16"/>
  <c r="AF53" i="16"/>
  <c r="BF53" i="16"/>
  <c r="Y71" i="16"/>
  <c r="BJ71" i="16"/>
  <c r="CO71" i="16"/>
  <c r="AT79" i="16"/>
  <c r="AC88" i="16"/>
  <c r="S95" i="16"/>
  <c r="AG99" i="16"/>
  <c r="M110" i="16"/>
  <c r="Y115" i="16"/>
  <c r="CN119" i="16"/>
  <c r="BB119" i="16"/>
  <c r="V119" i="16"/>
  <c r="CM119" i="16"/>
  <c r="BA119" i="16"/>
  <c r="U119" i="16"/>
  <c r="CJ119" i="16"/>
  <c r="AZ119" i="16"/>
  <c r="T119" i="16"/>
  <c r="CI119" i="16"/>
  <c r="AY119" i="16"/>
  <c r="S119" i="16"/>
  <c r="BS119" i="16"/>
  <c r="AP119" i="16"/>
  <c r="E119" i="16"/>
  <c r="BN119" i="16"/>
  <c r="BV71" i="16"/>
  <c r="K10" i="16"/>
  <c r="BD10" i="16"/>
  <c r="BY10" i="16"/>
  <c r="CW10" i="16"/>
  <c r="AH34" i="16"/>
  <c r="CZ34" i="16"/>
  <c r="BW71" i="16"/>
  <c r="CQ110" i="16"/>
  <c r="CE110" i="16"/>
  <c r="BS110" i="16"/>
  <c r="BG110" i="16"/>
  <c r="AU110" i="16"/>
  <c r="AI110" i="16"/>
  <c r="W110" i="16"/>
  <c r="K110" i="16"/>
  <c r="CP110" i="16"/>
  <c r="CD110" i="16"/>
  <c r="BR110" i="16"/>
  <c r="BF110" i="16"/>
  <c r="AT110" i="16"/>
  <c r="AH110" i="16"/>
  <c r="V110" i="16"/>
  <c r="J110" i="16"/>
  <c r="CY110" i="16"/>
  <c r="CK110" i="16"/>
  <c r="BW110" i="16"/>
  <c r="BI110" i="16"/>
  <c r="AS110" i="16"/>
  <c r="AE110" i="16"/>
  <c r="Q110" i="16"/>
  <c r="C110" i="16"/>
  <c r="CX110" i="16"/>
  <c r="CJ110" i="16"/>
  <c r="BV110" i="16"/>
  <c r="BH110" i="16"/>
  <c r="AR110" i="16"/>
  <c r="AD110" i="16"/>
  <c r="P110" i="16"/>
  <c r="CL110" i="16"/>
  <c r="BT110" i="16"/>
  <c r="BB110" i="16"/>
  <c r="AL110" i="16"/>
  <c r="T110" i="16"/>
  <c r="D110" i="16"/>
  <c r="CZ110" i="16"/>
  <c r="CH110" i="16"/>
  <c r="BP110" i="16"/>
  <c r="AZ110" i="16"/>
  <c r="AJ110" i="16"/>
  <c r="R110" i="16"/>
  <c r="CV110" i="16"/>
  <c r="CF110" i="16"/>
  <c r="BN110" i="16"/>
  <c r="AX110" i="16"/>
  <c r="AF110" i="16"/>
  <c r="N110" i="16"/>
  <c r="CS110" i="16"/>
  <c r="BX110" i="16"/>
  <c r="AY110" i="16"/>
  <c r="AA110" i="16"/>
  <c r="F110" i="16"/>
  <c r="CR110" i="16"/>
  <c r="BU110" i="16"/>
  <c r="AW110" i="16"/>
  <c r="Z110" i="16"/>
  <c r="E110" i="16"/>
  <c r="CO110" i="16"/>
  <c r="BQ110" i="16"/>
  <c r="AV110" i="16"/>
  <c r="Y110" i="16"/>
  <c r="CN110" i="16"/>
  <c r="BO110" i="16"/>
  <c r="AQ110" i="16"/>
  <c r="X110" i="16"/>
  <c r="CB110" i="16"/>
  <c r="AP110" i="16"/>
  <c r="L110" i="16"/>
  <c r="CA110" i="16"/>
  <c r="AO110" i="16"/>
  <c r="I110" i="16"/>
  <c r="BZ110" i="16"/>
  <c r="AN110" i="16"/>
  <c r="H110" i="16"/>
  <c r="BY110" i="16"/>
  <c r="AM110" i="16"/>
  <c r="G110" i="16"/>
  <c r="CU110" i="16"/>
  <c r="BK110" i="16"/>
  <c r="AC110" i="16"/>
  <c r="AK110" i="16"/>
  <c r="CT110" i="16"/>
  <c r="AJ10" i="16"/>
  <c r="CA10" i="16"/>
  <c r="O20" i="16"/>
  <c r="AK20" i="16"/>
  <c r="CV20" i="16"/>
  <c r="M34" i="16"/>
  <c r="CE34" i="16"/>
  <c r="AS71" i="16"/>
  <c r="BX71" i="16"/>
  <c r="BA110" i="16"/>
  <c r="CW110" i="16"/>
  <c r="AK10" i="16"/>
  <c r="CD10" i="16"/>
  <c r="CY10" i="16"/>
  <c r="P20" i="16"/>
  <c r="AN20" i="16"/>
  <c r="AJ34" i="16"/>
  <c r="V47" i="16"/>
  <c r="BA47" i="16"/>
  <c r="N71" i="16"/>
  <c r="AU71" i="16"/>
  <c r="CJ71" i="16"/>
  <c r="CN95" i="16"/>
  <c r="BX95" i="16"/>
  <c r="BF95" i="16"/>
  <c r="AP95" i="16"/>
  <c r="V95" i="16"/>
  <c r="F95" i="16"/>
  <c r="CL95" i="16"/>
  <c r="BT95" i="16"/>
  <c r="BD95" i="16"/>
  <c r="AJ95" i="16"/>
  <c r="T95" i="16"/>
  <c r="D95" i="16"/>
  <c r="CZ95" i="16"/>
  <c r="CJ95" i="16"/>
  <c r="BR95" i="16"/>
  <c r="AZ95" i="16"/>
  <c r="AH95" i="16"/>
  <c r="R95" i="16"/>
  <c r="CX95" i="16"/>
  <c r="CA95" i="16"/>
  <c r="BE95" i="16"/>
  <c r="AF95" i="16"/>
  <c r="K95" i="16"/>
  <c r="CW95" i="16"/>
  <c r="BZ95" i="16"/>
  <c r="BC95" i="16"/>
  <c r="AE95" i="16"/>
  <c r="H95" i="16"/>
  <c r="CV95" i="16"/>
  <c r="BY95" i="16"/>
  <c r="AY95" i="16"/>
  <c r="AD95" i="16"/>
  <c r="G95" i="16"/>
  <c r="CU95" i="16"/>
  <c r="BW95" i="16"/>
  <c r="AV95" i="16"/>
  <c r="AC95" i="16"/>
  <c r="E95" i="16"/>
  <c r="CI95" i="16"/>
  <c r="AU95" i="16"/>
  <c r="Q95" i="16"/>
  <c r="CF95" i="16"/>
  <c r="AT95" i="16"/>
  <c r="P95" i="16"/>
  <c r="CE95" i="16"/>
  <c r="AS95" i="16"/>
  <c r="O95" i="16"/>
  <c r="CB95" i="16"/>
  <c r="AR95" i="16"/>
  <c r="L95" i="16"/>
  <c r="BG95" i="16"/>
  <c r="CY95" i="16"/>
  <c r="BC110" i="16"/>
  <c r="CW115" i="16"/>
  <c r="CK115" i="16"/>
  <c r="BY115" i="16"/>
  <c r="BM115" i="16"/>
  <c r="BA115" i="16"/>
  <c r="AO115" i="16"/>
  <c r="AC115" i="16"/>
  <c r="Q115" i="16"/>
  <c r="E115" i="16"/>
  <c r="CV115" i="16"/>
  <c r="CJ115" i="16"/>
  <c r="BX115" i="16"/>
  <c r="BL115" i="16"/>
  <c r="AZ115" i="16"/>
  <c r="AN115" i="16"/>
  <c r="AB115" i="16"/>
  <c r="P115" i="16"/>
  <c r="D115" i="16"/>
  <c r="CY115" i="16"/>
  <c r="CI115" i="16"/>
  <c r="BU115" i="16"/>
  <c r="BG115" i="16"/>
  <c r="AS115" i="16"/>
  <c r="AE115" i="16"/>
  <c r="O115" i="16"/>
  <c r="CX115" i="16"/>
  <c r="CH115" i="16"/>
  <c r="BT115" i="16"/>
  <c r="BF115" i="16"/>
  <c r="AR115" i="16"/>
  <c r="AD115" i="16"/>
  <c r="N115" i="16"/>
  <c r="CN115" i="16"/>
  <c r="BV115" i="16"/>
  <c r="BD115" i="16"/>
  <c r="AL115" i="16"/>
  <c r="V115" i="16"/>
  <c r="F115" i="16"/>
  <c r="CL115" i="16"/>
  <c r="BR115" i="16"/>
  <c r="BB115" i="16"/>
  <c r="AJ115" i="16"/>
  <c r="T115" i="16"/>
  <c r="CZ115" i="16"/>
  <c r="CF115" i="16"/>
  <c r="BP115" i="16"/>
  <c r="AX115" i="16"/>
  <c r="AH115" i="16"/>
  <c r="R115" i="16"/>
  <c r="CG115" i="16"/>
  <c r="BK115" i="16"/>
  <c r="AP115" i="16"/>
  <c r="S115" i="16"/>
  <c r="CE115" i="16"/>
  <c r="BJ115" i="16"/>
  <c r="AM115" i="16"/>
  <c r="M115" i="16"/>
  <c r="CD115" i="16"/>
  <c r="BI115" i="16"/>
  <c r="AK115" i="16"/>
  <c r="L115" i="16"/>
  <c r="CC115" i="16"/>
  <c r="BH115" i="16"/>
  <c r="AI115" i="16"/>
  <c r="K115" i="16"/>
  <c r="CB115" i="16"/>
  <c r="AV115" i="16"/>
  <c r="J115" i="16"/>
  <c r="CA115" i="16"/>
  <c r="AU115" i="16"/>
  <c r="I115" i="16"/>
  <c r="BZ115" i="16"/>
  <c r="AT115" i="16"/>
  <c r="H115" i="16"/>
  <c r="BW115" i="16"/>
  <c r="AQ115" i="16"/>
  <c r="G115" i="16"/>
  <c r="CS115" i="16"/>
  <c r="BO115" i="16"/>
  <c r="AA115" i="16"/>
  <c r="C115" i="16"/>
  <c r="BN115" i="16"/>
  <c r="AO10" i="16"/>
  <c r="CE10" i="16"/>
  <c r="AR20" i="16"/>
  <c r="R34" i="16"/>
  <c r="AK34" i="16"/>
  <c r="W47" i="16"/>
  <c r="BB47" i="16"/>
  <c r="CX53" i="16"/>
  <c r="CF53" i="16"/>
  <c r="BJ53" i="16"/>
  <c r="AS53" i="16"/>
  <c r="W53" i="16"/>
  <c r="F53" i="16"/>
  <c r="CV53" i="16"/>
  <c r="CE53" i="16"/>
  <c r="BI53" i="16"/>
  <c r="AR53" i="16"/>
  <c r="V53" i="16"/>
  <c r="E53" i="16"/>
  <c r="AX53" i="16"/>
  <c r="AV71" i="16"/>
  <c r="CC88" i="16"/>
  <c r="BB88" i="16"/>
  <c r="R88" i="16"/>
  <c r="CW88" i="16"/>
  <c r="CQ99" i="16"/>
  <c r="CE99" i="16"/>
  <c r="BS99" i="16"/>
  <c r="BG99" i="16"/>
  <c r="AU99" i="16"/>
  <c r="AI99" i="16"/>
  <c r="W99" i="16"/>
  <c r="K99" i="16"/>
  <c r="CP99" i="16"/>
  <c r="CD99" i="16"/>
  <c r="BR99" i="16"/>
  <c r="BF99" i="16"/>
  <c r="AT99" i="16"/>
  <c r="AH99" i="16"/>
  <c r="V99" i="16"/>
  <c r="J99" i="16"/>
  <c r="CU99" i="16"/>
  <c r="CG99" i="16"/>
  <c r="BQ99" i="16"/>
  <c r="BC99" i="16"/>
  <c r="AO99" i="16"/>
  <c r="AA99" i="16"/>
  <c r="M99" i="16"/>
  <c r="CT99" i="16"/>
  <c r="CF99" i="16"/>
  <c r="BP99" i="16"/>
  <c r="BB99" i="16"/>
  <c r="AN99" i="16"/>
  <c r="Z99" i="16"/>
  <c r="L99" i="16"/>
  <c r="CS99" i="16"/>
  <c r="CA99" i="16"/>
  <c r="BK99" i="16"/>
  <c r="AS99" i="16"/>
  <c r="AC99" i="16"/>
  <c r="I99" i="16"/>
  <c r="CO99" i="16"/>
  <c r="BY99" i="16"/>
  <c r="BI99" i="16"/>
  <c r="AQ99" i="16"/>
  <c r="Y99" i="16"/>
  <c r="G99" i="16"/>
  <c r="CM99" i="16"/>
  <c r="BW99" i="16"/>
  <c r="BE99" i="16"/>
  <c r="AM99" i="16"/>
  <c r="U99" i="16"/>
  <c r="E99" i="16"/>
  <c r="CV99" i="16"/>
  <c r="BV99" i="16"/>
  <c r="AY99" i="16"/>
  <c r="AD99" i="16"/>
  <c r="D99" i="16"/>
  <c r="CR99" i="16"/>
  <c r="BU99" i="16"/>
  <c r="AX99" i="16"/>
  <c r="AB99" i="16"/>
  <c r="C99" i="16"/>
  <c r="CN99" i="16"/>
  <c r="BT99" i="16"/>
  <c r="AW99" i="16"/>
  <c r="X99" i="16"/>
  <c r="CL99" i="16"/>
  <c r="BO99" i="16"/>
  <c r="AV99" i="16"/>
  <c r="T99" i="16"/>
  <c r="CX99" i="16"/>
  <c r="BL99" i="16"/>
  <c r="AF99" i="16"/>
  <c r="CW99" i="16"/>
  <c r="BJ99" i="16"/>
  <c r="AE99" i="16"/>
  <c r="CK99" i="16"/>
  <c r="BH99" i="16"/>
  <c r="S99" i="16"/>
  <c r="CJ99" i="16"/>
  <c r="BD99" i="16"/>
  <c r="R99" i="16"/>
  <c r="O99" i="16"/>
  <c r="BN99" i="16"/>
  <c r="BD110" i="16"/>
  <c r="U115" i="16"/>
  <c r="BQ115" i="16"/>
  <c r="U10" i="16"/>
  <c r="BI10" i="16"/>
  <c r="CY20" i="16"/>
  <c r="CM20" i="16"/>
  <c r="CA20" i="16"/>
  <c r="BO20" i="16"/>
  <c r="BC20" i="16"/>
  <c r="AQ20" i="16"/>
  <c r="AE20" i="16"/>
  <c r="S20" i="16"/>
  <c r="G20" i="16"/>
  <c r="CX20" i="16"/>
  <c r="CL20" i="16"/>
  <c r="BZ20" i="16"/>
  <c r="BN20" i="16"/>
  <c r="BB20" i="16"/>
  <c r="AP20" i="16"/>
  <c r="AD20" i="16"/>
  <c r="R20" i="16"/>
  <c r="F20" i="16"/>
  <c r="CW20" i="16"/>
  <c r="CK20" i="16"/>
  <c r="BY20" i="16"/>
  <c r="BM20" i="16"/>
  <c r="BA20" i="16"/>
  <c r="AO20" i="16"/>
  <c r="AC20" i="16"/>
  <c r="Q20" i="16"/>
  <c r="E20" i="16"/>
  <c r="CI20" i="16"/>
  <c r="BT20" i="16"/>
  <c r="BE20" i="16"/>
  <c r="AM20" i="16"/>
  <c r="X20" i="16"/>
  <c r="I20" i="16"/>
  <c r="CZ20" i="16"/>
  <c r="CH20" i="16"/>
  <c r="BS20" i="16"/>
  <c r="BD20" i="16"/>
  <c r="AL20" i="16"/>
  <c r="W20" i="16"/>
  <c r="H20" i="16"/>
  <c r="CU20" i="16"/>
  <c r="CF20" i="16"/>
  <c r="BQ20" i="16"/>
  <c r="AY20" i="16"/>
  <c r="AJ20" i="16"/>
  <c r="U20" i="16"/>
  <c r="C20" i="16"/>
  <c r="V20" i="16"/>
  <c r="AS20" i="16"/>
  <c r="CG20" i="16"/>
  <c r="S34" i="16"/>
  <c r="CK34" i="16"/>
  <c r="AE47" i="16"/>
  <c r="BF49" i="16"/>
  <c r="U53" i="16"/>
  <c r="BZ53" i="16"/>
  <c r="CN79" i="16"/>
  <c r="BL79" i="16"/>
  <c r="AN79" i="16"/>
  <c r="K79" i="16"/>
  <c r="BY79" i="16"/>
  <c r="J88" i="16"/>
  <c r="BQ88" i="16"/>
  <c r="BK95" i="16"/>
  <c r="P99" i="16"/>
  <c r="BX99" i="16"/>
  <c r="BE110" i="16"/>
  <c r="W115" i="16"/>
  <c r="BS115" i="16"/>
  <c r="V10" i="16"/>
  <c r="BO10" i="16"/>
  <c r="AT20" i="16"/>
  <c r="CJ20" i="16"/>
  <c r="Q24" i="16"/>
  <c r="BG24" i="16"/>
  <c r="CB24" i="16"/>
  <c r="T34" i="16"/>
  <c r="AT34" i="16"/>
  <c r="CP34" i="16"/>
  <c r="K40" i="16"/>
  <c r="AO40" i="16"/>
  <c r="CO40" i="16"/>
  <c r="E47" i="16"/>
  <c r="AF47" i="16"/>
  <c r="CF47" i="16"/>
  <c r="C49" i="16"/>
  <c r="AI49" i="16"/>
  <c r="BG49" i="16"/>
  <c r="CI49" i="16"/>
  <c r="F10" i="16"/>
  <c r="X10" i="16"/>
  <c r="AT10" i="16"/>
  <c r="CL10" i="16"/>
  <c r="D20" i="16"/>
  <c r="AA20" i="16"/>
  <c r="BR20" i="16"/>
  <c r="CO20" i="16"/>
  <c r="S24" i="16"/>
  <c r="AQ24" i="16"/>
  <c r="BI24" i="16"/>
  <c r="CD24" i="16"/>
  <c r="V34" i="16"/>
  <c r="BR34" i="16"/>
  <c r="CR34" i="16"/>
  <c r="T40" i="16"/>
  <c r="AQ40" i="16"/>
  <c r="BS40" i="16"/>
  <c r="CQ40" i="16"/>
  <c r="G47" i="16"/>
  <c r="AH47" i="16"/>
  <c r="CL47" i="16"/>
  <c r="I49" i="16"/>
  <c r="AK49" i="16"/>
  <c r="BI49" i="16"/>
  <c r="CO49" i="16"/>
  <c r="BG53" i="16"/>
  <c r="CL53" i="16"/>
  <c r="CZ71" i="16"/>
  <c r="BK71" i="16"/>
  <c r="CP71" i="16"/>
  <c r="AU79" i="16"/>
  <c r="CB79" i="16"/>
  <c r="BT88" i="16"/>
  <c r="BN95" i="16"/>
  <c r="AJ99" i="16"/>
  <c r="O110" i="16"/>
  <c r="BM110" i="16"/>
  <c r="Z115" i="16"/>
  <c r="CP115" i="16"/>
  <c r="G10" i="16"/>
  <c r="Y10" i="16"/>
  <c r="AW10" i="16"/>
  <c r="BR10" i="16"/>
  <c r="J20" i="16"/>
  <c r="AB20" i="16"/>
  <c r="AW20" i="16"/>
  <c r="BU20" i="16"/>
  <c r="CP20" i="16"/>
  <c r="U24" i="16"/>
  <c r="AR24" i="16"/>
  <c r="BM24" i="16"/>
  <c r="S27" i="16"/>
  <c r="AS27" i="16"/>
  <c r="BO27" i="16"/>
  <c r="CO27" i="16"/>
  <c r="W34" i="16"/>
  <c r="AW34" i="16"/>
  <c r="BS34" i="16"/>
  <c r="CS34" i="16"/>
  <c r="U40" i="16"/>
  <c r="AR40" i="16"/>
  <c r="BT40" i="16"/>
  <c r="CR40" i="16"/>
  <c r="L47" i="16"/>
  <c r="AI47" i="16"/>
  <c r="BO47" i="16"/>
  <c r="CM47" i="16"/>
  <c r="N49" i="16"/>
  <c r="AL49" i="16"/>
  <c r="BR49" i="16"/>
  <c r="CP49" i="16"/>
  <c r="AH53" i="16"/>
  <c r="BH53" i="16"/>
  <c r="CM53" i="16"/>
  <c r="CT71" i="16"/>
  <c r="CG71" i="16"/>
  <c r="BT71" i="16"/>
  <c r="BG71" i="16"/>
  <c r="AT71" i="16"/>
  <c r="AG71" i="16"/>
  <c r="T71" i="16"/>
  <c r="G71" i="16"/>
  <c r="CR71" i="16"/>
  <c r="CE71" i="16"/>
  <c r="BR71" i="16"/>
  <c r="BE71" i="16"/>
  <c r="AR71" i="16"/>
  <c r="AE71" i="16"/>
  <c r="Q71" i="16"/>
  <c r="D71" i="16"/>
  <c r="CI71" i="16"/>
  <c r="BS71" i="16"/>
  <c r="BC71" i="16"/>
  <c r="AM71" i="16"/>
  <c r="X71" i="16"/>
  <c r="I71" i="16"/>
  <c r="CX71" i="16"/>
  <c r="CH71" i="16"/>
  <c r="BQ71" i="16"/>
  <c r="BA71" i="16"/>
  <c r="AL71" i="16"/>
  <c r="W71" i="16"/>
  <c r="H71" i="16"/>
  <c r="CW71" i="16"/>
  <c r="CF71" i="16"/>
  <c r="BP71" i="16"/>
  <c r="AZ71" i="16"/>
  <c r="AK71" i="16"/>
  <c r="V71" i="16"/>
  <c r="E71" i="16"/>
  <c r="CU71" i="16"/>
  <c r="CD71" i="16"/>
  <c r="BO71" i="16"/>
  <c r="AY71" i="16"/>
  <c r="AJ71" i="16"/>
  <c r="U71" i="16"/>
  <c r="C71" i="16"/>
  <c r="CC71" i="16"/>
  <c r="BI71" i="16"/>
  <c r="AI71" i="16"/>
  <c r="M71" i="16"/>
  <c r="BF71" i="16"/>
  <c r="CB71" i="16"/>
  <c r="BH71" i="16"/>
  <c r="AH71" i="16"/>
  <c r="L71" i="16"/>
  <c r="CA71" i="16"/>
  <c r="AF71" i="16"/>
  <c r="K71" i="16"/>
  <c r="BY71" i="16"/>
  <c r="BD71" i="16"/>
  <c r="AC71" i="16"/>
  <c r="J71" i="16"/>
  <c r="AA71" i="16"/>
  <c r="BL71" i="16"/>
  <c r="CQ71" i="16"/>
  <c r="H79" i="16"/>
  <c r="AV79" i="16"/>
  <c r="CC79" i="16"/>
  <c r="AG88" i="16"/>
  <c r="BU88" i="16"/>
  <c r="AA95" i="16"/>
  <c r="BQ95" i="16"/>
  <c r="AK99" i="16"/>
  <c r="CH99" i="16"/>
  <c r="S110" i="16"/>
  <c r="CC110" i="16"/>
  <c r="AF115" i="16"/>
  <c r="CQ115" i="16"/>
  <c r="BP119" i="16"/>
  <c r="AO71" i="16"/>
  <c r="H34" i="16"/>
  <c r="CD34" i="16"/>
  <c r="M10" i="16"/>
  <c r="CX10" i="16"/>
  <c r="BH20" i="16"/>
  <c r="AI34" i="16"/>
  <c r="S10" i="16"/>
  <c r="CD20" i="16"/>
  <c r="CF34" i="16"/>
  <c r="BY47" i="16"/>
  <c r="X49" i="16"/>
  <c r="CB49" i="16"/>
  <c r="BG10" i="16"/>
  <c r="CG34" i="16"/>
  <c r="BZ47" i="16"/>
  <c r="Y49" i="16"/>
  <c r="T53" i="16"/>
  <c r="O71" i="16"/>
  <c r="I88" i="16"/>
  <c r="AP10" i="16"/>
  <c r="BK20" i="16"/>
  <c r="AO34" i="16"/>
  <c r="AW71" i="16"/>
  <c r="CM71" i="16"/>
  <c r="AF79" i="16"/>
  <c r="CG10" i="16"/>
  <c r="Y20" i="16"/>
  <c r="CW24" i="16"/>
  <c r="CE24" i="16"/>
  <c r="BP24" i="16"/>
  <c r="BA24" i="16"/>
  <c r="AI24" i="16"/>
  <c r="T24" i="16"/>
  <c r="E24" i="16"/>
  <c r="BP34" i="16"/>
  <c r="AV20" i="16"/>
  <c r="BF47" i="16"/>
  <c r="AG53" i="16"/>
  <c r="G79" i="16"/>
  <c r="AE88" i="16"/>
  <c r="U95" i="16"/>
  <c r="CC99" i="16"/>
  <c r="CV10" i="16"/>
  <c r="CJ10" i="16"/>
  <c r="BX10" i="16"/>
  <c r="BL10" i="16"/>
  <c r="AZ10" i="16"/>
  <c r="AN10" i="16"/>
  <c r="AB10" i="16"/>
  <c r="P10" i="16"/>
  <c r="D10" i="16"/>
  <c r="CU10" i="16"/>
  <c r="CI10" i="16"/>
  <c r="BW10" i="16"/>
  <c r="BK10" i="16"/>
  <c r="AY10" i="16"/>
  <c r="AM10" i="16"/>
  <c r="AA10" i="16"/>
  <c r="O10" i="16"/>
  <c r="C10" i="16"/>
  <c r="CT10" i="16"/>
  <c r="CH10" i="16"/>
  <c r="BV10" i="16"/>
  <c r="BJ10" i="16"/>
  <c r="AX10" i="16"/>
  <c r="AL10" i="16"/>
  <c r="Z10" i="16"/>
  <c r="N10" i="16"/>
  <c r="CR10" i="16"/>
  <c r="CC10" i="16"/>
  <c r="BN10" i="16"/>
  <c r="AV10" i="16"/>
  <c r="AG10" i="16"/>
  <c r="R10" i="16"/>
  <c r="CQ10" i="16"/>
  <c r="CB10" i="16"/>
  <c r="BM10" i="16"/>
  <c r="AU10" i="16"/>
  <c r="AF10" i="16"/>
  <c r="Q10" i="16"/>
  <c r="CO10" i="16"/>
  <c r="BZ10" i="16"/>
  <c r="BH10" i="16"/>
  <c r="AS10" i="16"/>
  <c r="AD10" i="16"/>
  <c r="L10" i="16"/>
  <c r="H10" i="16"/>
  <c r="AC10" i="16"/>
  <c r="BA10" i="16"/>
  <c r="BS10" i="16"/>
  <c r="CN10" i="16"/>
  <c r="K20" i="16"/>
  <c r="AF20" i="16"/>
  <c r="AX20" i="16"/>
  <c r="BV20" i="16"/>
  <c r="CQ20" i="16"/>
  <c r="X24" i="16"/>
  <c r="AS24" i="16"/>
  <c r="BN24" i="16"/>
  <c r="CL24" i="16"/>
  <c r="T27" i="16"/>
  <c r="AT27" i="16"/>
  <c r="BP27" i="16"/>
  <c r="CP27" i="16"/>
  <c r="E34" i="16"/>
  <c r="AE34" i="16"/>
  <c r="BA34" i="16"/>
  <c r="CA34" i="16"/>
  <c r="CW34" i="16"/>
  <c r="V40" i="16"/>
  <c r="AS40" i="16"/>
  <c r="BY40" i="16"/>
  <c r="CS40" i="16"/>
  <c r="Q47" i="16"/>
  <c r="AJ47" i="16"/>
  <c r="BP47" i="16"/>
  <c r="CN47" i="16"/>
  <c r="O49" i="16"/>
  <c r="AM49" i="16"/>
  <c r="BS49" i="16"/>
  <c r="CQ49" i="16"/>
  <c r="I53" i="16"/>
  <c r="AI53" i="16"/>
  <c r="BR53" i="16"/>
  <c r="CR53" i="16"/>
  <c r="AB71" i="16"/>
  <c r="BM71" i="16"/>
  <c r="CS71" i="16"/>
  <c r="I79" i="16"/>
  <c r="AX79" i="16"/>
  <c r="CE79" i="16"/>
  <c r="AI88" i="16"/>
  <c r="BV88" i="16"/>
  <c r="AB95" i="16"/>
  <c r="BS95" i="16"/>
  <c r="AL99" i="16"/>
  <c r="CI99" i="16"/>
  <c r="U110" i="16"/>
  <c r="CG110" i="16"/>
  <c r="AG115" i="16"/>
  <c r="CR115" i="16"/>
  <c r="F119" i="16"/>
  <c r="BQ119" i="16"/>
  <c r="CV37" i="16"/>
  <c r="CJ37" i="16"/>
  <c r="BX37" i="16"/>
  <c r="BL37" i="16"/>
  <c r="AZ37" i="16"/>
  <c r="AN37" i="16"/>
  <c r="AB37" i="16"/>
  <c r="P37" i="16"/>
  <c r="D37" i="16"/>
  <c r="CU37" i="16"/>
  <c r="CI37" i="16"/>
  <c r="BW37" i="16"/>
  <c r="BK37" i="16"/>
  <c r="AY37" i="16"/>
  <c r="AM37" i="16"/>
  <c r="AA37" i="16"/>
  <c r="O37" i="16"/>
  <c r="C37" i="16"/>
  <c r="CT37" i="16"/>
  <c r="CH37" i="16"/>
  <c r="BV37" i="16"/>
  <c r="BJ37" i="16"/>
  <c r="AX37" i="16"/>
  <c r="AL37" i="16"/>
  <c r="Z37" i="16"/>
  <c r="N37" i="16"/>
  <c r="K37" i="16"/>
  <c r="AC37" i="16"/>
  <c r="AR37" i="16"/>
  <c r="BG37" i="16"/>
  <c r="BY37" i="16"/>
  <c r="CN37" i="16"/>
  <c r="K59" i="16"/>
  <c r="AI59" i="16"/>
  <c r="BA59" i="16"/>
  <c r="BY59" i="16"/>
  <c r="CT59" i="16"/>
  <c r="CS79" i="16"/>
  <c r="CG79" i="16"/>
  <c r="BU79" i="16"/>
  <c r="BI79" i="16"/>
  <c r="AW79" i="16"/>
  <c r="AK79" i="16"/>
  <c r="Y79" i="16"/>
  <c r="M79" i="16"/>
  <c r="CQ79" i="16"/>
  <c r="CD79" i="16"/>
  <c r="BQ79" i="16"/>
  <c r="BD79" i="16"/>
  <c r="AQ79" i="16"/>
  <c r="AD79" i="16"/>
  <c r="Q79" i="16"/>
  <c r="D79" i="16"/>
  <c r="CW79" i="16"/>
  <c r="CI79" i="16"/>
  <c r="BT79" i="16"/>
  <c r="BF79" i="16"/>
  <c r="AR79" i="16"/>
  <c r="AC79" i="16"/>
  <c r="O79" i="16"/>
  <c r="CU79" i="16"/>
  <c r="CF79" i="16"/>
  <c r="BR79" i="16"/>
  <c r="BC79" i="16"/>
  <c r="AO79" i="16"/>
  <c r="AA79" i="16"/>
  <c r="L79" i="16"/>
  <c r="CM79" i="16"/>
  <c r="BW79" i="16"/>
  <c r="BE79" i="16"/>
  <c r="AM79" i="16"/>
  <c r="V79" i="16"/>
  <c r="F79" i="16"/>
  <c r="CL79" i="16"/>
  <c r="BV79" i="16"/>
  <c r="BB79" i="16"/>
  <c r="AL79" i="16"/>
  <c r="U79" i="16"/>
  <c r="E79" i="16"/>
  <c r="CK79" i="16"/>
  <c r="BS79" i="16"/>
  <c r="BA79" i="16"/>
  <c r="AJ79" i="16"/>
  <c r="T79" i="16"/>
  <c r="C79" i="16"/>
  <c r="CZ79" i="16"/>
  <c r="CJ79" i="16"/>
  <c r="BP79" i="16"/>
  <c r="AZ79" i="16"/>
  <c r="AI79" i="16"/>
  <c r="S79" i="16"/>
  <c r="J79" i="16"/>
  <c r="AH79" i="16"/>
  <c r="BK79" i="16"/>
  <c r="CH79" i="16"/>
  <c r="CV88" i="16"/>
  <c r="CJ88" i="16"/>
  <c r="BX88" i="16"/>
  <c r="BL88" i="16"/>
  <c r="AZ88" i="16"/>
  <c r="AN88" i="16"/>
  <c r="AB88" i="16"/>
  <c r="P88" i="16"/>
  <c r="D88" i="16"/>
  <c r="CN88" i="16"/>
  <c r="CA88" i="16"/>
  <c r="BN88" i="16"/>
  <c r="BA88" i="16"/>
  <c r="AM88" i="16"/>
  <c r="Z88" i="16"/>
  <c r="M88" i="16"/>
  <c r="CM88" i="16"/>
  <c r="BZ88" i="16"/>
  <c r="BM88" i="16"/>
  <c r="AY88" i="16"/>
  <c r="AL88" i="16"/>
  <c r="Y88" i="16"/>
  <c r="L88" i="16"/>
  <c r="CS88" i="16"/>
  <c r="CD88" i="16"/>
  <c r="BO88" i="16"/>
  <c r="AW88" i="16"/>
  <c r="AH88" i="16"/>
  <c r="S88" i="16"/>
  <c r="C88" i="16"/>
  <c r="CQ88" i="16"/>
  <c r="CB88" i="16"/>
  <c r="BJ88" i="16"/>
  <c r="AU88" i="16"/>
  <c r="AF88" i="16"/>
  <c r="Q88" i="16"/>
  <c r="CO88" i="16"/>
  <c r="BW88" i="16"/>
  <c r="BH88" i="16"/>
  <c r="AS88" i="16"/>
  <c r="AD88" i="16"/>
  <c r="N88" i="16"/>
  <c r="CH88" i="16"/>
  <c r="BP88" i="16"/>
  <c r="AR88" i="16"/>
  <c r="W88" i="16"/>
  <c r="E88" i="16"/>
  <c r="CG88" i="16"/>
  <c r="BK88" i="16"/>
  <c r="AQ88" i="16"/>
  <c r="V88" i="16"/>
  <c r="CY88" i="16"/>
  <c r="CF88" i="16"/>
  <c r="BI88" i="16"/>
  <c r="AP88" i="16"/>
  <c r="U88" i="16"/>
  <c r="CX88" i="16"/>
  <c r="CE88" i="16"/>
  <c r="BG88" i="16"/>
  <c r="AO88" i="16"/>
  <c r="T88" i="16"/>
  <c r="O88" i="16"/>
  <c r="AX88" i="16"/>
  <c r="BY88" i="16"/>
  <c r="U92" i="16"/>
  <c r="BE92" i="16"/>
  <c r="L59" i="16"/>
  <c r="AJ59" i="16"/>
  <c r="BC59" i="16"/>
  <c r="CA59" i="16"/>
  <c r="CU59" i="16"/>
  <c r="CM92" i="16"/>
  <c r="BY92" i="16"/>
  <c r="BK92" i="16"/>
  <c r="AU92" i="16"/>
  <c r="AG92" i="16"/>
  <c r="S92" i="16"/>
  <c r="E92" i="16"/>
  <c r="CX92" i="16"/>
  <c r="CF92" i="16"/>
  <c r="BP92" i="16"/>
  <c r="AZ92" i="16"/>
  <c r="AF92" i="16"/>
  <c r="P92" i="16"/>
  <c r="CV92" i="16"/>
  <c r="CD92" i="16"/>
  <c r="BN92" i="16"/>
  <c r="AT92" i="16"/>
  <c r="AD92" i="16"/>
  <c r="L92" i="16"/>
  <c r="CR92" i="16"/>
  <c r="CB92" i="16"/>
  <c r="BH92" i="16"/>
  <c r="AR92" i="16"/>
  <c r="AB92" i="16"/>
  <c r="J92" i="16"/>
  <c r="CY92" i="16"/>
  <c r="CA92" i="16"/>
  <c r="BD92" i="16"/>
  <c r="AI92" i="16"/>
  <c r="I92" i="16"/>
  <c r="CW92" i="16"/>
  <c r="BX92" i="16"/>
  <c r="BC92" i="16"/>
  <c r="AE92" i="16"/>
  <c r="H92" i="16"/>
  <c r="CU92" i="16"/>
  <c r="BW92" i="16"/>
  <c r="BB92" i="16"/>
  <c r="AC92" i="16"/>
  <c r="G92" i="16"/>
  <c r="CQ92" i="16"/>
  <c r="BT92" i="16"/>
  <c r="BA92" i="16"/>
  <c r="AA92" i="16"/>
  <c r="D92" i="16"/>
  <c r="V92" i="16"/>
  <c r="BF92" i="16"/>
  <c r="CL92" i="16"/>
  <c r="G24" i="16"/>
  <c r="V24" i="16"/>
  <c r="AK24" i="16"/>
  <c r="BC24" i="16"/>
  <c r="BR24" i="16"/>
  <c r="CG24" i="16"/>
  <c r="CV34" i="16"/>
  <c r="CJ34" i="16"/>
  <c r="BX34" i="16"/>
  <c r="BL34" i="16"/>
  <c r="AZ34" i="16"/>
  <c r="AN34" i="16"/>
  <c r="AB34" i="16"/>
  <c r="P34" i="16"/>
  <c r="D34" i="16"/>
  <c r="CU34" i="16"/>
  <c r="CI34" i="16"/>
  <c r="BW34" i="16"/>
  <c r="BK34" i="16"/>
  <c r="AY34" i="16"/>
  <c r="AM34" i="16"/>
  <c r="AA34" i="16"/>
  <c r="O34" i="16"/>
  <c r="C34" i="16"/>
  <c r="CT34" i="16"/>
  <c r="CH34" i="16"/>
  <c r="BV34" i="16"/>
  <c r="BJ34" i="16"/>
  <c r="AX34" i="16"/>
  <c r="AL34" i="16"/>
  <c r="Z34" i="16"/>
  <c r="N34" i="16"/>
  <c r="K34" i="16"/>
  <c r="AC34" i="16"/>
  <c r="AR34" i="16"/>
  <c r="BG34" i="16"/>
  <c r="BY34" i="16"/>
  <c r="CN34" i="16"/>
  <c r="M37" i="16"/>
  <c r="AE37" i="16"/>
  <c r="AT37" i="16"/>
  <c r="BI37" i="16"/>
  <c r="CA37" i="16"/>
  <c r="CP37" i="16"/>
  <c r="J47" i="16"/>
  <c r="AC47" i="16"/>
  <c r="AS47" i="16"/>
  <c r="BM47" i="16"/>
  <c r="CC47" i="16"/>
  <c r="G53" i="16"/>
  <c r="X53" i="16"/>
  <c r="AT53" i="16"/>
  <c r="BK53" i="16"/>
  <c r="CG53" i="16"/>
  <c r="M59" i="16"/>
  <c r="AK59" i="16"/>
  <c r="BE59" i="16"/>
  <c r="CC59" i="16"/>
  <c r="CV59" i="16"/>
  <c r="N79" i="16"/>
  <c r="AP79" i="16"/>
  <c r="BM79" i="16"/>
  <c r="CO79" i="16"/>
  <c r="X88" i="16"/>
  <c r="BC88" i="16"/>
  <c r="CI88" i="16"/>
  <c r="W92" i="16"/>
  <c r="BG92" i="16"/>
  <c r="CO92" i="16"/>
  <c r="CV24" i="16"/>
  <c r="CJ24" i="16"/>
  <c r="BX24" i="16"/>
  <c r="BL24" i="16"/>
  <c r="AZ24" i="16"/>
  <c r="AN24" i="16"/>
  <c r="AB24" i="16"/>
  <c r="P24" i="16"/>
  <c r="D24" i="16"/>
  <c r="CU24" i="16"/>
  <c r="CI24" i="16"/>
  <c r="BW24" i="16"/>
  <c r="BK24" i="16"/>
  <c r="AY24" i="16"/>
  <c r="AM24" i="16"/>
  <c r="AA24" i="16"/>
  <c r="O24" i="16"/>
  <c r="C24" i="16"/>
  <c r="CT24" i="16"/>
  <c r="CH24" i="16"/>
  <c r="BV24" i="16"/>
  <c r="BJ24" i="16"/>
  <c r="AX24" i="16"/>
  <c r="AL24" i="16"/>
  <c r="Z24" i="16"/>
  <c r="N24" i="16"/>
  <c r="H24" i="16"/>
  <c r="W24" i="16"/>
  <c r="AO24" i="16"/>
  <c r="BD24" i="16"/>
  <c r="BS24" i="16"/>
  <c r="CK24" i="16"/>
  <c r="CZ24" i="16"/>
  <c r="Q37" i="16"/>
  <c r="AF37" i="16"/>
  <c r="AU37" i="16"/>
  <c r="BM37" i="16"/>
  <c r="CB37" i="16"/>
  <c r="CQ37" i="16"/>
  <c r="CV47" i="16"/>
  <c r="CJ47" i="16"/>
  <c r="BX47" i="16"/>
  <c r="BL47" i="16"/>
  <c r="AZ47" i="16"/>
  <c r="AN47" i="16"/>
  <c r="AB47" i="16"/>
  <c r="P47" i="16"/>
  <c r="D47" i="16"/>
  <c r="CU47" i="16"/>
  <c r="CI47" i="16"/>
  <c r="BW47" i="16"/>
  <c r="BK47" i="16"/>
  <c r="AY47" i="16"/>
  <c r="AM47" i="16"/>
  <c r="AA47" i="16"/>
  <c r="O47" i="16"/>
  <c r="C47" i="16"/>
  <c r="CT47" i="16"/>
  <c r="CH47" i="16"/>
  <c r="BV47" i="16"/>
  <c r="BJ47" i="16"/>
  <c r="AX47" i="16"/>
  <c r="AL47" i="16"/>
  <c r="Z47" i="16"/>
  <c r="N47" i="16"/>
  <c r="CS47" i="16"/>
  <c r="CG47" i="16"/>
  <c r="BU47" i="16"/>
  <c r="BI47" i="16"/>
  <c r="AW47" i="16"/>
  <c r="AK47" i="16"/>
  <c r="M47" i="16"/>
  <c r="K47" i="16"/>
  <c r="AD47" i="16"/>
  <c r="AT47" i="16"/>
  <c r="BN47" i="16"/>
  <c r="CD47" i="16"/>
  <c r="CX47" i="16"/>
  <c r="CW53" i="16"/>
  <c r="CK53" i="16"/>
  <c r="BY53" i="16"/>
  <c r="BM53" i="16"/>
  <c r="BA53" i="16"/>
  <c r="AO53" i="16"/>
  <c r="AC53" i="16"/>
  <c r="Q53" i="16"/>
  <c r="CQ53" i="16"/>
  <c r="CD53" i="16"/>
  <c r="BQ53" i="16"/>
  <c r="BD53" i="16"/>
  <c r="AQ53" i="16"/>
  <c r="AD53" i="16"/>
  <c r="P53" i="16"/>
  <c r="D53" i="16"/>
  <c r="CP53" i="16"/>
  <c r="CC53" i="16"/>
  <c r="BP53" i="16"/>
  <c r="BC53" i="16"/>
  <c r="AP53" i="16"/>
  <c r="AB53" i="16"/>
  <c r="O53" i="16"/>
  <c r="C53" i="16"/>
  <c r="CO53" i="16"/>
  <c r="CB53" i="16"/>
  <c r="BO53" i="16"/>
  <c r="BB53" i="16"/>
  <c r="AN53" i="16"/>
  <c r="AA53" i="16"/>
  <c r="N53" i="16"/>
  <c r="CN53" i="16"/>
  <c r="CA53" i="16"/>
  <c r="BN53" i="16"/>
  <c r="AZ53" i="16"/>
  <c r="AM53" i="16"/>
  <c r="Z53" i="16"/>
  <c r="M53" i="16"/>
  <c r="H53" i="16"/>
  <c r="Y53" i="16"/>
  <c r="AU53" i="16"/>
  <c r="BL53" i="16"/>
  <c r="CH53" i="16"/>
  <c r="CZ53" i="16"/>
  <c r="S59" i="16"/>
  <c r="AL59" i="16"/>
  <c r="BJ59" i="16"/>
  <c r="P79" i="16"/>
  <c r="AS79" i="16"/>
  <c r="BN79" i="16"/>
  <c r="CP79" i="16"/>
  <c r="AA88" i="16"/>
  <c r="BD88" i="16"/>
  <c r="CK88" i="16"/>
  <c r="X92" i="16"/>
  <c r="BM92" i="16"/>
  <c r="CP92" i="16"/>
  <c r="CO59" i="16"/>
  <c r="CN59" i="16"/>
  <c r="CB59" i="16"/>
  <c r="BP59" i="16"/>
  <c r="BD59" i="16"/>
  <c r="AR59" i="16"/>
  <c r="AF59" i="16"/>
  <c r="T59" i="16"/>
  <c r="H59" i="16"/>
  <c r="CY59" i="16"/>
  <c r="CL59" i="16"/>
  <c r="BZ59" i="16"/>
  <c r="BN59" i="16"/>
  <c r="BB59" i="16"/>
  <c r="AP59" i="16"/>
  <c r="AD59" i="16"/>
  <c r="R59" i="16"/>
  <c r="F59" i="16"/>
  <c r="N59" i="16"/>
  <c r="AB59" i="16"/>
  <c r="AQ59" i="16"/>
  <c r="BF59" i="16"/>
  <c r="BT59" i="16"/>
  <c r="CH59" i="16"/>
  <c r="CW59" i="16"/>
  <c r="CT119" i="16"/>
  <c r="CH119" i="16"/>
  <c r="BV119" i="16"/>
  <c r="BJ119" i="16"/>
  <c r="AX119" i="16"/>
  <c r="AL119" i="16"/>
  <c r="Z119" i="16"/>
  <c r="N119" i="16"/>
  <c r="CS119" i="16"/>
  <c r="CG119" i="16"/>
  <c r="BU119" i="16"/>
  <c r="BI119" i="16"/>
  <c r="AW119" i="16"/>
  <c r="AK119" i="16"/>
  <c r="Y119" i="16"/>
  <c r="M119" i="16"/>
  <c r="CZ119" i="16"/>
  <c r="CL119" i="16"/>
  <c r="BX119" i="16"/>
  <c r="BH119" i="16"/>
  <c r="AT119" i="16"/>
  <c r="AF119" i="16"/>
  <c r="R119" i="16"/>
  <c r="D119" i="16"/>
  <c r="CY119" i="16"/>
  <c r="CK119" i="16"/>
  <c r="BW119" i="16"/>
  <c r="BG119" i="16"/>
  <c r="AS119" i="16"/>
  <c r="AE119" i="16"/>
  <c r="Q119" i="16"/>
  <c r="C119" i="16"/>
  <c r="CU119" i="16"/>
  <c r="CC119" i="16"/>
  <c r="BM119" i="16"/>
  <c r="AU119" i="16"/>
  <c r="AC119" i="16"/>
  <c r="K119" i="16"/>
  <c r="CQ119" i="16"/>
  <c r="CA119" i="16"/>
  <c r="BK119" i="16"/>
  <c r="AQ119" i="16"/>
  <c r="AA119" i="16"/>
  <c r="I119" i="16"/>
  <c r="CO119" i="16"/>
  <c r="BY119" i="16"/>
  <c r="BE119" i="16"/>
  <c r="AO119" i="16"/>
  <c r="W119" i="16"/>
  <c r="G119" i="16"/>
  <c r="J119" i="16"/>
  <c r="AH119" i="16"/>
  <c r="BC119" i="16"/>
  <c r="CB119" i="16"/>
  <c r="CX119" i="16"/>
  <c r="O59" i="16"/>
  <c r="AC59" i="16"/>
  <c r="AS59" i="16"/>
  <c r="BG59" i="16"/>
  <c r="BU59" i="16"/>
  <c r="CI59" i="16"/>
  <c r="CX59" i="16"/>
  <c r="CV81" i="16"/>
  <c r="CJ81" i="16"/>
  <c r="BX81" i="16"/>
  <c r="BL81" i="16"/>
  <c r="AZ81" i="16"/>
  <c r="AN81" i="16"/>
  <c r="AB81" i="16"/>
  <c r="P81" i="16"/>
  <c r="D81" i="16"/>
  <c r="CQ81" i="16"/>
  <c r="CD81" i="16"/>
  <c r="BQ81" i="16"/>
  <c r="BD81" i="16"/>
  <c r="AQ81" i="16"/>
  <c r="AD81" i="16"/>
  <c r="Q81" i="16"/>
  <c r="C81" i="16"/>
  <c r="CT81" i="16"/>
  <c r="CF81" i="16"/>
  <c r="BR81" i="16"/>
  <c r="BC81" i="16"/>
  <c r="AO81" i="16"/>
  <c r="Z81" i="16"/>
  <c r="CR81" i="16"/>
  <c r="CC81" i="16"/>
  <c r="BO81" i="16"/>
  <c r="BA81" i="16"/>
  <c r="AL81" i="16"/>
  <c r="X81" i="16"/>
  <c r="J81" i="16"/>
  <c r="CO81" i="16"/>
  <c r="CA81" i="16"/>
  <c r="BM81" i="16"/>
  <c r="AX81" i="16"/>
  <c r="AJ81" i="16"/>
  <c r="V81" i="16"/>
  <c r="H81" i="16"/>
  <c r="R81" i="16"/>
  <c r="AI81" i="16"/>
  <c r="BE81" i="16"/>
  <c r="BV81" i="16"/>
  <c r="CN81" i="16"/>
  <c r="L119" i="16"/>
  <c r="AI119" i="16"/>
  <c r="BD119" i="16"/>
  <c r="CD119" i="16"/>
  <c r="P59" i="16"/>
  <c r="AE59" i="16"/>
  <c r="AT59" i="16"/>
  <c r="BH59" i="16"/>
  <c r="BV59" i="16"/>
  <c r="CJ59" i="16"/>
  <c r="CZ59" i="16"/>
  <c r="O119" i="16"/>
  <c r="AJ119" i="16"/>
  <c r="BF119" i="16"/>
  <c r="CE119" i="16"/>
  <c r="C59" i="16"/>
  <c r="Q59" i="16"/>
  <c r="AG59" i="16"/>
  <c r="AU59" i="16"/>
  <c r="BI59" i="16"/>
  <c r="BW59" i="16"/>
  <c r="CK59" i="16"/>
  <c r="P119" i="16"/>
  <c r="AM119" i="16"/>
  <c r="BL119" i="16"/>
  <c r="CF119" i="16"/>
  <c r="CZ88" i="16"/>
  <c r="CT95" i="16"/>
  <c r="CH95" i="16"/>
  <c r="BV95" i="16"/>
  <c r="BJ95" i="16"/>
  <c r="AX95" i="16"/>
  <c r="AL95" i="16"/>
  <c r="Z95" i="16"/>
  <c r="N95" i="16"/>
  <c r="CS95" i="16"/>
  <c r="CG95" i="16"/>
  <c r="BU95" i="16"/>
  <c r="BI95" i="16"/>
  <c r="AW95" i="16"/>
  <c r="AK95" i="16"/>
  <c r="Y95" i="16"/>
  <c r="M95" i="16"/>
  <c r="I95" i="16"/>
  <c r="W95" i="16"/>
  <c r="AM95" i="16"/>
  <c r="BA95" i="16"/>
  <c r="BO95" i="16"/>
  <c r="CC95" i="16"/>
  <c r="CQ95" i="16"/>
  <c r="CV71" i="16"/>
  <c r="F71" i="16"/>
  <c r="R71" i="16"/>
  <c r="AD71" i="16"/>
  <c r="AP71" i="16"/>
  <c r="BB71" i="16"/>
  <c r="BN71" i="16"/>
  <c r="BZ71" i="16"/>
  <c r="CL71" i="16"/>
  <c r="CY71" i="16"/>
  <c r="CT92" i="16"/>
  <c r="CH92" i="16"/>
  <c r="BV92" i="16"/>
  <c r="BJ92" i="16"/>
  <c r="AX92" i="16"/>
  <c r="AL92" i="16"/>
  <c r="Z92" i="16"/>
  <c r="N92" i="16"/>
  <c r="CS92" i="16"/>
  <c r="CG92" i="16"/>
  <c r="BU92" i="16"/>
  <c r="BI92" i="16"/>
  <c r="AW92" i="16"/>
  <c r="AK92" i="16"/>
  <c r="Y92" i="16"/>
  <c r="M92" i="16"/>
  <c r="F92" i="16"/>
  <c r="T92" i="16"/>
  <c r="AH92" i="16"/>
  <c r="AV92" i="16"/>
  <c r="BL92" i="16"/>
  <c r="BZ92" i="16"/>
  <c r="CN92" i="16"/>
  <c r="J95" i="16"/>
  <c r="X95" i="16"/>
  <c r="AN95" i="16"/>
  <c r="BB95" i="16"/>
  <c r="BP95" i="16"/>
  <c r="CD95" i="16"/>
  <c r="CR95" i="16"/>
  <c r="P20" i="15"/>
  <c r="CA20" i="15"/>
  <c r="Z24" i="15"/>
  <c r="CT24" i="15"/>
  <c r="BR37" i="15"/>
  <c r="BD49" i="15"/>
  <c r="AZ71" i="15"/>
  <c r="Q20" i="15"/>
  <c r="BK24" i="15"/>
  <c r="CZ34" i="15"/>
  <c r="AL37" i="15"/>
  <c r="CD37" i="15"/>
  <c r="BK49" i="15"/>
  <c r="BC71" i="15"/>
  <c r="S20" i="15"/>
  <c r="AZ20" i="15"/>
  <c r="CE20" i="15"/>
  <c r="AF24" i="15"/>
  <c r="BL24" i="15"/>
  <c r="G27" i="15"/>
  <c r="AQ27" i="15"/>
  <c r="BW27" i="15"/>
  <c r="AV34" i="15"/>
  <c r="AI34" i="15"/>
  <c r="V34" i="15"/>
  <c r="I34" i="15"/>
  <c r="CT34" i="15"/>
  <c r="CV34" i="15"/>
  <c r="CD34" i="15"/>
  <c r="BM34" i="15"/>
  <c r="AT34" i="15"/>
  <c r="AC34" i="15"/>
  <c r="M34" i="15"/>
  <c r="BY34" i="15"/>
  <c r="E34" i="15"/>
  <c r="CU34" i="15"/>
  <c r="CC34" i="15"/>
  <c r="BL34" i="15"/>
  <c r="AS34" i="15"/>
  <c r="AB34" i="15"/>
  <c r="L34" i="15"/>
  <c r="AO34" i="15"/>
  <c r="CR34" i="15"/>
  <c r="CB34" i="15"/>
  <c r="BH34" i="15"/>
  <c r="AR34" i="15"/>
  <c r="AA34" i="15"/>
  <c r="H34" i="15"/>
  <c r="CP34" i="15"/>
  <c r="Y34" i="15"/>
  <c r="CQ34" i="15"/>
  <c r="CA34" i="15"/>
  <c r="BG34" i="15"/>
  <c r="AQ34" i="15"/>
  <c r="Z34" i="15"/>
  <c r="G34" i="15"/>
  <c r="BF34" i="15"/>
  <c r="CN34" i="15"/>
  <c r="BT34" i="15"/>
  <c r="BD34" i="15"/>
  <c r="AM34" i="15"/>
  <c r="T34" i="15"/>
  <c r="C34" i="15"/>
  <c r="AG34" i="15"/>
  <c r="BQ34" i="15"/>
  <c r="AM37" i="15"/>
  <c r="BM40" i="15"/>
  <c r="BA47" i="15"/>
  <c r="E49" i="15"/>
  <c r="BY49" i="15"/>
  <c r="CF79" i="15"/>
  <c r="AU20" i="15"/>
  <c r="CR24" i="15"/>
  <c r="CE24" i="15"/>
  <c r="BR24" i="15"/>
  <c r="BE24" i="15"/>
  <c r="AR24" i="15"/>
  <c r="AE24" i="15"/>
  <c r="Q24" i="15"/>
  <c r="D24" i="15"/>
  <c r="CQ24" i="15"/>
  <c r="CD24" i="15"/>
  <c r="BQ24" i="15"/>
  <c r="BD24" i="15"/>
  <c r="AQ24" i="15"/>
  <c r="AC24" i="15"/>
  <c r="P24" i="15"/>
  <c r="C24" i="15"/>
  <c r="CP24" i="15"/>
  <c r="CC24" i="15"/>
  <c r="BP24" i="15"/>
  <c r="BC24" i="15"/>
  <c r="AO24" i="15"/>
  <c r="AB24" i="15"/>
  <c r="O24" i="15"/>
  <c r="CS24" i="15"/>
  <c r="BY24" i="15"/>
  <c r="BI24" i="15"/>
  <c r="AS24" i="15"/>
  <c r="Y24" i="15"/>
  <c r="I24" i="15"/>
  <c r="BU24" i="15"/>
  <c r="CO24" i="15"/>
  <c r="BX24" i="15"/>
  <c r="BH24" i="15"/>
  <c r="AN24" i="15"/>
  <c r="X24" i="15"/>
  <c r="H24" i="15"/>
  <c r="BA24" i="15"/>
  <c r="CN24" i="15"/>
  <c r="BW24" i="15"/>
  <c r="BG24" i="15"/>
  <c r="AM24" i="15"/>
  <c r="W24" i="15"/>
  <c r="G24" i="15"/>
  <c r="AK24" i="15"/>
  <c r="CM24" i="15"/>
  <c r="BV24" i="15"/>
  <c r="BF24" i="15"/>
  <c r="AL24" i="15"/>
  <c r="V24" i="15"/>
  <c r="E24" i="15"/>
  <c r="CK24" i="15"/>
  <c r="U24" i="15"/>
  <c r="CZ24" i="15"/>
  <c r="CI24" i="15"/>
  <c r="BS24" i="15"/>
  <c r="AY24" i="15"/>
  <c r="AI24" i="15"/>
  <c r="S24" i="15"/>
  <c r="BJ24" i="15"/>
  <c r="CX37" i="15"/>
  <c r="CL37" i="15"/>
  <c r="BZ37" i="15"/>
  <c r="BN37" i="15"/>
  <c r="BB37" i="15"/>
  <c r="AP37" i="15"/>
  <c r="AD37" i="15"/>
  <c r="R37" i="15"/>
  <c r="F37" i="15"/>
  <c r="CP37" i="15"/>
  <c r="CC37" i="15"/>
  <c r="BP37" i="15"/>
  <c r="BC37" i="15"/>
  <c r="AO37" i="15"/>
  <c r="AB37" i="15"/>
  <c r="O37" i="15"/>
  <c r="CR37" i="15"/>
  <c r="CQ37" i="15"/>
  <c r="CB37" i="15"/>
  <c r="BM37" i="15"/>
  <c r="AY37" i="15"/>
  <c r="AK37" i="15"/>
  <c r="W37" i="15"/>
  <c r="I37" i="15"/>
  <c r="CO37" i="15"/>
  <c r="CA37" i="15"/>
  <c r="BL37" i="15"/>
  <c r="AX37" i="15"/>
  <c r="AJ37" i="15"/>
  <c r="V37" i="15"/>
  <c r="H37" i="15"/>
  <c r="CN37" i="15"/>
  <c r="BY37" i="15"/>
  <c r="BK37" i="15"/>
  <c r="AW37" i="15"/>
  <c r="AI37" i="15"/>
  <c r="U37" i="15"/>
  <c r="G37" i="15"/>
  <c r="CY37" i="15"/>
  <c r="CJ37" i="15"/>
  <c r="BV37" i="15"/>
  <c r="BH37" i="15"/>
  <c r="AT37" i="15"/>
  <c r="AF37" i="15"/>
  <c r="Q37" i="15"/>
  <c r="C37" i="15"/>
  <c r="CV37" i="15"/>
  <c r="BX37" i="15"/>
  <c r="BE37" i="15"/>
  <c r="AH37" i="15"/>
  <c r="M37" i="15"/>
  <c r="CM37" i="15"/>
  <c r="AV37" i="15"/>
  <c r="CU37" i="15"/>
  <c r="BW37" i="15"/>
  <c r="BD37" i="15"/>
  <c r="AG37" i="15"/>
  <c r="L37" i="15"/>
  <c r="BS37" i="15"/>
  <c r="E37" i="15"/>
  <c r="CT37" i="15"/>
  <c r="BU37" i="15"/>
  <c r="BA37" i="15"/>
  <c r="AE37" i="15"/>
  <c r="K37" i="15"/>
  <c r="CS37" i="15"/>
  <c r="BT37" i="15"/>
  <c r="AZ37" i="15"/>
  <c r="AC37" i="15"/>
  <c r="J37" i="15"/>
  <c r="AA37" i="15"/>
  <c r="CI37" i="15"/>
  <c r="BQ37" i="15"/>
  <c r="AS37" i="15"/>
  <c r="Y37" i="15"/>
  <c r="Z37" i="15"/>
  <c r="CU71" i="15"/>
  <c r="CH71" i="15"/>
  <c r="BU71" i="15"/>
  <c r="BH71" i="15"/>
  <c r="AU71" i="15"/>
  <c r="AH71" i="15"/>
  <c r="U71" i="15"/>
  <c r="H71" i="15"/>
  <c r="CT71" i="15"/>
  <c r="CG71" i="15"/>
  <c r="BT71" i="15"/>
  <c r="BG71" i="15"/>
  <c r="AT71" i="15"/>
  <c r="AG71" i="15"/>
  <c r="T71" i="15"/>
  <c r="G71" i="15"/>
  <c r="CS71" i="15"/>
  <c r="CF71" i="15"/>
  <c r="BS71" i="15"/>
  <c r="BF71" i="15"/>
  <c r="AS71" i="15"/>
  <c r="AF71" i="15"/>
  <c r="S71" i="15"/>
  <c r="E71" i="15"/>
  <c r="CR71" i="15"/>
  <c r="CE71" i="15"/>
  <c r="BR71" i="15"/>
  <c r="BE71" i="15"/>
  <c r="AR71" i="15"/>
  <c r="AE71" i="15"/>
  <c r="Q71" i="15"/>
  <c r="D71" i="15"/>
  <c r="CO71" i="15"/>
  <c r="CB71" i="15"/>
  <c r="BO71" i="15"/>
  <c r="BA71" i="15"/>
  <c r="AN71" i="15"/>
  <c r="AA71" i="15"/>
  <c r="N71" i="15"/>
  <c r="CN71" i="15"/>
  <c r="BQ71" i="15"/>
  <c r="AW71" i="15"/>
  <c r="Y71" i="15"/>
  <c r="CM71" i="15"/>
  <c r="BP71" i="15"/>
  <c r="AV71" i="15"/>
  <c r="X71" i="15"/>
  <c r="CK71" i="15"/>
  <c r="BM71" i="15"/>
  <c r="AQ71" i="15"/>
  <c r="W71" i="15"/>
  <c r="CJ71" i="15"/>
  <c r="BL71" i="15"/>
  <c r="AO71" i="15"/>
  <c r="V71" i="15"/>
  <c r="CC71" i="15"/>
  <c r="BI71" i="15"/>
  <c r="AK71" i="15"/>
  <c r="M71" i="15"/>
  <c r="CD71" i="15"/>
  <c r="AX71" i="15"/>
  <c r="J71" i="15"/>
  <c r="CA71" i="15"/>
  <c r="AM71" i="15"/>
  <c r="I71" i="15"/>
  <c r="BY71" i="15"/>
  <c r="AL71" i="15"/>
  <c r="C71" i="15"/>
  <c r="BX71" i="15"/>
  <c r="AJ71" i="15"/>
  <c r="BW71" i="15"/>
  <c r="AI71" i="15"/>
  <c r="CZ71" i="15"/>
  <c r="BK71" i="15"/>
  <c r="AB71" i="15"/>
  <c r="CX71" i="15"/>
  <c r="BJ71" i="15"/>
  <c r="Z71" i="15"/>
  <c r="AV20" i="15"/>
  <c r="CB20" i="15"/>
  <c r="AA24" i="15"/>
  <c r="CU24" i="15"/>
  <c r="U10" i="15"/>
  <c r="H10" i="15"/>
  <c r="BQ10" i="15"/>
  <c r="P10" i="15"/>
  <c r="CS10" i="15"/>
  <c r="AD10" i="15"/>
  <c r="CU10" i="15"/>
  <c r="CG10" i="15"/>
  <c r="BS10" i="15"/>
  <c r="BF10" i="15"/>
  <c r="AS10" i="15"/>
  <c r="AF10" i="15"/>
  <c r="S10" i="15"/>
  <c r="F10" i="15"/>
  <c r="CE10" i="15"/>
  <c r="AQ10" i="15"/>
  <c r="BD10" i="15"/>
  <c r="C10" i="15"/>
  <c r="CQ10" i="15"/>
  <c r="CC10" i="15"/>
  <c r="BO10" i="15"/>
  <c r="BB10" i="15"/>
  <c r="AN10" i="15"/>
  <c r="AA10" i="15"/>
  <c r="N10" i="15"/>
  <c r="V10" i="15"/>
  <c r="AV10" i="15"/>
  <c r="BV10" i="15"/>
  <c r="CY10" i="15"/>
  <c r="AB20" i="15"/>
  <c r="BG20" i="15"/>
  <c r="CM20" i="15"/>
  <c r="AG24" i="15"/>
  <c r="BM24" i="15"/>
  <c r="CW24" i="15"/>
  <c r="H27" i="15"/>
  <c r="AR27" i="15"/>
  <c r="AH34" i="15"/>
  <c r="BR34" i="15"/>
  <c r="AN37" i="15"/>
  <c r="CF37" i="15"/>
  <c r="I40" i="15"/>
  <c r="BO40" i="15"/>
  <c r="K49" i="15"/>
  <c r="BZ49" i="15"/>
  <c r="BV71" i="15"/>
  <c r="BH20" i="15"/>
  <c r="Y49" i="15"/>
  <c r="AA99" i="15"/>
  <c r="CY20" i="15"/>
  <c r="AD20" i="15"/>
  <c r="BI20" i="15"/>
  <c r="CP20" i="15"/>
  <c r="AJ24" i="15"/>
  <c r="BT24" i="15"/>
  <c r="CX27" i="15"/>
  <c r="CL27" i="15"/>
  <c r="BZ27" i="15"/>
  <c r="BN27" i="15"/>
  <c r="BB27" i="15"/>
  <c r="AP27" i="15"/>
  <c r="AD27" i="15"/>
  <c r="R27" i="15"/>
  <c r="F27" i="15"/>
  <c r="CO27" i="15"/>
  <c r="CB27" i="15"/>
  <c r="BO27" i="15"/>
  <c r="BA27" i="15"/>
  <c r="AN27" i="15"/>
  <c r="AA27" i="15"/>
  <c r="N27" i="15"/>
  <c r="CN27" i="15"/>
  <c r="CA27" i="15"/>
  <c r="BM27" i="15"/>
  <c r="AZ27" i="15"/>
  <c r="AM27" i="15"/>
  <c r="Z27" i="15"/>
  <c r="M27" i="15"/>
  <c r="CM27" i="15"/>
  <c r="BY27" i="15"/>
  <c r="BL27" i="15"/>
  <c r="AY27" i="15"/>
  <c r="AL27" i="15"/>
  <c r="Y27" i="15"/>
  <c r="L27" i="15"/>
  <c r="CI27" i="15"/>
  <c r="BS27" i="15"/>
  <c r="BC27" i="15"/>
  <c r="AI27" i="15"/>
  <c r="S27" i="15"/>
  <c r="AU27" i="15"/>
  <c r="CY27" i="15"/>
  <c r="CH27" i="15"/>
  <c r="BR27" i="15"/>
  <c r="AX27" i="15"/>
  <c r="AH27" i="15"/>
  <c r="Q27" i="15"/>
  <c r="CE27" i="15"/>
  <c r="AE27" i="15"/>
  <c r="CW27" i="15"/>
  <c r="CG27" i="15"/>
  <c r="BQ27" i="15"/>
  <c r="AW27" i="15"/>
  <c r="AG27" i="15"/>
  <c r="P27" i="15"/>
  <c r="CU27" i="15"/>
  <c r="BK27" i="15"/>
  <c r="K27" i="15"/>
  <c r="CV27" i="15"/>
  <c r="CF27" i="15"/>
  <c r="BP27" i="15"/>
  <c r="AV27" i="15"/>
  <c r="AF27" i="15"/>
  <c r="O27" i="15"/>
  <c r="CS27" i="15"/>
  <c r="CC27" i="15"/>
  <c r="BI27" i="15"/>
  <c r="BI120" i="15" s="1"/>
  <c r="AS27" i="15"/>
  <c r="AB27" i="15"/>
  <c r="I27" i="15"/>
  <c r="T27" i="15"/>
  <c r="BD27" i="15"/>
  <c r="CJ27" i="15"/>
  <c r="AR37" i="15"/>
  <c r="CH37" i="15"/>
  <c r="CZ47" i="15"/>
  <c r="CB47" i="15"/>
  <c r="AY47" i="15"/>
  <c r="W47" i="15"/>
  <c r="CW47" i="15"/>
  <c r="BU47" i="15"/>
  <c r="AX47" i="15"/>
  <c r="U47" i="15"/>
  <c r="P47" i="15"/>
  <c r="CU47" i="15"/>
  <c r="BS47" i="15"/>
  <c r="AW47" i="15"/>
  <c r="S47" i="15"/>
  <c r="CR47" i="15"/>
  <c r="AN47" i="15"/>
  <c r="CS47" i="15"/>
  <c r="BQ47" i="15"/>
  <c r="AO47" i="15"/>
  <c r="Q47" i="15"/>
  <c r="BP47" i="15"/>
  <c r="CK47" i="15"/>
  <c r="BM47" i="15"/>
  <c r="AK47" i="15"/>
  <c r="J47" i="15"/>
  <c r="CJ47" i="15"/>
  <c r="BL47" i="15"/>
  <c r="AJ47" i="15"/>
  <c r="E47" i="15"/>
  <c r="C47" i="15"/>
  <c r="BO47" i="15"/>
  <c r="Z49" i="15"/>
  <c r="CH49" i="15"/>
  <c r="CP71" i="15"/>
  <c r="CP120" i="15" s="1"/>
  <c r="CV79" i="15"/>
  <c r="BT79" i="15"/>
  <c r="AV79" i="15"/>
  <c r="T79" i="15"/>
  <c r="CA79" i="15"/>
  <c r="Z79" i="15"/>
  <c r="BV79" i="15"/>
  <c r="X79" i="15"/>
  <c r="BM79" i="15"/>
  <c r="V79" i="15"/>
  <c r="BL79" i="15"/>
  <c r="U79" i="15"/>
  <c r="CZ79" i="15"/>
  <c r="BC79" i="15"/>
  <c r="J79" i="15"/>
  <c r="CW79" i="15"/>
  <c r="AZ79" i="15"/>
  <c r="F79" i="15"/>
  <c r="CK79" i="15"/>
  <c r="AY79" i="15"/>
  <c r="E79" i="15"/>
  <c r="C79" i="15"/>
  <c r="AD99" i="15"/>
  <c r="Y10" i="15"/>
  <c r="AY10" i="15"/>
  <c r="CA10" i="15"/>
  <c r="AE20" i="15"/>
  <c r="BJ20" i="15"/>
  <c r="BJ120" i="15" s="1"/>
  <c r="J24" i="15"/>
  <c r="AT24" i="15"/>
  <c r="CA24" i="15"/>
  <c r="U27" i="15"/>
  <c r="BE27" i="15"/>
  <c r="CK27" i="15"/>
  <c r="N34" i="15"/>
  <c r="AU34" i="15"/>
  <c r="CE34" i="15"/>
  <c r="D37" i="15"/>
  <c r="AU37" i="15"/>
  <c r="CK37" i="15"/>
  <c r="Q40" i="15"/>
  <c r="CH40" i="15"/>
  <c r="D47" i="15"/>
  <c r="CC47" i="15"/>
  <c r="AA49" i="15"/>
  <c r="CL49" i="15"/>
  <c r="K71" i="15"/>
  <c r="CQ71" i="15"/>
  <c r="H79" i="15"/>
  <c r="AZ99" i="15"/>
  <c r="CO20" i="15"/>
  <c r="CC20" i="15"/>
  <c r="BQ20" i="15"/>
  <c r="BE20" i="15"/>
  <c r="AS20" i="15"/>
  <c r="AG20" i="15"/>
  <c r="U20" i="15"/>
  <c r="I20" i="15"/>
  <c r="CL20" i="15"/>
  <c r="BY20" i="15"/>
  <c r="BL20" i="15"/>
  <c r="BL120" i="15" s="1"/>
  <c r="AY20" i="15"/>
  <c r="AL20" i="15"/>
  <c r="Y20" i="15"/>
  <c r="L20" i="15"/>
  <c r="L120" i="15" s="1"/>
  <c r="CX20" i="15"/>
  <c r="CK20" i="15"/>
  <c r="CK120" i="15" s="1"/>
  <c r="BX20" i="15"/>
  <c r="BX120" i="15" s="1"/>
  <c r="BK20" i="15"/>
  <c r="BK120" i="15" s="1"/>
  <c r="AX20" i="15"/>
  <c r="AK20" i="15"/>
  <c r="X20" i="15"/>
  <c r="CJ20" i="15"/>
  <c r="BU20" i="15"/>
  <c r="BF20" i="15"/>
  <c r="AP20" i="15"/>
  <c r="AP120" i="15" s="1"/>
  <c r="AA20" i="15"/>
  <c r="K20" i="15"/>
  <c r="K120" i="15" s="1"/>
  <c r="CF20" i="15"/>
  <c r="F20" i="15"/>
  <c r="CZ20" i="15"/>
  <c r="CI20" i="15"/>
  <c r="BT20" i="15"/>
  <c r="BD20" i="15"/>
  <c r="AO20" i="15"/>
  <c r="Z20" i="15"/>
  <c r="J20" i="15"/>
  <c r="CU20" i="15"/>
  <c r="T20" i="15"/>
  <c r="CW20" i="15"/>
  <c r="CH20" i="15"/>
  <c r="BS20" i="15"/>
  <c r="BC20" i="15"/>
  <c r="AN20" i="15"/>
  <c r="W20" i="15"/>
  <c r="H20" i="15"/>
  <c r="BP20" i="15"/>
  <c r="AJ20" i="15"/>
  <c r="CV20" i="15"/>
  <c r="CG20" i="15"/>
  <c r="BR20" i="15"/>
  <c r="BB20" i="15"/>
  <c r="AM20" i="15"/>
  <c r="V20" i="15"/>
  <c r="G20" i="15"/>
  <c r="BA20" i="15"/>
  <c r="CS20" i="15"/>
  <c r="CD20" i="15"/>
  <c r="BN20" i="15"/>
  <c r="AW20" i="15"/>
  <c r="AH20" i="15"/>
  <c r="R20" i="15"/>
  <c r="D20" i="15"/>
  <c r="CN20" i="15"/>
  <c r="AF20" i="15"/>
  <c r="BM20" i="15"/>
  <c r="CR20" i="15"/>
  <c r="K24" i="15"/>
  <c r="AU24" i="15"/>
  <c r="CB24" i="15"/>
  <c r="V27" i="15"/>
  <c r="BF27" i="15"/>
  <c r="CP27" i="15"/>
  <c r="N37" i="15"/>
  <c r="BF37" i="15"/>
  <c r="CW37" i="15"/>
  <c r="K47" i="15"/>
  <c r="CD47" i="15"/>
  <c r="AC49" i="15"/>
  <c r="CZ49" i="15"/>
  <c r="L71" i="15"/>
  <c r="CW71" i="15"/>
  <c r="AG79" i="15"/>
  <c r="BA99" i="15"/>
  <c r="AB10" i="15"/>
  <c r="BC10" i="15"/>
  <c r="CD10" i="15"/>
  <c r="E20" i="15"/>
  <c r="AI20" i="15"/>
  <c r="BO20" i="15"/>
  <c r="CT20" i="15"/>
  <c r="L24" i="15"/>
  <c r="AV24" i="15"/>
  <c r="CF24" i="15"/>
  <c r="W27" i="15"/>
  <c r="BG27" i="15"/>
  <c r="CQ27" i="15"/>
  <c r="P34" i="15"/>
  <c r="AZ34" i="15"/>
  <c r="CG34" i="15"/>
  <c r="P37" i="15"/>
  <c r="BG37" i="15"/>
  <c r="CZ37" i="15"/>
  <c r="AH40" i="15"/>
  <c r="Y47" i="15"/>
  <c r="CE47" i="15"/>
  <c r="O71" i="15"/>
  <c r="AI79" i="15"/>
  <c r="CJ99" i="15"/>
  <c r="K99" i="15"/>
  <c r="BW99" i="15"/>
  <c r="I99" i="15"/>
  <c r="BN99" i="15"/>
  <c r="F99" i="15"/>
  <c r="BC99" i="15"/>
  <c r="BB99" i="15"/>
  <c r="CY99" i="15"/>
  <c r="CO49" i="15"/>
  <c r="CC49" i="15"/>
  <c r="BQ49" i="15"/>
  <c r="BE49" i="15"/>
  <c r="AS49" i="15"/>
  <c r="AG49" i="15"/>
  <c r="U49" i="15"/>
  <c r="I49" i="15"/>
  <c r="CV49" i="15"/>
  <c r="CI49" i="15"/>
  <c r="BV49" i="15"/>
  <c r="BI49" i="15"/>
  <c r="AV49" i="15"/>
  <c r="AI49" i="15"/>
  <c r="V49" i="15"/>
  <c r="H49" i="15"/>
  <c r="CT49" i="15"/>
  <c r="CG49" i="15"/>
  <c r="BT49" i="15"/>
  <c r="BG49" i="15"/>
  <c r="AT49" i="15"/>
  <c r="AF49" i="15"/>
  <c r="S49" i="15"/>
  <c r="F49" i="15"/>
  <c r="CU49" i="15"/>
  <c r="CE49" i="15"/>
  <c r="BO49" i="15"/>
  <c r="AZ49" i="15"/>
  <c r="AK49" i="15"/>
  <c r="T49" i="15"/>
  <c r="D49" i="15"/>
  <c r="CS49" i="15"/>
  <c r="CD49" i="15"/>
  <c r="BN49" i="15"/>
  <c r="AY49" i="15"/>
  <c r="AJ49" i="15"/>
  <c r="R49" i="15"/>
  <c r="C49" i="15"/>
  <c r="CR49" i="15"/>
  <c r="CB49" i="15"/>
  <c r="BM49" i="15"/>
  <c r="AX49" i="15"/>
  <c r="AH49" i="15"/>
  <c r="Q49" i="15"/>
  <c r="CQ49" i="15"/>
  <c r="CA49" i="15"/>
  <c r="BL49" i="15"/>
  <c r="AW49" i="15"/>
  <c r="AE49" i="15"/>
  <c r="P49" i="15"/>
  <c r="CM49" i="15"/>
  <c r="BX49" i="15"/>
  <c r="BH49" i="15"/>
  <c r="AQ49" i="15"/>
  <c r="AB49" i="15"/>
  <c r="M49" i="15"/>
  <c r="CY49" i="15"/>
  <c r="BW49" i="15"/>
  <c r="AU49" i="15"/>
  <c r="X49" i="15"/>
  <c r="CX49" i="15"/>
  <c r="BU49" i="15"/>
  <c r="AR49" i="15"/>
  <c r="W49" i="15"/>
  <c r="CW49" i="15"/>
  <c r="BS49" i="15"/>
  <c r="AP49" i="15"/>
  <c r="O49" i="15"/>
  <c r="CN49" i="15"/>
  <c r="BP49" i="15"/>
  <c r="AN49" i="15"/>
  <c r="L49" i="15"/>
  <c r="CP49" i="15"/>
  <c r="BR49" i="15"/>
  <c r="AO49" i="15"/>
  <c r="N49" i="15"/>
  <c r="CK49" i="15"/>
  <c r="BJ49" i="15"/>
  <c r="AL49" i="15"/>
  <c r="J49" i="15"/>
  <c r="CJ49" i="15"/>
  <c r="BF49" i="15"/>
  <c r="AD49" i="15"/>
  <c r="G49" i="15"/>
  <c r="BC49" i="15"/>
  <c r="AC20" i="15"/>
  <c r="CF49" i="15"/>
  <c r="C20" i="15"/>
  <c r="M20" i="15"/>
  <c r="AQ20" i="15"/>
  <c r="BV20" i="15"/>
  <c r="M24" i="15"/>
  <c r="AW24" i="15"/>
  <c r="CG24" i="15"/>
  <c r="X27" i="15"/>
  <c r="BH27" i="15"/>
  <c r="CR27" i="15"/>
  <c r="S37" i="15"/>
  <c r="BI37" i="15"/>
  <c r="CX40" i="15"/>
  <c r="CL40" i="15"/>
  <c r="BZ40" i="15"/>
  <c r="BN40" i="15"/>
  <c r="BB40" i="15"/>
  <c r="AP40" i="15"/>
  <c r="AD40" i="15"/>
  <c r="R40" i="15"/>
  <c r="F40" i="15"/>
  <c r="CZ40" i="15"/>
  <c r="CM40" i="15"/>
  <c r="BY40" i="15"/>
  <c r="BL40" i="15"/>
  <c r="AY40" i="15"/>
  <c r="AL40" i="15"/>
  <c r="Y40" i="15"/>
  <c r="L40" i="15"/>
  <c r="CW40" i="15"/>
  <c r="CJ40" i="15"/>
  <c r="BW40" i="15"/>
  <c r="BJ40" i="15"/>
  <c r="AW40" i="15"/>
  <c r="AJ40" i="15"/>
  <c r="CO40" i="15"/>
  <c r="BX40" i="15"/>
  <c r="BH40" i="15"/>
  <c r="AS40" i="15"/>
  <c r="AC40" i="15"/>
  <c r="O40" i="15"/>
  <c r="CN40" i="15"/>
  <c r="BV40" i="15"/>
  <c r="BG40" i="15"/>
  <c r="AR40" i="15"/>
  <c r="AB40" i="15"/>
  <c r="N40" i="15"/>
  <c r="CK40" i="15"/>
  <c r="BU40" i="15"/>
  <c r="BF40" i="15"/>
  <c r="AQ40" i="15"/>
  <c r="AA40" i="15"/>
  <c r="M40" i="15"/>
  <c r="CI40" i="15"/>
  <c r="BT40" i="15"/>
  <c r="BE40" i="15"/>
  <c r="AO40" i="15"/>
  <c r="Z40" i="15"/>
  <c r="K40" i="15"/>
  <c r="CU40" i="15"/>
  <c r="CF40" i="15"/>
  <c r="BQ40" i="15"/>
  <c r="BA40" i="15"/>
  <c r="AK40" i="15"/>
  <c r="V40" i="15"/>
  <c r="H40" i="15"/>
  <c r="CG40" i="15"/>
  <c r="BI40" i="15"/>
  <c r="AG40" i="15"/>
  <c r="G40" i="15"/>
  <c r="CB40" i="15"/>
  <c r="CE40" i="15"/>
  <c r="BD40" i="15"/>
  <c r="AF40" i="15"/>
  <c r="E40" i="15"/>
  <c r="CD40" i="15"/>
  <c r="BC40" i="15"/>
  <c r="AE40" i="15"/>
  <c r="D40" i="15"/>
  <c r="CY40" i="15"/>
  <c r="AX40" i="15"/>
  <c r="CC40" i="15"/>
  <c r="AZ40" i="15"/>
  <c r="X40" i="15"/>
  <c r="C40" i="15"/>
  <c r="W40" i="15"/>
  <c r="CT40" i="15"/>
  <c r="BS40" i="15"/>
  <c r="AU40" i="15"/>
  <c r="T40" i="15"/>
  <c r="CS40" i="15"/>
  <c r="BR40" i="15"/>
  <c r="AT40" i="15"/>
  <c r="S40" i="15"/>
  <c r="AI40" i="15"/>
  <c r="CR40" i="15"/>
  <c r="Z47" i="15"/>
  <c r="CF47" i="15"/>
  <c r="BA49" i="15"/>
  <c r="P71" i="15"/>
  <c r="AJ79" i="15"/>
  <c r="CX99" i="15"/>
  <c r="CO53" i="15"/>
  <c r="CB53" i="15"/>
  <c r="BO53" i="15"/>
  <c r="BA53" i="15"/>
  <c r="AN53" i="15"/>
  <c r="AA53" i="15"/>
  <c r="N53" i="15"/>
  <c r="CN53" i="15"/>
  <c r="CA53" i="15"/>
  <c r="BM53" i="15"/>
  <c r="AZ53" i="15"/>
  <c r="AM53" i="15"/>
  <c r="Z53" i="15"/>
  <c r="CM53" i="15"/>
  <c r="BY53" i="15"/>
  <c r="BL53" i="15"/>
  <c r="AY53" i="15"/>
  <c r="AL53" i="15"/>
  <c r="Y53" i="15"/>
  <c r="L53" i="15"/>
  <c r="CW53" i="15"/>
  <c r="CG53" i="15"/>
  <c r="BQ53" i="15"/>
  <c r="AW53" i="15"/>
  <c r="AG53" i="15"/>
  <c r="P53" i="15"/>
  <c r="CV53" i="15"/>
  <c r="CF53" i="15"/>
  <c r="BP53" i="15"/>
  <c r="AV53" i="15"/>
  <c r="AF53" i="15"/>
  <c r="O53" i="15"/>
  <c r="CU53" i="15"/>
  <c r="CE53" i="15"/>
  <c r="BK53" i="15"/>
  <c r="AU53" i="15"/>
  <c r="AE53" i="15"/>
  <c r="M53" i="15"/>
  <c r="CT53" i="15"/>
  <c r="CD53" i="15"/>
  <c r="BJ53" i="15"/>
  <c r="AT53" i="15"/>
  <c r="AC53" i="15"/>
  <c r="K53" i="15"/>
  <c r="CQ53" i="15"/>
  <c r="BW53" i="15"/>
  <c r="BG53" i="15"/>
  <c r="AQ53" i="15"/>
  <c r="W53" i="15"/>
  <c r="H53" i="15"/>
  <c r="Q53" i="15"/>
  <c r="AR53" i="15"/>
  <c r="BU53" i="15"/>
  <c r="S53" i="15"/>
  <c r="AS53" i="15"/>
  <c r="BV53" i="15"/>
  <c r="AE59" i="15"/>
  <c r="BF59" i="15"/>
  <c r="CU59" i="15"/>
  <c r="CE59" i="15"/>
  <c r="BK59" i="15"/>
  <c r="AU59" i="15"/>
  <c r="AD59" i="15"/>
  <c r="K59" i="15"/>
  <c r="CT59" i="15"/>
  <c r="CD59" i="15"/>
  <c r="BJ59" i="15"/>
  <c r="AT59" i="15"/>
  <c r="AC59" i="15"/>
  <c r="J59" i="15"/>
  <c r="CS59" i="15"/>
  <c r="CB59" i="15"/>
  <c r="BI59" i="15"/>
  <c r="AR59" i="15"/>
  <c r="AB59" i="15"/>
  <c r="H59" i="15"/>
  <c r="CR59" i="15"/>
  <c r="BX59" i="15"/>
  <c r="BH59" i="15"/>
  <c r="AQ59" i="15"/>
  <c r="X59" i="15"/>
  <c r="G59" i="15"/>
  <c r="CK59" i="15"/>
  <c r="BU59" i="15"/>
  <c r="BD59" i="15"/>
  <c r="AK59" i="15"/>
  <c r="T59" i="15"/>
  <c r="D59" i="15"/>
  <c r="AH59" i="15"/>
  <c r="BO59" i="15"/>
  <c r="CP59" i="15"/>
  <c r="D10" i="15"/>
  <c r="R10" i="15"/>
  <c r="AE10" i="15"/>
  <c r="AR10" i="15"/>
  <c r="BE10" i="15"/>
  <c r="BR10" i="15"/>
  <c r="CF10" i="15"/>
  <c r="CZ27" i="15"/>
  <c r="V53" i="15"/>
  <c r="BD53" i="15"/>
  <c r="CH53" i="15"/>
  <c r="E59" i="15"/>
  <c r="AI59" i="15"/>
  <c r="BP59" i="15"/>
  <c r="CQ59" i="15"/>
  <c r="U53" i="15"/>
  <c r="BC53" i="15"/>
  <c r="CC53" i="15"/>
  <c r="C59" i="15"/>
  <c r="X53" i="15"/>
  <c r="BE53" i="15"/>
  <c r="CI53" i="15"/>
  <c r="F59" i="15"/>
  <c r="AJ59" i="15"/>
  <c r="BR59" i="15"/>
  <c r="CV59" i="15"/>
  <c r="CX10" i="15"/>
  <c r="CL10" i="15"/>
  <c r="BZ10" i="15"/>
  <c r="CZ10" i="15"/>
  <c r="CM10" i="15"/>
  <c r="BY10" i="15"/>
  <c r="BM10" i="15"/>
  <c r="BA10" i="15"/>
  <c r="AO10" i="15"/>
  <c r="AC10" i="15"/>
  <c r="Q10" i="15"/>
  <c r="E10" i="15"/>
  <c r="G10" i="15"/>
  <c r="T10" i="15"/>
  <c r="AG10" i="15"/>
  <c r="AT10" i="15"/>
  <c r="BG10" i="15"/>
  <c r="BT10" i="15"/>
  <c r="CH10" i="15"/>
  <c r="CV10" i="15"/>
  <c r="C53" i="15"/>
  <c r="AB53" i="15"/>
  <c r="BF53" i="15"/>
  <c r="CJ53" i="15"/>
  <c r="O59" i="15"/>
  <c r="AO59" i="15"/>
  <c r="BS59" i="15"/>
  <c r="CW59" i="15"/>
  <c r="CQ99" i="15"/>
  <c r="CE99" i="15"/>
  <c r="BS99" i="15"/>
  <c r="BG99" i="15"/>
  <c r="AU99" i="15"/>
  <c r="AI99" i="15"/>
  <c r="W99" i="15"/>
  <c r="CP99" i="15"/>
  <c r="CD99" i="15"/>
  <c r="BR99" i="15"/>
  <c r="BF99" i="15"/>
  <c r="AT99" i="15"/>
  <c r="AH99" i="15"/>
  <c r="V99" i="15"/>
  <c r="J99" i="15"/>
  <c r="CO99" i="15"/>
  <c r="CA99" i="15"/>
  <c r="BM99" i="15"/>
  <c r="AY99" i="15"/>
  <c r="AK99" i="15"/>
  <c r="U99" i="15"/>
  <c r="H99" i="15"/>
  <c r="CN99" i="15"/>
  <c r="BZ99" i="15"/>
  <c r="BL99" i="15"/>
  <c r="AX99" i="15"/>
  <c r="AJ99" i="15"/>
  <c r="T99" i="15"/>
  <c r="G99" i="15"/>
  <c r="CZ99" i="15"/>
  <c r="CL99" i="15"/>
  <c r="BX99" i="15"/>
  <c r="BJ99" i="15"/>
  <c r="AV99" i="15"/>
  <c r="AF99" i="15"/>
  <c r="R99" i="15"/>
  <c r="E99" i="15"/>
  <c r="CW99" i="15"/>
  <c r="CI99" i="15"/>
  <c r="BU99" i="15"/>
  <c r="BE99" i="15"/>
  <c r="AQ99" i="15"/>
  <c r="AC99" i="15"/>
  <c r="O99" i="15"/>
  <c r="CV99" i="15"/>
  <c r="CH99" i="15"/>
  <c r="BT99" i="15"/>
  <c r="BD99" i="15"/>
  <c r="AP99" i="15"/>
  <c r="AB99" i="15"/>
  <c r="N99" i="15"/>
  <c r="CT99" i="15"/>
  <c r="BV99" i="15"/>
  <c r="AW99" i="15"/>
  <c r="Y99" i="15"/>
  <c r="CS99" i="15"/>
  <c r="BQ99" i="15"/>
  <c r="AS99" i="15"/>
  <c r="X99" i="15"/>
  <c r="CR99" i="15"/>
  <c r="BP99" i="15"/>
  <c r="AR99" i="15"/>
  <c r="S99" i="15"/>
  <c r="CM99" i="15"/>
  <c r="BO99" i="15"/>
  <c r="AO99" i="15"/>
  <c r="Q99" i="15"/>
  <c r="CG99" i="15"/>
  <c r="BI99" i="15"/>
  <c r="AL99" i="15"/>
  <c r="L99" i="15"/>
  <c r="CF99" i="15"/>
  <c r="AN99" i="15"/>
  <c r="D99" i="15"/>
  <c r="CC99" i="15"/>
  <c r="AM99" i="15"/>
  <c r="C99" i="15"/>
  <c r="CB99" i="15"/>
  <c r="AG99" i="15"/>
  <c r="BY99" i="15"/>
  <c r="AE99" i="15"/>
  <c r="BK99" i="15"/>
  <c r="Z99" i="15"/>
  <c r="M99" i="15"/>
  <c r="CK99" i="15"/>
  <c r="P110" i="15"/>
  <c r="AH10" i="15"/>
  <c r="AU10" i="15"/>
  <c r="BH10" i="15"/>
  <c r="BU10" i="15"/>
  <c r="CI10" i="15"/>
  <c r="CW10" i="15"/>
  <c r="CX24" i="15"/>
  <c r="CW34" i="15"/>
  <c r="CP47" i="15"/>
  <c r="D53" i="15"/>
  <c r="AH53" i="15"/>
  <c r="BH53" i="15"/>
  <c r="CK53" i="15"/>
  <c r="P59" i="15"/>
  <c r="AP59" i="15"/>
  <c r="BT59" i="15"/>
  <c r="CX59" i="15"/>
  <c r="P99" i="15"/>
  <c r="CU99" i="15"/>
  <c r="CK110" i="15"/>
  <c r="AS110" i="15"/>
  <c r="I110" i="15"/>
  <c r="Q110" i="15"/>
  <c r="CS110" i="15"/>
  <c r="H47" i="15"/>
  <c r="X47" i="15"/>
  <c r="AM47" i="15"/>
  <c r="BC47" i="15"/>
  <c r="BR47" i="15"/>
  <c r="CH47" i="15"/>
  <c r="CY47" i="15"/>
  <c r="CS79" i="15"/>
  <c r="CG79" i="15"/>
  <c r="BU79" i="15"/>
  <c r="BI79" i="15"/>
  <c r="AW79" i="15"/>
  <c r="AK79" i="15"/>
  <c r="Y79" i="15"/>
  <c r="M79" i="15"/>
  <c r="CR79" i="15"/>
  <c r="CE79" i="15"/>
  <c r="BR79" i="15"/>
  <c r="BE79" i="15"/>
  <c r="AR79" i="15"/>
  <c r="AE79" i="15"/>
  <c r="CQ79" i="15"/>
  <c r="CD79" i="15"/>
  <c r="BQ79" i="15"/>
  <c r="BD79" i="15"/>
  <c r="AQ79" i="15"/>
  <c r="AD79" i="15"/>
  <c r="Q79" i="15"/>
  <c r="D79" i="15"/>
  <c r="CO79" i="15"/>
  <c r="BZ79" i="15"/>
  <c r="BK79" i="15"/>
  <c r="AU79" i="15"/>
  <c r="AF79" i="15"/>
  <c r="P79" i="15"/>
  <c r="CN79" i="15"/>
  <c r="BY79" i="15"/>
  <c r="BJ79" i="15"/>
  <c r="AT79" i="15"/>
  <c r="AC79" i="15"/>
  <c r="O79" i="15"/>
  <c r="CM79" i="15"/>
  <c r="BX79" i="15"/>
  <c r="BH79" i="15"/>
  <c r="AS79" i="15"/>
  <c r="AB79" i="15"/>
  <c r="N79" i="15"/>
  <c r="CL79" i="15"/>
  <c r="BW79" i="15"/>
  <c r="BG79" i="15"/>
  <c r="AP79" i="15"/>
  <c r="AA79" i="15"/>
  <c r="L79" i="15"/>
  <c r="CX79" i="15"/>
  <c r="CI79" i="15"/>
  <c r="BS79" i="15"/>
  <c r="BB79" i="15"/>
  <c r="AM79" i="15"/>
  <c r="W79" i="15"/>
  <c r="I79" i="15"/>
  <c r="G79" i="15"/>
  <c r="AH79" i="15"/>
  <c r="BF79" i="15"/>
  <c r="CH79" i="15"/>
  <c r="F88" i="15"/>
  <c r="AD88" i="15"/>
  <c r="BE88" i="15"/>
  <c r="CG88" i="15"/>
  <c r="CQ110" i="15"/>
  <c r="CE110" i="15"/>
  <c r="BS110" i="15"/>
  <c r="BG110" i="15"/>
  <c r="AU110" i="15"/>
  <c r="AI110" i="15"/>
  <c r="W110" i="15"/>
  <c r="K110" i="15"/>
  <c r="CP110" i="15"/>
  <c r="CD110" i="15"/>
  <c r="BR110" i="15"/>
  <c r="BF110" i="15"/>
  <c r="AT110" i="15"/>
  <c r="AH110" i="15"/>
  <c r="V110" i="15"/>
  <c r="J110" i="15"/>
  <c r="CU110" i="15"/>
  <c r="CG110" i="15"/>
  <c r="BQ110" i="15"/>
  <c r="BC110" i="15"/>
  <c r="AO110" i="15"/>
  <c r="AA110" i="15"/>
  <c r="M110" i="15"/>
  <c r="CT110" i="15"/>
  <c r="CF110" i="15"/>
  <c r="BP110" i="15"/>
  <c r="BB110" i="15"/>
  <c r="AN110" i="15"/>
  <c r="Z110" i="15"/>
  <c r="L110" i="15"/>
  <c r="CR110" i="15"/>
  <c r="CB110" i="15"/>
  <c r="BN110" i="15"/>
  <c r="AZ110" i="15"/>
  <c r="AL110" i="15"/>
  <c r="X110" i="15"/>
  <c r="H110" i="15"/>
  <c r="CM110" i="15"/>
  <c r="BY110" i="15"/>
  <c r="BK110" i="15"/>
  <c r="AW110" i="15"/>
  <c r="AG110" i="15"/>
  <c r="S110" i="15"/>
  <c r="E110" i="15"/>
  <c r="CZ110" i="15"/>
  <c r="CL110" i="15"/>
  <c r="BX110" i="15"/>
  <c r="BJ110" i="15"/>
  <c r="AV110" i="15"/>
  <c r="AF110" i="15"/>
  <c r="R110" i="15"/>
  <c r="D110" i="15"/>
  <c r="CC110" i="15"/>
  <c r="BE110" i="15"/>
  <c r="AE110" i="15"/>
  <c r="G110" i="15"/>
  <c r="CY110" i="15"/>
  <c r="CA110" i="15"/>
  <c r="BD110" i="15"/>
  <c r="AD110" i="15"/>
  <c r="F110" i="15"/>
  <c r="CX110" i="15"/>
  <c r="BZ110" i="15"/>
  <c r="BA110" i="15"/>
  <c r="AC110" i="15"/>
  <c r="C110" i="15"/>
  <c r="CW110" i="15"/>
  <c r="BW110" i="15"/>
  <c r="AY110" i="15"/>
  <c r="AB110" i="15"/>
  <c r="CO110" i="15"/>
  <c r="BT110" i="15"/>
  <c r="AR110" i="15"/>
  <c r="T110" i="15"/>
  <c r="Y110" i="15"/>
  <c r="BO110" i="15"/>
  <c r="BI34" i="15"/>
  <c r="BV34" i="15"/>
  <c r="CI34" i="15"/>
  <c r="CX47" i="15"/>
  <c r="CL47" i="15"/>
  <c r="BZ47" i="15"/>
  <c r="BN47" i="15"/>
  <c r="BB47" i="15"/>
  <c r="AP47" i="15"/>
  <c r="AD47" i="15"/>
  <c r="R47" i="15"/>
  <c r="F47" i="15"/>
  <c r="CV47" i="15"/>
  <c r="CI47" i="15"/>
  <c r="BV47" i="15"/>
  <c r="BI47" i="15"/>
  <c r="AV47" i="15"/>
  <c r="AI47" i="15"/>
  <c r="V47" i="15"/>
  <c r="I47" i="15"/>
  <c r="CT47" i="15"/>
  <c r="CG47" i="15"/>
  <c r="BT47" i="15"/>
  <c r="BG47" i="15"/>
  <c r="AT47" i="15"/>
  <c r="AG47" i="15"/>
  <c r="T47" i="15"/>
  <c r="G47" i="15"/>
  <c r="L47" i="15"/>
  <c r="AA47" i="15"/>
  <c r="AQ47" i="15"/>
  <c r="BF47" i="15"/>
  <c r="BW47" i="15"/>
  <c r="CM47" i="15"/>
  <c r="K79" i="15"/>
  <c r="AL79" i="15"/>
  <c r="BN79" i="15"/>
  <c r="CP79" i="15"/>
  <c r="I88" i="15"/>
  <c r="AK88" i="15"/>
  <c r="BI88" i="15"/>
  <c r="CK88" i="15"/>
  <c r="AM110" i="15"/>
  <c r="CH110" i="15"/>
  <c r="CX34" i="15"/>
  <c r="CL34" i="15"/>
  <c r="BZ34" i="15"/>
  <c r="BN34" i="15"/>
  <c r="BB34" i="15"/>
  <c r="AP34" i="15"/>
  <c r="AD34" i="15"/>
  <c r="R34" i="15"/>
  <c r="F34" i="15"/>
  <c r="CS34" i="15"/>
  <c r="J34" i="15"/>
  <c r="W34" i="15"/>
  <c r="AJ34" i="15"/>
  <c r="AW34" i="15"/>
  <c r="BJ34" i="15"/>
  <c r="BW34" i="15"/>
  <c r="CJ34" i="15"/>
  <c r="CY34" i="15"/>
  <c r="M47" i="15"/>
  <c r="AB47" i="15"/>
  <c r="AR47" i="15"/>
  <c r="BH47" i="15"/>
  <c r="BX47" i="15"/>
  <c r="CN47" i="15"/>
  <c r="R79" i="15"/>
  <c r="AN79" i="15"/>
  <c r="BO79" i="15"/>
  <c r="CT79" i="15"/>
  <c r="J88" i="15"/>
  <c r="AL88" i="15"/>
  <c r="BQ88" i="15"/>
  <c r="CM88" i="15"/>
  <c r="AP110" i="15"/>
  <c r="CI110" i="15"/>
  <c r="K34" i="15"/>
  <c r="X34" i="15"/>
  <c r="AK34" i="15"/>
  <c r="AX34" i="15"/>
  <c r="BK34" i="15"/>
  <c r="BX34" i="15"/>
  <c r="CK34" i="15"/>
  <c r="N47" i="15"/>
  <c r="AC47" i="15"/>
  <c r="AS47" i="15"/>
  <c r="BJ47" i="15"/>
  <c r="BY47" i="15"/>
  <c r="CO47" i="15"/>
  <c r="S79" i="15"/>
  <c r="AO79" i="15"/>
  <c r="BP79" i="15"/>
  <c r="CU79" i="15"/>
  <c r="L88" i="15"/>
  <c r="AP88" i="15"/>
  <c r="BR88" i="15"/>
  <c r="AQ110" i="15"/>
  <c r="CJ110" i="15"/>
  <c r="O47" i="15"/>
  <c r="AE47" i="15"/>
  <c r="AU47" i="15"/>
  <c r="BK47" i="15"/>
  <c r="CA47" i="15"/>
  <c r="CV88" i="15"/>
  <c r="CJ88" i="15"/>
  <c r="BX88" i="15"/>
  <c r="BL88" i="15"/>
  <c r="AZ88" i="15"/>
  <c r="AN88" i="15"/>
  <c r="AB88" i="15"/>
  <c r="P88" i="15"/>
  <c r="D88" i="15"/>
  <c r="CO88" i="15"/>
  <c r="CB88" i="15"/>
  <c r="BO88" i="15"/>
  <c r="BB88" i="15"/>
  <c r="AO88" i="15"/>
  <c r="AA88" i="15"/>
  <c r="N88" i="15"/>
  <c r="CN88" i="15"/>
  <c r="CA88" i="15"/>
  <c r="BN88" i="15"/>
  <c r="BA88" i="15"/>
  <c r="AM88" i="15"/>
  <c r="Z88" i="15"/>
  <c r="M88" i="15"/>
  <c r="CT88" i="15"/>
  <c r="CE88" i="15"/>
  <c r="BP88" i="15"/>
  <c r="AX88" i="15"/>
  <c r="AI88" i="15"/>
  <c r="T88" i="15"/>
  <c r="E88" i="15"/>
  <c r="CS88" i="15"/>
  <c r="CD88" i="15"/>
  <c r="BM88" i="15"/>
  <c r="AW88" i="15"/>
  <c r="AH88" i="15"/>
  <c r="S88" i="15"/>
  <c r="C88" i="15"/>
  <c r="CR88" i="15"/>
  <c r="CC88" i="15"/>
  <c r="BK88" i="15"/>
  <c r="AV88" i="15"/>
  <c r="AG88" i="15"/>
  <c r="R88" i="15"/>
  <c r="CQ88" i="15"/>
  <c r="BZ88" i="15"/>
  <c r="BJ88" i="15"/>
  <c r="AU88" i="15"/>
  <c r="AF88" i="15"/>
  <c r="Q88" i="15"/>
  <c r="CL88" i="15"/>
  <c r="BV88" i="15"/>
  <c r="BG88" i="15"/>
  <c r="AR88" i="15"/>
  <c r="AC88" i="15"/>
  <c r="K88" i="15"/>
  <c r="O88" i="15"/>
  <c r="AQ88" i="15"/>
  <c r="BS88" i="15"/>
  <c r="CU88" i="15"/>
  <c r="H92" i="15"/>
  <c r="X92" i="15"/>
  <c r="AR92" i="15"/>
  <c r="BO92" i="15"/>
  <c r="CK92" i="15"/>
  <c r="L59" i="15"/>
  <c r="Y59" i="15"/>
  <c r="AL59" i="15"/>
  <c r="AY59" i="15"/>
  <c r="BL59" i="15"/>
  <c r="BY59" i="15"/>
  <c r="CL59" i="15"/>
  <c r="CV81" i="15"/>
  <c r="CJ81" i="15"/>
  <c r="BX81" i="15"/>
  <c r="BL81" i="15"/>
  <c r="AZ81" i="15"/>
  <c r="AN81" i="15"/>
  <c r="AB81" i="15"/>
  <c r="P81" i="15"/>
  <c r="D81" i="15"/>
  <c r="CR81" i="15"/>
  <c r="CE81" i="15"/>
  <c r="BR81" i="15"/>
  <c r="BE81" i="15"/>
  <c r="AR81" i="15"/>
  <c r="AE81" i="15"/>
  <c r="R81" i="15"/>
  <c r="E81" i="15"/>
  <c r="CQ81" i="15"/>
  <c r="CD81" i="15"/>
  <c r="BQ81" i="15"/>
  <c r="BD81" i="15"/>
  <c r="AQ81" i="15"/>
  <c r="AD81" i="15"/>
  <c r="Q81" i="15"/>
  <c r="C81" i="15"/>
  <c r="O81" i="15"/>
  <c r="AG81" i="15"/>
  <c r="AV81" i="15"/>
  <c r="BK81" i="15"/>
  <c r="CA81" i="15"/>
  <c r="CP81" i="15"/>
  <c r="CU92" i="15"/>
  <c r="CH92" i="15"/>
  <c r="BT92" i="15"/>
  <c r="BG92" i="15"/>
  <c r="AT92" i="15"/>
  <c r="AG92" i="15"/>
  <c r="T92" i="15"/>
  <c r="G92" i="15"/>
  <c r="CQ92" i="15"/>
  <c r="CD92" i="15"/>
  <c r="BQ92" i="15"/>
  <c r="BD92" i="15"/>
  <c r="AQ92" i="15"/>
  <c r="AD92" i="15"/>
  <c r="CN92" i="15"/>
  <c r="CA92" i="15"/>
  <c r="BN92" i="15"/>
  <c r="BA92" i="15"/>
  <c r="CM92" i="15"/>
  <c r="BZ92" i="15"/>
  <c r="BM92" i="15"/>
  <c r="AZ92" i="15"/>
  <c r="AM92" i="15"/>
  <c r="Z92" i="15"/>
  <c r="L92" i="15"/>
  <c r="K92" i="15"/>
  <c r="AC92" i="15"/>
  <c r="AX92" i="15"/>
  <c r="BV92" i="15"/>
  <c r="CP92" i="15"/>
  <c r="W115" i="15"/>
  <c r="AV115" i="15"/>
  <c r="BT115" i="15"/>
  <c r="CT115" i="15"/>
  <c r="CO59" i="15"/>
  <c r="CC59" i="15"/>
  <c r="BQ59" i="15"/>
  <c r="BE59" i="15"/>
  <c r="AS59" i="15"/>
  <c r="AG59" i="15"/>
  <c r="U59" i="15"/>
  <c r="I59" i="15"/>
  <c r="M59" i="15"/>
  <c r="Z59" i="15"/>
  <c r="AM59" i="15"/>
  <c r="AZ59" i="15"/>
  <c r="BM59" i="15"/>
  <c r="BZ59" i="15"/>
  <c r="CM59" i="15"/>
  <c r="CZ59" i="15"/>
  <c r="N92" i="15"/>
  <c r="AE92" i="15"/>
  <c r="AY92" i="15"/>
  <c r="BW92" i="15"/>
  <c r="CR92" i="15"/>
  <c r="Z115" i="15"/>
  <c r="AW115" i="15"/>
  <c r="BU115" i="15"/>
  <c r="CU115" i="15"/>
  <c r="N59" i="15"/>
  <c r="AA59" i="15"/>
  <c r="AN59" i="15"/>
  <c r="BA59" i="15"/>
  <c r="BN59" i="15"/>
  <c r="CA59" i="15"/>
  <c r="CN59" i="15"/>
  <c r="T81" i="15"/>
  <c r="AI81" i="15"/>
  <c r="AX81" i="15"/>
  <c r="BN81" i="15"/>
  <c r="CC81" i="15"/>
  <c r="CT81" i="15"/>
  <c r="O92" i="15"/>
  <c r="AH92" i="15"/>
  <c r="BB92" i="15"/>
  <c r="BX92" i="15"/>
  <c r="CV92" i="15"/>
  <c r="AA115" i="15"/>
  <c r="AY115" i="15"/>
  <c r="BZ115" i="15"/>
  <c r="P92" i="15"/>
  <c r="AI92" i="15"/>
  <c r="BC92" i="15"/>
  <c r="BY92" i="15"/>
  <c r="CZ115" i="15"/>
  <c r="H95" i="15"/>
  <c r="U95" i="15"/>
  <c r="AH95" i="15"/>
  <c r="AU95" i="15"/>
  <c r="BH95" i="15"/>
  <c r="BV95" i="15"/>
  <c r="CI95" i="15"/>
  <c r="R115" i="15"/>
  <c r="AF115" i="15"/>
  <c r="AT115" i="15"/>
  <c r="BH115" i="15"/>
  <c r="BV115" i="15"/>
  <c r="CL115" i="15"/>
  <c r="E119" i="15"/>
  <c r="U119" i="15"/>
  <c r="AN119" i="15"/>
  <c r="BE119" i="15"/>
  <c r="BX119" i="15"/>
  <c r="CS95" i="15"/>
  <c r="CG95" i="15"/>
  <c r="BU95" i="15"/>
  <c r="BI95" i="15"/>
  <c r="AW95" i="15"/>
  <c r="AK95" i="15"/>
  <c r="Y95" i="15"/>
  <c r="M95" i="15"/>
  <c r="I95" i="15"/>
  <c r="V95" i="15"/>
  <c r="AI95" i="15"/>
  <c r="AV95" i="15"/>
  <c r="BJ95" i="15"/>
  <c r="BW95" i="15"/>
  <c r="CJ95" i="15"/>
  <c r="CW95" i="15"/>
  <c r="CW115" i="15"/>
  <c r="CK115" i="15"/>
  <c r="BY115" i="15"/>
  <c r="BM115" i="15"/>
  <c r="BA115" i="15"/>
  <c r="AO115" i="15"/>
  <c r="AC115" i="15"/>
  <c r="Q115" i="15"/>
  <c r="E115" i="15"/>
  <c r="CV115" i="15"/>
  <c r="CJ115" i="15"/>
  <c r="BX115" i="15"/>
  <c r="BL115" i="15"/>
  <c r="AZ115" i="15"/>
  <c r="AN115" i="15"/>
  <c r="AB115" i="15"/>
  <c r="P115" i="15"/>
  <c r="D115" i="15"/>
  <c r="C115" i="15"/>
  <c r="S115" i="15"/>
  <c r="AG115" i="15"/>
  <c r="AU115" i="15"/>
  <c r="BI115" i="15"/>
  <c r="BW115" i="15"/>
  <c r="CM115" i="15"/>
  <c r="CT119" i="15"/>
  <c r="CH119" i="15"/>
  <c r="BV119" i="15"/>
  <c r="BJ119" i="15"/>
  <c r="AX119" i="15"/>
  <c r="AL119" i="15"/>
  <c r="Z119" i="15"/>
  <c r="N119" i="15"/>
  <c r="CS119" i="15"/>
  <c r="CG119" i="15"/>
  <c r="BU119" i="15"/>
  <c r="BI119" i="15"/>
  <c r="AW119" i="15"/>
  <c r="AK119" i="15"/>
  <c r="Y119" i="15"/>
  <c r="M119" i="15"/>
  <c r="CQ119" i="15"/>
  <c r="CE119" i="15"/>
  <c r="BS119" i="15"/>
  <c r="BG119" i="15"/>
  <c r="AU119" i="15"/>
  <c r="AI119" i="15"/>
  <c r="W119" i="15"/>
  <c r="CZ119" i="15"/>
  <c r="CN119" i="15"/>
  <c r="CB119" i="15"/>
  <c r="BP119" i="15"/>
  <c r="BD119" i="15"/>
  <c r="AR119" i="15"/>
  <c r="AF119" i="15"/>
  <c r="T119" i="15"/>
  <c r="H119" i="15"/>
  <c r="F119" i="15"/>
  <c r="V119" i="15"/>
  <c r="AO119" i="15"/>
  <c r="BF119" i="15"/>
  <c r="BY119" i="15"/>
  <c r="CP119" i="15"/>
  <c r="L95" i="15"/>
  <c r="Z95" i="15"/>
  <c r="AM95" i="15"/>
  <c r="AZ95" i="15"/>
  <c r="BM95" i="15"/>
  <c r="BZ95" i="15"/>
  <c r="CM95" i="15"/>
  <c r="CZ95" i="15"/>
  <c r="H115" i="15"/>
  <c r="V115" i="15"/>
  <c r="AJ115" i="15"/>
  <c r="AX115" i="15"/>
  <c r="BN115" i="15"/>
  <c r="CB115" i="15"/>
  <c r="CP115" i="15"/>
  <c r="J119" i="15"/>
  <c r="AB119" i="15"/>
  <c r="AS119" i="15"/>
  <c r="BL119" i="15"/>
  <c r="CC119" i="15"/>
  <c r="CV119" i="15"/>
  <c r="F24" i="15"/>
  <c r="R24" i="15"/>
  <c r="AD24" i="15"/>
  <c r="AP24" i="15"/>
  <c r="BB24" i="15"/>
  <c r="BN24" i="15"/>
  <c r="BZ24" i="15"/>
  <c r="CL24" i="15"/>
  <c r="F53" i="15"/>
  <c r="R53" i="15"/>
  <c r="AD53" i="15"/>
  <c r="AP53" i="15"/>
  <c r="BB53" i="15"/>
  <c r="BN53" i="15"/>
  <c r="BZ53" i="15"/>
  <c r="CL53" i="15"/>
  <c r="CV71" i="15"/>
  <c r="F71" i="15"/>
  <c r="R71" i="15"/>
  <c r="AD71" i="15"/>
  <c r="AP71" i="15"/>
  <c r="BB71" i="15"/>
  <c r="BN71" i="15"/>
  <c r="BZ71" i="15"/>
  <c r="CL71" i="15"/>
  <c r="CY71" i="15"/>
  <c r="CS92" i="15"/>
  <c r="CG92" i="15"/>
  <c r="BU92" i="15"/>
  <c r="BI92" i="15"/>
  <c r="AW92" i="15"/>
  <c r="AK92" i="15"/>
  <c r="Y92" i="15"/>
  <c r="M92" i="15"/>
  <c r="F92" i="15"/>
  <c r="S92" i="15"/>
  <c r="AF92" i="15"/>
  <c r="AS92" i="15"/>
  <c r="BF92" i="15"/>
  <c r="BS92" i="15"/>
  <c r="CF92" i="15"/>
  <c r="CT92" i="15"/>
  <c r="O95" i="15"/>
  <c r="AB95" i="15"/>
  <c r="AO95" i="15"/>
  <c r="BB95" i="15"/>
  <c r="BO95" i="15"/>
  <c r="CB95" i="15"/>
  <c r="CO95" i="15"/>
  <c r="J115" i="15"/>
  <c r="X115" i="15"/>
  <c r="AL115" i="15"/>
  <c r="BB115" i="15"/>
  <c r="BP115" i="15"/>
  <c r="CD115" i="15"/>
  <c r="CR115" i="15"/>
  <c r="L119" i="15"/>
  <c r="AD119" i="15"/>
  <c r="AV119" i="15"/>
  <c r="BN119" i="15"/>
  <c r="CF119" i="15"/>
  <c r="CX119" i="15"/>
  <c r="C95" i="15"/>
  <c r="P95" i="15"/>
  <c r="AC95" i="15"/>
  <c r="AP95" i="15"/>
  <c r="BC95" i="15"/>
  <c r="BP95" i="15"/>
  <c r="CC95" i="15"/>
  <c r="CP95" i="15"/>
  <c r="K115" i="15"/>
  <c r="Y115" i="15"/>
  <c r="AM115" i="15"/>
  <c r="BC115" i="15"/>
  <c r="BQ115" i="15"/>
  <c r="CE115" i="15"/>
  <c r="CS115" i="15"/>
  <c r="O119" i="15"/>
  <c r="AE119" i="15"/>
  <c r="AY119" i="15"/>
  <c r="BO119" i="15"/>
  <c r="CI119" i="15"/>
  <c r="CY119" i="15"/>
  <c r="CT10" i="14"/>
  <c r="CH10" i="14"/>
  <c r="BV10" i="14"/>
  <c r="BJ10" i="14"/>
  <c r="AX10" i="14"/>
  <c r="AL10" i="14"/>
  <c r="Z10" i="14"/>
  <c r="N10" i="14"/>
  <c r="CZ10" i="14"/>
  <c r="CM10" i="14"/>
  <c r="BZ10" i="14"/>
  <c r="BM10" i="14"/>
  <c r="AZ10" i="14"/>
  <c r="AM10" i="14"/>
  <c r="Y10" i="14"/>
  <c r="L10" i="14"/>
  <c r="CY10" i="14"/>
  <c r="CL10" i="14"/>
  <c r="BY10" i="14"/>
  <c r="BL10" i="14"/>
  <c r="AY10" i="14"/>
  <c r="AK10" i="14"/>
  <c r="X10" i="14"/>
  <c r="K10" i="14"/>
  <c r="CW10" i="14"/>
  <c r="CJ10" i="14"/>
  <c r="BW10" i="14"/>
  <c r="BI10" i="14"/>
  <c r="AV10" i="14"/>
  <c r="AI10" i="14"/>
  <c r="V10" i="14"/>
  <c r="I10" i="14"/>
  <c r="CO10" i="14"/>
  <c r="BU10" i="14"/>
  <c r="BE10" i="14"/>
  <c r="AO10" i="14"/>
  <c r="U10" i="14"/>
  <c r="E10" i="14"/>
  <c r="CN10" i="14"/>
  <c r="BT10" i="14"/>
  <c r="BD10" i="14"/>
  <c r="AN10" i="14"/>
  <c r="T10" i="14"/>
  <c r="D10" i="14"/>
  <c r="CI10" i="14"/>
  <c r="BR10" i="14"/>
  <c r="BB10" i="14"/>
  <c r="AH10" i="14"/>
  <c r="R10" i="14"/>
  <c r="CG10" i="14"/>
  <c r="BQ10" i="14"/>
  <c r="BA10" i="14"/>
  <c r="AG10" i="14"/>
  <c r="AE10" i="14"/>
  <c r="CE10" i="14"/>
  <c r="CW88" i="14"/>
  <c r="CK88" i="14"/>
  <c r="BY88" i="14"/>
  <c r="BM88" i="14"/>
  <c r="BA88" i="14"/>
  <c r="AO88" i="14"/>
  <c r="AC88" i="14"/>
  <c r="Q88" i="14"/>
  <c r="E88" i="14"/>
  <c r="CV88" i="14"/>
  <c r="CJ88" i="14"/>
  <c r="BX88" i="14"/>
  <c r="BL88" i="14"/>
  <c r="AZ88" i="14"/>
  <c r="AN88" i="14"/>
  <c r="AB88" i="14"/>
  <c r="P88" i="14"/>
  <c r="D88" i="14"/>
  <c r="CM88" i="14"/>
  <c r="BW88" i="14"/>
  <c r="BI88" i="14"/>
  <c r="AU88" i="14"/>
  <c r="AG88" i="14"/>
  <c r="S88" i="14"/>
  <c r="C88" i="14"/>
  <c r="CZ88" i="14"/>
  <c r="CL88" i="14"/>
  <c r="BV88" i="14"/>
  <c r="BH88" i="14"/>
  <c r="AT88" i="14"/>
  <c r="AF88" i="14"/>
  <c r="R88" i="14"/>
  <c r="CX88" i="14"/>
  <c r="CH88" i="14"/>
  <c r="BT88" i="14"/>
  <c r="BF88" i="14"/>
  <c r="AR88" i="14"/>
  <c r="CP88" i="14"/>
  <c r="BU88" i="14"/>
  <c r="BC88" i="14"/>
  <c r="AJ88" i="14"/>
  <c r="T88" i="14"/>
  <c r="CO88" i="14"/>
  <c r="BS88" i="14"/>
  <c r="BB88" i="14"/>
  <c r="AI88" i="14"/>
  <c r="O88" i="14"/>
  <c r="CI88" i="14"/>
  <c r="BQ88" i="14"/>
  <c r="AX88" i="14"/>
  <c r="AE88" i="14"/>
  <c r="M88" i="14"/>
  <c r="CE88" i="14"/>
  <c r="BG88" i="14"/>
  <c r="AH88" i="14"/>
  <c r="J88" i="14"/>
  <c r="CD88" i="14"/>
  <c r="BE88" i="14"/>
  <c r="AD88" i="14"/>
  <c r="I88" i="14"/>
  <c r="CC88" i="14"/>
  <c r="BD88" i="14"/>
  <c r="AA88" i="14"/>
  <c r="H88" i="14"/>
  <c r="CY88" i="14"/>
  <c r="CB88" i="14"/>
  <c r="AY88" i="14"/>
  <c r="Z88" i="14"/>
  <c r="G88" i="14"/>
  <c r="CU88" i="14"/>
  <c r="BO88" i="14"/>
  <c r="Y88" i="14"/>
  <c r="CT88" i="14"/>
  <c r="BN88" i="14"/>
  <c r="X88" i="14"/>
  <c r="CR88" i="14"/>
  <c r="BJ88" i="14"/>
  <c r="V88" i="14"/>
  <c r="CQ88" i="14"/>
  <c r="AW88" i="14"/>
  <c r="U88" i="14"/>
  <c r="AF10" i="14"/>
  <c r="CF10" i="14"/>
  <c r="CU37" i="14"/>
  <c r="CI37" i="14"/>
  <c r="BW37" i="14"/>
  <c r="BK37" i="14"/>
  <c r="AY37" i="14"/>
  <c r="AM37" i="14"/>
  <c r="AA37" i="14"/>
  <c r="O37" i="14"/>
  <c r="C37" i="14"/>
  <c r="CT37" i="14"/>
  <c r="CH37" i="14"/>
  <c r="BV37" i="14"/>
  <c r="BJ37" i="14"/>
  <c r="AX37" i="14"/>
  <c r="AL37" i="14"/>
  <c r="Z37" i="14"/>
  <c r="N37" i="14"/>
  <c r="CY37" i="14"/>
  <c r="CK37" i="14"/>
  <c r="BU37" i="14"/>
  <c r="BG37" i="14"/>
  <c r="AS37" i="14"/>
  <c r="AE37" i="14"/>
  <c r="Q37" i="14"/>
  <c r="BS37" i="14"/>
  <c r="CX37" i="14"/>
  <c r="CJ37" i="14"/>
  <c r="BT37" i="14"/>
  <c r="BF37" i="14"/>
  <c r="AR37" i="14"/>
  <c r="AD37" i="14"/>
  <c r="P37" i="14"/>
  <c r="CW37" i="14"/>
  <c r="CG37" i="14"/>
  <c r="BE37" i="14"/>
  <c r="CV37" i="14"/>
  <c r="CF37" i="14"/>
  <c r="BR37" i="14"/>
  <c r="BD37" i="14"/>
  <c r="AP37" i="14"/>
  <c r="AB37" i="14"/>
  <c r="L37" i="14"/>
  <c r="CN37" i="14"/>
  <c r="BP37" i="14"/>
  <c r="AV37" i="14"/>
  <c r="AC37" i="14"/>
  <c r="I37" i="14"/>
  <c r="CM37" i="14"/>
  <c r="BO37" i="14"/>
  <c r="AU37" i="14"/>
  <c r="Y37" i="14"/>
  <c r="H37" i="14"/>
  <c r="CE37" i="14"/>
  <c r="BM37" i="14"/>
  <c r="AQ37" i="14"/>
  <c r="W37" i="14"/>
  <c r="F37" i="14"/>
  <c r="CD37" i="14"/>
  <c r="BL37" i="14"/>
  <c r="AO37" i="14"/>
  <c r="V37" i="14"/>
  <c r="E37" i="14"/>
  <c r="CA37" i="14"/>
  <c r="AJ10" i="14"/>
  <c r="CK10" i="14"/>
  <c r="AV27" i="14"/>
  <c r="CQ40" i="14"/>
  <c r="AG49" i="14"/>
  <c r="AP10" i="14"/>
  <c r="CP10" i="14"/>
  <c r="U27" i="14"/>
  <c r="CA27" i="14"/>
  <c r="CC37" i="14"/>
  <c r="AH49" i="14"/>
  <c r="CZ49" i="14"/>
  <c r="CY59" i="14"/>
  <c r="CN99" i="14"/>
  <c r="BO10" i="14"/>
  <c r="AJ20" i="14"/>
  <c r="X27" i="14"/>
  <c r="X37" i="14"/>
  <c r="BB37" i="14"/>
  <c r="BO40" i="14"/>
  <c r="CS40" i="14"/>
  <c r="AI49" i="14"/>
  <c r="BR49" i="14"/>
  <c r="AT53" i="14"/>
  <c r="CA79" i="14"/>
  <c r="AJ79" i="14"/>
  <c r="I79" i="14"/>
  <c r="CZ79" i="14"/>
  <c r="BR79" i="14"/>
  <c r="AH79" i="14"/>
  <c r="D79" i="14"/>
  <c r="CY79" i="14"/>
  <c r="BM79" i="14"/>
  <c r="AG79" i="14"/>
  <c r="AE79" i="14"/>
  <c r="T99" i="14"/>
  <c r="Q10" i="14"/>
  <c r="BP10" i="14"/>
  <c r="BQ20" i="14"/>
  <c r="BA27" i="14"/>
  <c r="CZ34" i="14"/>
  <c r="CG34" i="14"/>
  <c r="BN34" i="14"/>
  <c r="AT34" i="14"/>
  <c r="AC34" i="14"/>
  <c r="H34" i="14"/>
  <c r="CF34" i="14"/>
  <c r="BL34" i="14"/>
  <c r="AS34" i="14"/>
  <c r="AB34" i="14"/>
  <c r="F34" i="14"/>
  <c r="CW34" i="14"/>
  <c r="CB34" i="14"/>
  <c r="BH34" i="14"/>
  <c r="AQ34" i="14"/>
  <c r="V34" i="14"/>
  <c r="D34" i="14"/>
  <c r="CV34" i="14"/>
  <c r="BZ34" i="14"/>
  <c r="BG34" i="14"/>
  <c r="AP34" i="14"/>
  <c r="T34" i="14"/>
  <c r="BD34" i="14"/>
  <c r="AF37" i="14"/>
  <c r="CO37" i="14"/>
  <c r="CX47" i="14"/>
  <c r="BC47" i="14"/>
  <c r="Y47" i="14"/>
  <c r="CG47" i="14"/>
  <c r="BQ47" i="14"/>
  <c r="AO47" i="14"/>
  <c r="K47" i="14"/>
  <c r="CC47" i="14"/>
  <c r="BH47" i="14"/>
  <c r="AJ47" i="14"/>
  <c r="R47" i="14"/>
  <c r="CB47" i="14"/>
  <c r="BG47" i="14"/>
  <c r="AI47" i="14"/>
  <c r="Q47" i="14"/>
  <c r="CV47" i="14"/>
  <c r="BZ47" i="14"/>
  <c r="BA47" i="14"/>
  <c r="AG47" i="14"/>
  <c r="I47" i="14"/>
  <c r="CS47" i="14"/>
  <c r="BY47" i="14"/>
  <c r="AZ47" i="14"/>
  <c r="AF47" i="14"/>
  <c r="H47" i="14"/>
  <c r="BX47" i="14"/>
  <c r="AJ49" i="14"/>
  <c r="BU49" i="14"/>
  <c r="H53" i="14"/>
  <c r="CD53" i="14"/>
  <c r="AF79" i="14"/>
  <c r="AE99" i="14"/>
  <c r="BW115" i="14"/>
  <c r="BZ119" i="14"/>
  <c r="AS10" i="14"/>
  <c r="N20" i="14"/>
  <c r="CV20" i="14"/>
  <c r="BB27" i="14"/>
  <c r="BE34" i="14"/>
  <c r="BH37" i="14"/>
  <c r="CP37" i="14"/>
  <c r="BS40" i="14"/>
  <c r="AT47" i="14"/>
  <c r="G49" i="14"/>
  <c r="P53" i="14"/>
  <c r="CE53" i="14"/>
  <c r="AI79" i="14"/>
  <c r="F88" i="14"/>
  <c r="BK88" i="14"/>
  <c r="CW92" i="14"/>
  <c r="AJ99" i="14"/>
  <c r="BZ115" i="14"/>
  <c r="W10" i="14"/>
  <c r="AT10" i="14"/>
  <c r="BX10" i="14"/>
  <c r="CU10" i="14"/>
  <c r="O20" i="14"/>
  <c r="AS20" i="14"/>
  <c r="BS20" i="14"/>
  <c r="CY20" i="14"/>
  <c r="E24" i="14"/>
  <c r="AE24" i="14"/>
  <c r="BI24" i="14"/>
  <c r="CK24" i="14"/>
  <c r="AC27" i="14"/>
  <c r="BE27" i="14"/>
  <c r="CG27" i="14"/>
  <c r="AF34" i="14"/>
  <c r="BF34" i="14"/>
  <c r="CL34" i="14"/>
  <c r="D37" i="14"/>
  <c r="AH37" i="14"/>
  <c r="BI37" i="14"/>
  <c r="CQ37" i="14"/>
  <c r="J40" i="14"/>
  <c r="AN40" i="14"/>
  <c r="BT40" i="14"/>
  <c r="CX40" i="14"/>
  <c r="S47" i="14"/>
  <c r="AU47" i="14"/>
  <c r="CD47" i="14"/>
  <c r="H49" i="14"/>
  <c r="AL49" i="14"/>
  <c r="CD49" i="14"/>
  <c r="Q53" i="14"/>
  <c r="BB53" i="14"/>
  <c r="CG53" i="14"/>
  <c r="CS71" i="14"/>
  <c r="CB71" i="14"/>
  <c r="BG71" i="14"/>
  <c r="AP71" i="14"/>
  <c r="Y71" i="14"/>
  <c r="G71" i="14"/>
  <c r="BD71" i="14"/>
  <c r="CR71" i="14"/>
  <c r="CA71" i="14"/>
  <c r="BE71" i="14"/>
  <c r="AO71" i="14"/>
  <c r="X71" i="14"/>
  <c r="E71" i="14"/>
  <c r="CQ71" i="14"/>
  <c r="BZ71" i="14"/>
  <c r="AN71" i="14"/>
  <c r="W71" i="14"/>
  <c r="D71" i="14"/>
  <c r="CP71" i="14"/>
  <c r="BU71" i="14"/>
  <c r="BC71" i="14"/>
  <c r="AM71" i="14"/>
  <c r="T71" i="14"/>
  <c r="C71" i="14"/>
  <c r="BR71" i="14"/>
  <c r="AT71" i="14"/>
  <c r="Q71" i="14"/>
  <c r="CY71" i="14"/>
  <c r="BQ71" i="14"/>
  <c r="AR71" i="14"/>
  <c r="P71" i="14"/>
  <c r="CO71" i="14"/>
  <c r="BO71" i="14"/>
  <c r="AK71" i="14"/>
  <c r="M71" i="14"/>
  <c r="CN71" i="14"/>
  <c r="BN71" i="14"/>
  <c r="AJ71" i="14"/>
  <c r="L71" i="14"/>
  <c r="AG71" i="14"/>
  <c r="CD71" i="14"/>
  <c r="AY79" i="14"/>
  <c r="CR79" i="14"/>
  <c r="K88" i="14"/>
  <c r="BP88" i="14"/>
  <c r="AC92" i="14"/>
  <c r="CX92" i="14"/>
  <c r="AS99" i="14"/>
  <c r="CA115" i="14"/>
  <c r="CB119" i="14"/>
  <c r="AA10" i="14"/>
  <c r="AU10" i="14"/>
  <c r="CA10" i="14"/>
  <c r="CV10" i="14"/>
  <c r="S20" i="14"/>
  <c r="AT20" i="14"/>
  <c r="BV20" i="14"/>
  <c r="CZ20" i="14"/>
  <c r="F24" i="14"/>
  <c r="AH24" i="14"/>
  <c r="BL24" i="14"/>
  <c r="G27" i="14"/>
  <c r="AE27" i="14"/>
  <c r="BM27" i="14"/>
  <c r="E34" i="14"/>
  <c r="AG34" i="14"/>
  <c r="BI34" i="14"/>
  <c r="CM34" i="14"/>
  <c r="G37" i="14"/>
  <c r="AI37" i="14"/>
  <c r="BN37" i="14"/>
  <c r="CR37" i="14"/>
  <c r="K40" i="14"/>
  <c r="AQ40" i="14"/>
  <c r="BU40" i="14"/>
  <c r="T47" i="14"/>
  <c r="AV47" i="14"/>
  <c r="CL47" i="14"/>
  <c r="I49" i="14"/>
  <c r="AV49" i="14"/>
  <c r="T53" i="14"/>
  <c r="BC53" i="14"/>
  <c r="AQ71" i="14"/>
  <c r="CE71" i="14"/>
  <c r="AZ79" i="14"/>
  <c r="CU79" i="14"/>
  <c r="AI81" i="14"/>
  <c r="L88" i="14"/>
  <c r="BR88" i="14"/>
  <c r="BA92" i="14"/>
  <c r="W119" i="14"/>
  <c r="H10" i="14"/>
  <c r="BG10" i="14"/>
  <c r="AL88" i="14"/>
  <c r="CG88" i="14"/>
  <c r="J10" i="14"/>
  <c r="BH10" i="14"/>
  <c r="S37" i="14"/>
  <c r="AW37" i="14"/>
  <c r="AM88" i="14"/>
  <c r="CN88" i="14"/>
  <c r="M10" i="14"/>
  <c r="BK10" i="14"/>
  <c r="CU27" i="14"/>
  <c r="CI27" i="14"/>
  <c r="BW27" i="14"/>
  <c r="BK27" i="14"/>
  <c r="AY27" i="14"/>
  <c r="AM27" i="14"/>
  <c r="AA27" i="14"/>
  <c r="O27" i="14"/>
  <c r="C27" i="14"/>
  <c r="CT27" i="14"/>
  <c r="CH27" i="14"/>
  <c r="BV27" i="14"/>
  <c r="BJ27" i="14"/>
  <c r="AX27" i="14"/>
  <c r="AL27" i="14"/>
  <c r="Z27" i="14"/>
  <c r="N27" i="14"/>
  <c r="CM27" i="14"/>
  <c r="BY27" i="14"/>
  <c r="BI27" i="14"/>
  <c r="AU27" i="14"/>
  <c r="AG27" i="14"/>
  <c r="S27" i="14"/>
  <c r="E27" i="14"/>
  <c r="CZ27" i="14"/>
  <c r="CL27" i="14"/>
  <c r="BX27" i="14"/>
  <c r="BH27" i="14"/>
  <c r="AT27" i="14"/>
  <c r="AF27" i="14"/>
  <c r="R27" i="14"/>
  <c r="D27" i="14"/>
  <c r="CX27" i="14"/>
  <c r="CJ27" i="14"/>
  <c r="BT27" i="14"/>
  <c r="BF27" i="14"/>
  <c r="AR27" i="14"/>
  <c r="AD27" i="14"/>
  <c r="P27" i="14"/>
  <c r="CV27" i="14"/>
  <c r="CC27" i="14"/>
  <c r="BL27" i="14"/>
  <c r="AP27" i="14"/>
  <c r="W27" i="14"/>
  <c r="F27" i="14"/>
  <c r="CS27" i="14"/>
  <c r="CB27" i="14"/>
  <c r="BG27" i="14"/>
  <c r="AO27" i="14"/>
  <c r="V27" i="14"/>
  <c r="CQ27" i="14"/>
  <c r="BZ27" i="14"/>
  <c r="BD27" i="14"/>
  <c r="AK27" i="14"/>
  <c r="T27" i="14"/>
  <c r="CP27" i="14"/>
  <c r="BU27" i="14"/>
  <c r="BC27" i="14"/>
  <c r="AJ27" i="14"/>
  <c r="Q27" i="14"/>
  <c r="M27" i="14"/>
  <c r="BS27" i="14"/>
  <c r="T37" i="14"/>
  <c r="AZ37" i="14"/>
  <c r="CB37" i="14"/>
  <c r="AC40" i="14"/>
  <c r="BE40" i="14"/>
  <c r="CX49" i="14"/>
  <c r="CL49" i="14"/>
  <c r="BZ49" i="14"/>
  <c r="BN49" i="14"/>
  <c r="BB49" i="14"/>
  <c r="AP49" i="14"/>
  <c r="AD49" i="14"/>
  <c r="R49" i="14"/>
  <c r="F49" i="14"/>
  <c r="CW49" i="14"/>
  <c r="CK49" i="14"/>
  <c r="BY49" i="14"/>
  <c r="BM49" i="14"/>
  <c r="BA49" i="14"/>
  <c r="AO49" i="14"/>
  <c r="AC49" i="14"/>
  <c r="Q49" i="14"/>
  <c r="E49" i="14"/>
  <c r="CU49" i="14"/>
  <c r="CI49" i="14"/>
  <c r="BW49" i="14"/>
  <c r="BK49" i="14"/>
  <c r="AY49" i="14"/>
  <c r="AM49" i="14"/>
  <c r="AA49" i="14"/>
  <c r="O49" i="14"/>
  <c r="C49" i="14"/>
  <c r="CQ49" i="14"/>
  <c r="CB49" i="14"/>
  <c r="BJ49" i="14"/>
  <c r="AU49" i="14"/>
  <c r="AF49" i="14"/>
  <c r="N49" i="14"/>
  <c r="BX49" i="14"/>
  <c r="AB49" i="14"/>
  <c r="CP49" i="14"/>
  <c r="CA49" i="14"/>
  <c r="BI49" i="14"/>
  <c r="AT49" i="14"/>
  <c r="AE49" i="14"/>
  <c r="M49" i="14"/>
  <c r="CO49" i="14"/>
  <c r="BH49" i="14"/>
  <c r="AS49" i="14"/>
  <c r="L49" i="14"/>
  <c r="CN49" i="14"/>
  <c r="BV49" i="14"/>
  <c r="BG49" i="14"/>
  <c r="AR49" i="14"/>
  <c r="Z49" i="14"/>
  <c r="K49" i="14"/>
  <c r="CT49" i="14"/>
  <c r="BT49" i="14"/>
  <c r="AX49" i="14"/>
  <c r="X49" i="14"/>
  <c r="CS49" i="14"/>
  <c r="BS49" i="14"/>
  <c r="AW49" i="14"/>
  <c r="W49" i="14"/>
  <c r="CM49" i="14"/>
  <c r="BQ49" i="14"/>
  <c r="AQ49" i="14"/>
  <c r="U49" i="14"/>
  <c r="CJ49" i="14"/>
  <c r="BP49" i="14"/>
  <c r="AN49" i="14"/>
  <c r="T49" i="14"/>
  <c r="BL49" i="14"/>
  <c r="CY49" i="14"/>
  <c r="AP88" i="14"/>
  <c r="CS88" i="14"/>
  <c r="O10" i="14"/>
  <c r="BN10" i="14"/>
  <c r="AW27" i="14"/>
  <c r="CY34" i="14"/>
  <c r="U37" i="14"/>
  <c r="BA37" i="14"/>
  <c r="AD40" i="14"/>
  <c r="BF40" i="14"/>
  <c r="CR40" i="14"/>
  <c r="BO49" i="14"/>
  <c r="AQ88" i="14"/>
  <c r="CQ99" i="14"/>
  <c r="CE99" i="14"/>
  <c r="BS99" i="14"/>
  <c r="BG99" i="14"/>
  <c r="AU99" i="14"/>
  <c r="AI99" i="14"/>
  <c r="W99" i="14"/>
  <c r="K99" i="14"/>
  <c r="CP99" i="14"/>
  <c r="CD99" i="14"/>
  <c r="BR99" i="14"/>
  <c r="BF99" i="14"/>
  <c r="AT99" i="14"/>
  <c r="AH99" i="14"/>
  <c r="V99" i="14"/>
  <c r="J99" i="14"/>
  <c r="CU99" i="14"/>
  <c r="CG99" i="14"/>
  <c r="BQ99" i="14"/>
  <c r="BC99" i="14"/>
  <c r="AO99" i="14"/>
  <c r="AA99" i="14"/>
  <c r="M99" i="14"/>
  <c r="CT99" i="14"/>
  <c r="CF99" i="14"/>
  <c r="BP99" i="14"/>
  <c r="BB99" i="14"/>
  <c r="AN99" i="14"/>
  <c r="Z99" i="14"/>
  <c r="L99" i="14"/>
  <c r="CR99" i="14"/>
  <c r="CB99" i="14"/>
  <c r="BN99" i="14"/>
  <c r="AZ99" i="14"/>
  <c r="AL99" i="14"/>
  <c r="X99" i="14"/>
  <c r="H99" i="14"/>
  <c r="CM99" i="14"/>
  <c r="BV99" i="14"/>
  <c r="BA99" i="14"/>
  <c r="AG99" i="14"/>
  <c r="P99" i="14"/>
  <c r="CL99" i="14"/>
  <c r="BU99" i="14"/>
  <c r="AY99" i="14"/>
  <c r="AF99" i="14"/>
  <c r="O99" i="14"/>
  <c r="CJ99" i="14"/>
  <c r="BO99" i="14"/>
  <c r="AW99" i="14"/>
  <c r="AD99" i="14"/>
  <c r="I99" i="14"/>
  <c r="CZ99" i="14"/>
  <c r="CA99" i="14"/>
  <c r="BE99" i="14"/>
  <c r="AC99" i="14"/>
  <c r="D99" i="14"/>
  <c r="BY99" i="14"/>
  <c r="Y99" i="14"/>
  <c r="CY99" i="14"/>
  <c r="BZ99" i="14"/>
  <c r="BD99" i="14"/>
  <c r="AB99" i="14"/>
  <c r="C99" i="14"/>
  <c r="CX99" i="14"/>
  <c r="AX99" i="14"/>
  <c r="CW99" i="14"/>
  <c r="BX99" i="14"/>
  <c r="AV99" i="14"/>
  <c r="U99" i="14"/>
  <c r="CI99" i="14"/>
  <c r="AR99" i="14"/>
  <c r="G99" i="14"/>
  <c r="CH99" i="14"/>
  <c r="AQ99" i="14"/>
  <c r="F99" i="14"/>
  <c r="CC99" i="14"/>
  <c r="AP99" i="14"/>
  <c r="E99" i="14"/>
  <c r="BW99" i="14"/>
  <c r="AM99" i="14"/>
  <c r="BT99" i="14"/>
  <c r="AK99" i="14"/>
  <c r="S99" i="14"/>
  <c r="CE115" i="14"/>
  <c r="BH115" i="14"/>
  <c r="AI115" i="14"/>
  <c r="H115" i="14"/>
  <c r="BS115" i="14"/>
  <c r="V115" i="14"/>
  <c r="BQ115" i="14"/>
  <c r="U115" i="14"/>
  <c r="CU115" i="14"/>
  <c r="BN115" i="14"/>
  <c r="T115" i="14"/>
  <c r="CS115" i="14"/>
  <c r="BB115" i="14"/>
  <c r="S115" i="14"/>
  <c r="CR115" i="14"/>
  <c r="AY115" i="14"/>
  <c r="R115" i="14"/>
  <c r="AX115" i="14"/>
  <c r="P10" i="14"/>
  <c r="AQ10" i="14"/>
  <c r="CQ10" i="14"/>
  <c r="J20" i="14"/>
  <c r="BL20" i="14"/>
  <c r="CP20" i="14"/>
  <c r="AZ27" i="14"/>
  <c r="CD27" i="14"/>
  <c r="CL37" i="14"/>
  <c r="AE40" i="14"/>
  <c r="CU53" i="14"/>
  <c r="CI53" i="14"/>
  <c r="BW53" i="14"/>
  <c r="BK53" i="14"/>
  <c r="AY53" i="14"/>
  <c r="AM53" i="14"/>
  <c r="AA53" i="14"/>
  <c r="O53" i="14"/>
  <c r="C53" i="14"/>
  <c r="CT53" i="14"/>
  <c r="CH53" i="14"/>
  <c r="BV53" i="14"/>
  <c r="BJ53" i="14"/>
  <c r="AX53" i="14"/>
  <c r="AL53" i="14"/>
  <c r="Z53" i="14"/>
  <c r="N53" i="14"/>
  <c r="CR53" i="14"/>
  <c r="CF53" i="14"/>
  <c r="BT53" i="14"/>
  <c r="BH53" i="14"/>
  <c r="AV53" i="14"/>
  <c r="AJ53" i="14"/>
  <c r="X53" i="14"/>
  <c r="L53" i="14"/>
  <c r="CO53" i="14"/>
  <c r="BZ53" i="14"/>
  <c r="BI53" i="14"/>
  <c r="AS53" i="14"/>
  <c r="AD53" i="14"/>
  <c r="M53" i="14"/>
  <c r="BF53" i="14"/>
  <c r="J53" i="14"/>
  <c r="CN53" i="14"/>
  <c r="BY53" i="14"/>
  <c r="BG53" i="14"/>
  <c r="AR53" i="14"/>
  <c r="AC53" i="14"/>
  <c r="K53" i="14"/>
  <c r="CM53" i="14"/>
  <c r="BX53" i="14"/>
  <c r="AQ53" i="14"/>
  <c r="AB53" i="14"/>
  <c r="CL53" i="14"/>
  <c r="BU53" i="14"/>
  <c r="BE53" i="14"/>
  <c r="AP53" i="14"/>
  <c r="Y53" i="14"/>
  <c r="I53" i="14"/>
  <c r="CS53" i="14"/>
  <c r="BR53" i="14"/>
  <c r="AW53" i="14"/>
  <c r="V53" i="14"/>
  <c r="CQ53" i="14"/>
  <c r="BQ53" i="14"/>
  <c r="AU53" i="14"/>
  <c r="U53" i="14"/>
  <c r="CK53" i="14"/>
  <c r="BO53" i="14"/>
  <c r="AO53" i="14"/>
  <c r="S53" i="14"/>
  <c r="CJ53" i="14"/>
  <c r="BN53" i="14"/>
  <c r="AN53" i="14"/>
  <c r="R53" i="14"/>
  <c r="G53" i="14"/>
  <c r="CC53" i="14"/>
  <c r="CD79" i="14"/>
  <c r="AS88" i="14"/>
  <c r="CO99" i="14"/>
  <c r="BV115" i="14"/>
  <c r="AR10" i="14"/>
  <c r="CR10" i="14"/>
  <c r="M20" i="14"/>
  <c r="AQ20" i="14"/>
  <c r="CU20" i="14"/>
  <c r="Y27" i="14"/>
  <c r="CE27" i="14"/>
  <c r="AD34" i="14"/>
  <c r="CJ34" i="14"/>
  <c r="BC37" i="14"/>
  <c r="D40" i="14"/>
  <c r="AF40" i="14"/>
  <c r="BR40" i="14"/>
  <c r="CV40" i="14"/>
  <c r="G47" i="14"/>
  <c r="AS47" i="14"/>
  <c r="D49" i="14"/>
  <c r="AZ53" i="14"/>
  <c r="CE79" i="14"/>
  <c r="AV88" i="14"/>
  <c r="CS99" i="14"/>
  <c r="CV119" i="14"/>
  <c r="BC119" i="14"/>
  <c r="H119" i="14"/>
  <c r="CM119" i="14"/>
  <c r="BA119" i="14"/>
  <c r="E119" i="14"/>
  <c r="S10" i="14"/>
  <c r="BS10" i="14"/>
  <c r="CS10" i="14"/>
  <c r="AR20" i="14"/>
  <c r="BR20" i="14"/>
  <c r="AB27" i="14"/>
  <c r="CF27" i="14"/>
  <c r="AE34" i="14"/>
  <c r="CK34" i="14"/>
  <c r="AG37" i="14"/>
  <c r="I40" i="14"/>
  <c r="AK40" i="14"/>
  <c r="CW40" i="14"/>
  <c r="P47" i="14"/>
  <c r="CA47" i="14"/>
  <c r="AK49" i="14"/>
  <c r="CC49" i="14"/>
  <c r="BA53" i="14"/>
  <c r="CF79" i="14"/>
  <c r="CY92" i="14"/>
  <c r="CK92" i="14"/>
  <c r="BW92" i="14"/>
  <c r="BG92" i="14"/>
  <c r="AS92" i="14"/>
  <c r="AE92" i="14"/>
  <c r="Q92" i="14"/>
  <c r="C92" i="14"/>
  <c r="CP92" i="14"/>
  <c r="BT92" i="14"/>
  <c r="BC92" i="14"/>
  <c r="AJ92" i="14"/>
  <c r="P92" i="14"/>
  <c r="CO92" i="14"/>
  <c r="BS92" i="14"/>
  <c r="BB92" i="14"/>
  <c r="AI92" i="14"/>
  <c r="O92" i="14"/>
  <c r="CJ92" i="14"/>
  <c r="BQ92" i="14"/>
  <c r="AZ92" i="14"/>
  <c r="AD92" i="14"/>
  <c r="K92" i="14"/>
  <c r="CL92" i="14"/>
  <c r="BN92" i="14"/>
  <c r="AO92" i="14"/>
  <c r="L92" i="14"/>
  <c r="CI92" i="14"/>
  <c r="BM92" i="14"/>
  <c r="AN92" i="14"/>
  <c r="J92" i="14"/>
  <c r="CF92" i="14"/>
  <c r="BH92" i="14"/>
  <c r="AM92" i="14"/>
  <c r="I92" i="14"/>
  <c r="CE92" i="14"/>
  <c r="BF92" i="14"/>
  <c r="AF92" i="14"/>
  <c r="H92" i="14"/>
  <c r="CQ92" i="14"/>
  <c r="AY92" i="14"/>
  <c r="R92" i="14"/>
  <c r="CD92" i="14"/>
  <c r="AT92" i="14"/>
  <c r="G92" i="14"/>
  <c r="CC92" i="14"/>
  <c r="AR92" i="14"/>
  <c r="CB92" i="14"/>
  <c r="AQ92" i="14"/>
  <c r="CA92" i="14"/>
  <c r="AP92" i="14"/>
  <c r="AB92" i="14"/>
  <c r="CV99" i="14"/>
  <c r="CA119" i="14"/>
  <c r="C10" i="14"/>
  <c r="AB10" i="14"/>
  <c r="AW10" i="14"/>
  <c r="CB10" i="14"/>
  <c r="CX10" i="14"/>
  <c r="W20" i="14"/>
  <c r="AU20" i="14"/>
  <c r="CB20" i="14"/>
  <c r="CU24" i="14"/>
  <c r="CI24" i="14"/>
  <c r="BW24" i="14"/>
  <c r="BK24" i="14"/>
  <c r="AY24" i="14"/>
  <c r="AM24" i="14"/>
  <c r="AA24" i="14"/>
  <c r="O24" i="14"/>
  <c r="C24" i="14"/>
  <c r="CT24" i="14"/>
  <c r="CH24" i="14"/>
  <c r="BV24" i="14"/>
  <c r="BJ24" i="14"/>
  <c r="AX24" i="14"/>
  <c r="AL24" i="14"/>
  <c r="Z24" i="14"/>
  <c r="N24" i="14"/>
  <c r="CV24" i="14"/>
  <c r="CF24" i="14"/>
  <c r="BR24" i="14"/>
  <c r="BD24" i="14"/>
  <c r="AP24" i="14"/>
  <c r="AB24" i="14"/>
  <c r="L24" i="14"/>
  <c r="CS24" i="14"/>
  <c r="CE24" i="14"/>
  <c r="BQ24" i="14"/>
  <c r="BC24" i="14"/>
  <c r="AO24" i="14"/>
  <c r="Y24" i="14"/>
  <c r="K24" i="14"/>
  <c r="CQ24" i="14"/>
  <c r="CC24" i="14"/>
  <c r="BO24" i="14"/>
  <c r="BA24" i="14"/>
  <c r="AK24" i="14"/>
  <c r="W24" i="14"/>
  <c r="I24" i="14"/>
  <c r="CP24" i="14"/>
  <c r="BY24" i="14"/>
  <c r="BF24" i="14"/>
  <c r="AJ24" i="14"/>
  <c r="S24" i="14"/>
  <c r="CO24" i="14"/>
  <c r="BX24" i="14"/>
  <c r="BE24" i="14"/>
  <c r="AI24" i="14"/>
  <c r="R24" i="14"/>
  <c r="CM24" i="14"/>
  <c r="BT24" i="14"/>
  <c r="AZ24" i="14"/>
  <c r="AG24" i="14"/>
  <c r="P24" i="14"/>
  <c r="CL24" i="14"/>
  <c r="BS24" i="14"/>
  <c r="AW24" i="14"/>
  <c r="AF24" i="14"/>
  <c r="M24" i="14"/>
  <c r="G24" i="14"/>
  <c r="AN24" i="14"/>
  <c r="BM24" i="14"/>
  <c r="CR24" i="14"/>
  <c r="H27" i="14"/>
  <c r="AH27" i="14"/>
  <c r="BN27" i="14"/>
  <c r="CN27" i="14"/>
  <c r="K34" i="14"/>
  <c r="AH34" i="14"/>
  <c r="BQ34" i="14"/>
  <c r="CN34" i="14"/>
  <c r="J37" i="14"/>
  <c r="AJ37" i="14"/>
  <c r="BQ37" i="14"/>
  <c r="CS37" i="14"/>
  <c r="L40" i="14"/>
  <c r="AT40" i="14"/>
  <c r="BX40" i="14"/>
  <c r="U47" i="14"/>
  <c r="AW47" i="14"/>
  <c r="CM47" i="14"/>
  <c r="J49" i="14"/>
  <c r="AZ49" i="14"/>
  <c r="CF49" i="14"/>
  <c r="W53" i="14"/>
  <c r="BD53" i="14"/>
  <c r="CV53" i="14"/>
  <c r="BA79" i="14"/>
  <c r="CV79" i="14"/>
  <c r="N88" i="14"/>
  <c r="BZ88" i="14"/>
  <c r="BD92" i="14"/>
  <c r="BI99" i="14"/>
  <c r="W115" i="14"/>
  <c r="CP115" i="14"/>
  <c r="AA119" i="14"/>
  <c r="CE119" i="14"/>
  <c r="F10" i="14"/>
  <c r="AC10" i="14"/>
  <c r="BC10" i="14"/>
  <c r="CC10" i="14"/>
  <c r="Z20" i="14"/>
  <c r="AV20" i="14"/>
  <c r="CE20" i="14"/>
  <c r="H24" i="14"/>
  <c r="AQ24" i="14"/>
  <c r="BN24" i="14"/>
  <c r="CW24" i="14"/>
  <c r="I27" i="14"/>
  <c r="AI27" i="14"/>
  <c r="BO27" i="14"/>
  <c r="CO27" i="14"/>
  <c r="L34" i="14"/>
  <c r="AJ34" i="14"/>
  <c r="BR34" i="14"/>
  <c r="CP34" i="14"/>
  <c r="K37" i="14"/>
  <c r="AK37" i="14"/>
  <c r="BX37" i="14"/>
  <c r="CZ37" i="14"/>
  <c r="M40" i="14"/>
  <c r="BA40" i="14"/>
  <c r="V47" i="14"/>
  <c r="BF47" i="14"/>
  <c r="CN47" i="14"/>
  <c r="P49" i="14"/>
  <c r="BC49" i="14"/>
  <c r="CG49" i="14"/>
  <c r="AE53" i="14"/>
  <c r="BL53" i="14"/>
  <c r="CW53" i="14"/>
  <c r="J71" i="14"/>
  <c r="AY71" i="14"/>
  <c r="CG71" i="14"/>
  <c r="F79" i="14"/>
  <c r="BB79" i="14"/>
  <c r="CW81" i="14"/>
  <c r="CK81" i="14"/>
  <c r="BY81" i="14"/>
  <c r="BM81" i="14"/>
  <c r="BA81" i="14"/>
  <c r="AO81" i="14"/>
  <c r="AC81" i="14"/>
  <c r="Q81" i="14"/>
  <c r="E81" i="14"/>
  <c r="CV81" i="14"/>
  <c r="CJ81" i="14"/>
  <c r="BX81" i="14"/>
  <c r="BL81" i="14"/>
  <c r="AZ81" i="14"/>
  <c r="AN81" i="14"/>
  <c r="AB81" i="14"/>
  <c r="P81" i="14"/>
  <c r="D81" i="14"/>
  <c r="CS81" i="14"/>
  <c r="CE81" i="14"/>
  <c r="BQ81" i="14"/>
  <c r="BC81" i="14"/>
  <c r="AM81" i="14"/>
  <c r="Y81" i="14"/>
  <c r="K81" i="14"/>
  <c r="CR81" i="14"/>
  <c r="CD81" i="14"/>
  <c r="BP81" i="14"/>
  <c r="BB81" i="14"/>
  <c r="AL81" i="14"/>
  <c r="X81" i="14"/>
  <c r="J81" i="14"/>
  <c r="CO81" i="14"/>
  <c r="BW81" i="14"/>
  <c r="BG81" i="14"/>
  <c r="AQ81" i="14"/>
  <c r="W81" i="14"/>
  <c r="G81" i="14"/>
  <c r="CN81" i="14"/>
  <c r="BV81" i="14"/>
  <c r="BF81" i="14"/>
  <c r="AP81" i="14"/>
  <c r="V81" i="14"/>
  <c r="F81" i="14"/>
  <c r="CL81" i="14"/>
  <c r="BT81" i="14"/>
  <c r="BD81" i="14"/>
  <c r="AJ81" i="14"/>
  <c r="T81" i="14"/>
  <c r="CY81" i="14"/>
  <c r="CB81" i="14"/>
  <c r="BE81" i="14"/>
  <c r="AG81" i="14"/>
  <c r="L81" i="14"/>
  <c r="CX81" i="14"/>
  <c r="CA81" i="14"/>
  <c r="AY81" i="14"/>
  <c r="AF81" i="14"/>
  <c r="I81" i="14"/>
  <c r="CU81" i="14"/>
  <c r="BZ81" i="14"/>
  <c r="AX81" i="14"/>
  <c r="AE81" i="14"/>
  <c r="H81" i="14"/>
  <c r="CT81" i="14"/>
  <c r="BU81" i="14"/>
  <c r="AW81" i="14"/>
  <c r="AD81" i="14"/>
  <c r="C81" i="14"/>
  <c r="BS81" i="14"/>
  <c r="AR81" i="14"/>
  <c r="BR81" i="14"/>
  <c r="AK81" i="14"/>
  <c r="CZ81" i="14"/>
  <c r="BN81" i="14"/>
  <c r="AH81" i="14"/>
  <c r="CQ81" i="14"/>
  <c r="BK81" i="14"/>
  <c r="AA81" i="14"/>
  <c r="AT81" i="14"/>
  <c r="CM81" i="14"/>
  <c r="W88" i="14"/>
  <c r="CA88" i="14"/>
  <c r="BE92" i="14"/>
  <c r="BJ99" i="14"/>
  <c r="Y115" i="14"/>
  <c r="CQ115" i="14"/>
  <c r="AG119" i="14"/>
  <c r="G10" i="14"/>
  <c r="AD10" i="14"/>
  <c r="BF10" i="14"/>
  <c r="CD10" i="14"/>
  <c r="AA20" i="14"/>
  <c r="AX20" i="14"/>
  <c r="J24" i="14"/>
  <c r="AR24" i="14"/>
  <c r="BP24" i="14"/>
  <c r="CX24" i="14"/>
  <c r="J27" i="14"/>
  <c r="AN27" i="14"/>
  <c r="BP27" i="14"/>
  <c r="CR27" i="14"/>
  <c r="M34" i="14"/>
  <c r="AO34" i="14"/>
  <c r="BS34" i="14"/>
  <c r="CS34" i="14"/>
  <c r="M37" i="14"/>
  <c r="AN37" i="14"/>
  <c r="BY37" i="14"/>
  <c r="CU40" i="14"/>
  <c r="CI40" i="14"/>
  <c r="BW40" i="14"/>
  <c r="BK40" i="14"/>
  <c r="AY40" i="14"/>
  <c r="AM40" i="14"/>
  <c r="AA40" i="14"/>
  <c r="O40" i="14"/>
  <c r="C40" i="14"/>
  <c r="CT40" i="14"/>
  <c r="CH40" i="14"/>
  <c r="BV40" i="14"/>
  <c r="BJ40" i="14"/>
  <c r="AX40" i="14"/>
  <c r="AL40" i="14"/>
  <c r="Z40" i="14"/>
  <c r="N40" i="14"/>
  <c r="CP40" i="14"/>
  <c r="CB40" i="14"/>
  <c r="BN40" i="14"/>
  <c r="AZ40" i="14"/>
  <c r="AJ40" i="14"/>
  <c r="V40" i="14"/>
  <c r="H40" i="14"/>
  <c r="F40" i="14"/>
  <c r="CO40" i="14"/>
  <c r="CA40" i="14"/>
  <c r="BM40" i="14"/>
  <c r="AW40" i="14"/>
  <c r="AI40" i="14"/>
  <c r="U40" i="14"/>
  <c r="G40" i="14"/>
  <c r="CN40" i="14"/>
  <c r="BZ40" i="14"/>
  <c r="BL40" i="14"/>
  <c r="AV40" i="14"/>
  <c r="AH40" i="14"/>
  <c r="T40" i="14"/>
  <c r="CM40" i="14"/>
  <c r="BY40" i="14"/>
  <c r="BI40" i="14"/>
  <c r="AU40" i="14"/>
  <c r="AG40" i="14"/>
  <c r="S40" i="14"/>
  <c r="E40" i="14"/>
  <c r="CK40" i="14"/>
  <c r="BQ40" i="14"/>
  <c r="AS40" i="14"/>
  <c r="Y40" i="14"/>
  <c r="CJ40" i="14"/>
  <c r="BP40" i="14"/>
  <c r="AR40" i="14"/>
  <c r="X40" i="14"/>
  <c r="CZ40" i="14"/>
  <c r="CF40" i="14"/>
  <c r="BH40" i="14"/>
  <c r="AP40" i="14"/>
  <c r="R40" i="14"/>
  <c r="CY40" i="14"/>
  <c r="CE40" i="14"/>
  <c r="BG40" i="14"/>
  <c r="AO40" i="14"/>
  <c r="Q40" i="14"/>
  <c r="P40" i="14"/>
  <c r="BB40" i="14"/>
  <c r="CD40" i="14"/>
  <c r="M47" i="14"/>
  <c r="W47" i="14"/>
  <c r="BI47" i="14"/>
  <c r="CO47" i="14"/>
  <c r="S49" i="14"/>
  <c r="BD49" i="14"/>
  <c r="CH49" i="14"/>
  <c r="AF53" i="14"/>
  <c r="BM53" i="14"/>
  <c r="CX53" i="14"/>
  <c r="D59" i="14"/>
  <c r="CH59" i="14"/>
  <c r="AH59" i="14"/>
  <c r="BR59" i="14"/>
  <c r="AX59" i="14"/>
  <c r="S59" i="14"/>
  <c r="CF59" i="14"/>
  <c r="BH59" i="14"/>
  <c r="AF59" i="14"/>
  <c r="J59" i="14"/>
  <c r="CE59" i="14"/>
  <c r="BG59" i="14"/>
  <c r="AE59" i="14"/>
  <c r="I59" i="14"/>
  <c r="BZ59" i="14"/>
  <c r="BE59" i="14"/>
  <c r="Z59" i="14"/>
  <c r="G59" i="14"/>
  <c r="CV59" i="14"/>
  <c r="BX59" i="14"/>
  <c r="AV59" i="14"/>
  <c r="Y59" i="14"/>
  <c r="W59" i="14"/>
  <c r="BJ59" i="14"/>
  <c r="CT59" i="14"/>
  <c r="K71" i="14"/>
  <c r="AZ71" i="14"/>
  <c r="CK71" i="14"/>
  <c r="K79" i="14"/>
  <c r="BD79" i="14"/>
  <c r="AU81" i="14"/>
  <c r="CP81" i="14"/>
  <c r="AK88" i="14"/>
  <c r="CF88" i="14"/>
  <c r="BO92" i="14"/>
  <c r="BK99" i="14"/>
  <c r="AL115" i="14"/>
  <c r="CU119" i="14"/>
  <c r="AH119" i="14"/>
  <c r="CX20" i="14"/>
  <c r="CL20" i="14"/>
  <c r="BZ20" i="14"/>
  <c r="BN20" i="14"/>
  <c r="BB20" i="14"/>
  <c r="AP20" i="14"/>
  <c r="CW20" i="14"/>
  <c r="CK20" i="14"/>
  <c r="BY20" i="14"/>
  <c r="BM20" i="14"/>
  <c r="BA20" i="14"/>
  <c r="AO20" i="14"/>
  <c r="AC20" i="14"/>
  <c r="Q20" i="14"/>
  <c r="E20" i="14"/>
  <c r="CR20" i="14"/>
  <c r="CD20" i="14"/>
  <c r="BP20" i="14"/>
  <c r="AZ20" i="14"/>
  <c r="AL20" i="14"/>
  <c r="Y20" i="14"/>
  <c r="L20" i="14"/>
  <c r="CQ20" i="14"/>
  <c r="CC20" i="14"/>
  <c r="BO20" i="14"/>
  <c r="AY20" i="14"/>
  <c r="AK20" i="14"/>
  <c r="X20" i="14"/>
  <c r="K20" i="14"/>
  <c r="CO20" i="14"/>
  <c r="CA20" i="14"/>
  <c r="BK20" i="14"/>
  <c r="AW20" i="14"/>
  <c r="AI20" i="14"/>
  <c r="V20" i="14"/>
  <c r="I20" i="14"/>
  <c r="P20" i="14"/>
  <c r="AG20" i="14"/>
  <c r="BC20" i="14"/>
  <c r="BT20" i="14"/>
  <c r="CM20" i="14"/>
  <c r="R20" i="14"/>
  <c r="AH20" i="14"/>
  <c r="BD20" i="14"/>
  <c r="BU20" i="14"/>
  <c r="CN20" i="14"/>
  <c r="F119" i="14"/>
  <c r="BB119" i="14"/>
  <c r="C20" i="14"/>
  <c r="T20" i="14"/>
  <c r="AM20" i="14"/>
  <c r="BF20" i="14"/>
  <c r="BW20" i="14"/>
  <c r="CS20" i="14"/>
  <c r="CY47" i="14"/>
  <c r="CT119" i="14"/>
  <c r="CH119" i="14"/>
  <c r="BV119" i="14"/>
  <c r="BJ119" i="14"/>
  <c r="AX119" i="14"/>
  <c r="AL119" i="14"/>
  <c r="Z119" i="14"/>
  <c r="N119" i="14"/>
  <c r="CS119" i="14"/>
  <c r="CG119" i="14"/>
  <c r="BU119" i="14"/>
  <c r="BI119" i="14"/>
  <c r="AW119" i="14"/>
  <c r="AK119" i="14"/>
  <c r="Y119" i="14"/>
  <c r="M119" i="14"/>
  <c r="CZ119" i="14"/>
  <c r="CL119" i="14"/>
  <c r="BX119" i="14"/>
  <c r="BH119" i="14"/>
  <c r="AT119" i="14"/>
  <c r="AF119" i="14"/>
  <c r="R119" i="14"/>
  <c r="D119" i="14"/>
  <c r="CY119" i="14"/>
  <c r="CK119" i="14"/>
  <c r="BW119" i="14"/>
  <c r="BG119" i="14"/>
  <c r="AS119" i="14"/>
  <c r="AE119" i="14"/>
  <c r="Q119" i="14"/>
  <c r="C119" i="14"/>
  <c r="CW119" i="14"/>
  <c r="CI119" i="14"/>
  <c r="BS119" i="14"/>
  <c r="BE119" i="14"/>
  <c r="AQ119" i="14"/>
  <c r="AC119" i="14"/>
  <c r="O119" i="14"/>
  <c r="CJ119" i="14"/>
  <c r="BP119" i="14"/>
  <c r="AY119" i="14"/>
  <c r="AD119" i="14"/>
  <c r="J119" i="14"/>
  <c r="CF119" i="14"/>
  <c r="BO119" i="14"/>
  <c r="AV119" i="14"/>
  <c r="AB119" i="14"/>
  <c r="I119" i="14"/>
  <c r="CX119" i="14"/>
  <c r="CD119" i="14"/>
  <c r="BM119" i="14"/>
  <c r="AR119" i="14"/>
  <c r="X119" i="14"/>
  <c r="G119" i="14"/>
  <c r="CR119" i="14"/>
  <c r="BT119" i="14"/>
  <c r="AU119" i="14"/>
  <c r="U119" i="14"/>
  <c r="CP119" i="14"/>
  <c r="BQ119" i="14"/>
  <c r="AO119" i="14"/>
  <c r="S119" i="14"/>
  <c r="CQ119" i="14"/>
  <c r="BR119" i="14"/>
  <c r="AP119" i="14"/>
  <c r="T119" i="14"/>
  <c r="CO119" i="14"/>
  <c r="BN119" i="14"/>
  <c r="AN119" i="14"/>
  <c r="P119" i="14"/>
  <c r="CN119" i="14"/>
  <c r="BL119" i="14"/>
  <c r="AM119" i="14"/>
  <c r="L119" i="14"/>
  <c r="K119" i="14"/>
  <c r="BD119" i="14"/>
  <c r="D20" i="14"/>
  <c r="U20" i="14"/>
  <c r="AN20" i="14"/>
  <c r="BG20" i="14"/>
  <c r="BX20" i="14"/>
  <c r="CT20" i="14"/>
  <c r="CT79" i="14"/>
  <c r="CH79" i="14"/>
  <c r="BV79" i="14"/>
  <c r="BJ79" i="14"/>
  <c r="AX79" i="14"/>
  <c r="AL79" i="14"/>
  <c r="Z79" i="14"/>
  <c r="N79" i="14"/>
  <c r="CS79" i="14"/>
  <c r="CG79" i="14"/>
  <c r="BU79" i="14"/>
  <c r="BI79" i="14"/>
  <c r="AW79" i="14"/>
  <c r="AK79" i="14"/>
  <c r="Y79" i="14"/>
  <c r="M79" i="14"/>
  <c r="CX79" i="14"/>
  <c r="CJ79" i="14"/>
  <c r="BT79" i="14"/>
  <c r="BF79" i="14"/>
  <c r="AR79" i="14"/>
  <c r="AD79" i="14"/>
  <c r="P79" i="14"/>
  <c r="CW79" i="14"/>
  <c r="CI79" i="14"/>
  <c r="BS79" i="14"/>
  <c r="BE79" i="14"/>
  <c r="AQ79" i="14"/>
  <c r="AC79" i="14"/>
  <c r="O79" i="14"/>
  <c r="CP79" i="14"/>
  <c r="BZ79" i="14"/>
  <c r="BH79" i="14"/>
  <c r="AP79" i="14"/>
  <c r="X79" i="14"/>
  <c r="H79" i="14"/>
  <c r="CO79" i="14"/>
  <c r="BY79" i="14"/>
  <c r="BG79" i="14"/>
  <c r="AO79" i="14"/>
  <c r="W79" i="14"/>
  <c r="G79" i="14"/>
  <c r="CM79" i="14"/>
  <c r="BW79" i="14"/>
  <c r="BC79" i="14"/>
  <c r="AM79" i="14"/>
  <c r="U79" i="14"/>
  <c r="E79" i="14"/>
  <c r="CQ79" i="14"/>
  <c r="BQ79" i="14"/>
  <c r="AV79" i="14"/>
  <c r="AA79" i="14"/>
  <c r="C79" i="14"/>
  <c r="AT79" i="14"/>
  <c r="CN79" i="14"/>
  <c r="BP79" i="14"/>
  <c r="AU79" i="14"/>
  <c r="V79" i="14"/>
  <c r="CL79" i="14"/>
  <c r="BO79" i="14"/>
  <c r="T79" i="14"/>
  <c r="CK79" i="14"/>
  <c r="BN79" i="14"/>
  <c r="AS79" i="14"/>
  <c r="S79" i="14"/>
  <c r="J79" i="14"/>
  <c r="AN79" i="14"/>
  <c r="CB79" i="14"/>
  <c r="V119" i="14"/>
  <c r="BF119" i="14"/>
  <c r="CB110" i="14"/>
  <c r="CW115" i="14"/>
  <c r="CK115" i="14"/>
  <c r="BY115" i="14"/>
  <c r="BM115" i="14"/>
  <c r="BA115" i="14"/>
  <c r="AO115" i="14"/>
  <c r="AC115" i="14"/>
  <c r="Q115" i="14"/>
  <c r="E115" i="14"/>
  <c r="CV115" i="14"/>
  <c r="CJ115" i="14"/>
  <c r="BX115" i="14"/>
  <c r="BL115" i="14"/>
  <c r="AZ115" i="14"/>
  <c r="AN115" i="14"/>
  <c r="AB115" i="14"/>
  <c r="P115" i="14"/>
  <c r="D115" i="14"/>
  <c r="CY115" i="14"/>
  <c r="CI115" i="14"/>
  <c r="BU115" i="14"/>
  <c r="BG115" i="14"/>
  <c r="AS115" i="14"/>
  <c r="AE115" i="14"/>
  <c r="O115" i="14"/>
  <c r="CX115" i="14"/>
  <c r="CH115" i="14"/>
  <c r="BT115" i="14"/>
  <c r="BF115" i="14"/>
  <c r="AR115" i="14"/>
  <c r="AD115" i="14"/>
  <c r="N115" i="14"/>
  <c r="CT115" i="14"/>
  <c r="CF115" i="14"/>
  <c r="BR115" i="14"/>
  <c r="BD115" i="14"/>
  <c r="AP115" i="14"/>
  <c r="Z115" i="14"/>
  <c r="L115" i="14"/>
  <c r="CL115" i="14"/>
  <c r="BP115" i="14"/>
  <c r="AW115" i="14"/>
  <c r="AF115" i="14"/>
  <c r="J115" i="14"/>
  <c r="CG115" i="14"/>
  <c r="BO115" i="14"/>
  <c r="AV115" i="14"/>
  <c r="AA115" i="14"/>
  <c r="I115" i="14"/>
  <c r="CZ115" i="14"/>
  <c r="CD115" i="14"/>
  <c r="BK115" i="14"/>
  <c r="AT115" i="14"/>
  <c r="X115" i="14"/>
  <c r="G115" i="14"/>
  <c r="C115" i="14"/>
  <c r="AG115" i="14"/>
  <c r="BC115" i="14"/>
  <c r="CB115" i="14"/>
  <c r="G34" i="14"/>
  <c r="U34" i="14"/>
  <c r="AI34" i="14"/>
  <c r="AW34" i="14"/>
  <c r="BM34" i="14"/>
  <c r="CA34" i="14"/>
  <c r="CO34" i="14"/>
  <c r="CU47" i="14"/>
  <c r="CI47" i="14"/>
  <c r="BW47" i="14"/>
  <c r="BK47" i="14"/>
  <c r="AY47" i="14"/>
  <c r="AM47" i="14"/>
  <c r="AA47" i="14"/>
  <c r="O47" i="14"/>
  <c r="C47" i="14"/>
  <c r="CT47" i="14"/>
  <c r="CH47" i="14"/>
  <c r="BV47" i="14"/>
  <c r="BJ47" i="14"/>
  <c r="AX47" i="14"/>
  <c r="AL47" i="14"/>
  <c r="Z47" i="14"/>
  <c r="N47" i="14"/>
  <c r="CR47" i="14"/>
  <c r="CF47" i="14"/>
  <c r="BT47" i="14"/>
  <c r="J47" i="14"/>
  <c r="X47" i="14"/>
  <c r="AN47" i="14"/>
  <c r="BB47" i="14"/>
  <c r="BP47" i="14"/>
  <c r="CE47" i="14"/>
  <c r="CW47" i="14"/>
  <c r="CW59" i="14"/>
  <c r="CK59" i="14"/>
  <c r="BY59" i="14"/>
  <c r="BM59" i="14"/>
  <c r="BA59" i="14"/>
  <c r="AO59" i="14"/>
  <c r="CQ59" i="14"/>
  <c r="CD59" i="14"/>
  <c r="BQ59" i="14"/>
  <c r="BD59" i="14"/>
  <c r="AQ59" i="14"/>
  <c r="AD59" i="14"/>
  <c r="R59" i="14"/>
  <c r="F59" i="14"/>
  <c r="CP59" i="14"/>
  <c r="CC59" i="14"/>
  <c r="BP59" i="14"/>
  <c r="BC59" i="14"/>
  <c r="AP59" i="14"/>
  <c r="AC59" i="14"/>
  <c r="Q59" i="14"/>
  <c r="E59" i="14"/>
  <c r="CN59" i="14"/>
  <c r="CA59" i="14"/>
  <c r="BN59" i="14"/>
  <c r="AZ59" i="14"/>
  <c r="AM59" i="14"/>
  <c r="AA59" i="14"/>
  <c r="O59" i="14"/>
  <c r="C59" i="14"/>
  <c r="P59" i="14"/>
  <c r="AG59" i="14"/>
  <c r="AW59" i="14"/>
  <c r="BO59" i="14"/>
  <c r="CG59" i="14"/>
  <c r="CX59" i="14"/>
  <c r="F110" i="14"/>
  <c r="AC110" i="14"/>
  <c r="BE110" i="14"/>
  <c r="CC110" i="14"/>
  <c r="F115" i="14"/>
  <c r="AH115" i="14"/>
  <c r="BE115" i="14"/>
  <c r="CC115" i="14"/>
  <c r="CM92" i="14"/>
  <c r="I34" i="14"/>
  <c r="W34" i="14"/>
  <c r="AK34" i="14"/>
  <c r="BA34" i="14"/>
  <c r="BO34" i="14"/>
  <c r="CC34" i="14"/>
  <c r="L47" i="14"/>
  <c r="AB47" i="14"/>
  <c r="AP47" i="14"/>
  <c r="BD47" i="14"/>
  <c r="BR47" i="14"/>
  <c r="CJ47" i="14"/>
  <c r="T59" i="14"/>
  <c r="AI59" i="14"/>
  <c r="AY59" i="14"/>
  <c r="BS59" i="14"/>
  <c r="CI59" i="14"/>
  <c r="CZ59" i="14"/>
  <c r="H110" i="14"/>
  <c r="AL110" i="14"/>
  <c r="BK110" i="14"/>
  <c r="CG110" i="14"/>
  <c r="K115" i="14"/>
  <c r="AJ115" i="14"/>
  <c r="BI115" i="14"/>
  <c r="CM115" i="14"/>
  <c r="G110" i="14"/>
  <c r="AG110" i="14"/>
  <c r="BJ110" i="14"/>
  <c r="CF110" i="14"/>
  <c r="CU34" i="14"/>
  <c r="CI34" i="14"/>
  <c r="BW34" i="14"/>
  <c r="BK34" i="14"/>
  <c r="AY34" i="14"/>
  <c r="AM34" i="14"/>
  <c r="AA34" i="14"/>
  <c r="O34" i="14"/>
  <c r="C34" i="14"/>
  <c r="CT34" i="14"/>
  <c r="CH34" i="14"/>
  <c r="BV34" i="14"/>
  <c r="BJ34" i="14"/>
  <c r="AX34" i="14"/>
  <c r="AL34" i="14"/>
  <c r="Z34" i="14"/>
  <c r="N34" i="14"/>
  <c r="J34" i="14"/>
  <c r="X34" i="14"/>
  <c r="AN34" i="14"/>
  <c r="BB34" i="14"/>
  <c r="BP34" i="14"/>
  <c r="CD34" i="14"/>
  <c r="CR34" i="14"/>
  <c r="AC47" i="14"/>
  <c r="AQ47" i="14"/>
  <c r="BE47" i="14"/>
  <c r="BS47" i="14"/>
  <c r="CK47" i="14"/>
  <c r="CZ47" i="14"/>
  <c r="U59" i="14"/>
  <c r="AJ59" i="14"/>
  <c r="BB59" i="14"/>
  <c r="BT59" i="14"/>
  <c r="CJ59" i="14"/>
  <c r="I110" i="14"/>
  <c r="AM110" i="14"/>
  <c r="BL110" i="14"/>
  <c r="M115" i="14"/>
  <c r="AK115" i="14"/>
  <c r="BJ115" i="14"/>
  <c r="CN115" i="14"/>
  <c r="CW71" i="14"/>
  <c r="CV71" i="14"/>
  <c r="CU71" i="14"/>
  <c r="CI71" i="14"/>
  <c r="BW71" i="14"/>
  <c r="BK71" i="14"/>
  <c r="CT71" i="14"/>
  <c r="CH71" i="14"/>
  <c r="BV71" i="14"/>
  <c r="BJ71" i="14"/>
  <c r="AX71" i="14"/>
  <c r="AL71" i="14"/>
  <c r="Z71" i="14"/>
  <c r="N71" i="14"/>
  <c r="F71" i="14"/>
  <c r="S71" i="14"/>
  <c r="AF71" i="14"/>
  <c r="AS71" i="14"/>
  <c r="BF71" i="14"/>
  <c r="BT71" i="14"/>
  <c r="CJ71" i="14"/>
  <c r="CZ71" i="14"/>
  <c r="CQ110" i="14"/>
  <c r="CE110" i="14"/>
  <c r="BS110" i="14"/>
  <c r="BG110" i="14"/>
  <c r="AU110" i="14"/>
  <c r="AI110" i="14"/>
  <c r="W110" i="14"/>
  <c r="K110" i="14"/>
  <c r="CP110" i="14"/>
  <c r="CD110" i="14"/>
  <c r="BR110" i="14"/>
  <c r="BF110" i="14"/>
  <c r="AT110" i="14"/>
  <c r="AH110" i="14"/>
  <c r="V110" i="14"/>
  <c r="J110" i="14"/>
  <c r="CY110" i="14"/>
  <c r="CK110" i="14"/>
  <c r="BW110" i="14"/>
  <c r="BI110" i="14"/>
  <c r="AS110" i="14"/>
  <c r="AE110" i="14"/>
  <c r="Q110" i="14"/>
  <c r="C110" i="14"/>
  <c r="CX110" i="14"/>
  <c r="CJ110" i="14"/>
  <c r="BV110" i="14"/>
  <c r="BH110" i="14"/>
  <c r="AR110" i="14"/>
  <c r="AD110" i="14"/>
  <c r="P110" i="14"/>
  <c r="CV110" i="14"/>
  <c r="CH110" i="14"/>
  <c r="BT110" i="14"/>
  <c r="BD110" i="14"/>
  <c r="AP110" i="14"/>
  <c r="AB110" i="14"/>
  <c r="N110" i="14"/>
  <c r="L110" i="14"/>
  <c r="AF110" i="14"/>
  <c r="AY110" i="14"/>
  <c r="BP110" i="14"/>
  <c r="CL110" i="14"/>
  <c r="H71" i="14"/>
  <c r="U71" i="14"/>
  <c r="AH71" i="14"/>
  <c r="AU71" i="14"/>
  <c r="BH71" i="14"/>
  <c r="BX71" i="14"/>
  <c r="CL71" i="14"/>
  <c r="CO95" i="14"/>
  <c r="CA95" i="14"/>
  <c r="BM95" i="14"/>
  <c r="AY95" i="14"/>
  <c r="AI95" i="14"/>
  <c r="U95" i="14"/>
  <c r="G95" i="14"/>
  <c r="Q95" i="14"/>
  <c r="AH95" i="14"/>
  <c r="BD95" i="14"/>
  <c r="BW95" i="14"/>
  <c r="CN95" i="14"/>
  <c r="O110" i="14"/>
  <c r="AJ110" i="14"/>
  <c r="BA110" i="14"/>
  <c r="BU110" i="14"/>
  <c r="CN110" i="14"/>
  <c r="I71" i="14"/>
  <c r="V71" i="14"/>
  <c r="AI71" i="14"/>
  <c r="AV71" i="14"/>
  <c r="BI71" i="14"/>
  <c r="BY71" i="14"/>
  <c r="CM71" i="14"/>
  <c r="R110" i="14"/>
  <c r="AK110" i="14"/>
  <c r="BB110" i="14"/>
  <c r="BX110" i="14"/>
  <c r="CO110" i="14"/>
  <c r="E92" i="14"/>
  <c r="S92" i="14"/>
  <c r="AG92" i="14"/>
  <c r="AU92" i="14"/>
  <c r="BK92" i="14"/>
  <c r="BY92" i="14"/>
  <c r="CT95" i="14"/>
  <c r="CH95" i="14"/>
  <c r="BV95" i="14"/>
  <c r="BJ95" i="14"/>
  <c r="AX95" i="14"/>
  <c r="AL95" i="14"/>
  <c r="Z95" i="14"/>
  <c r="N95" i="14"/>
  <c r="CS95" i="14"/>
  <c r="CG95" i="14"/>
  <c r="BU95" i="14"/>
  <c r="BI95" i="14"/>
  <c r="AW95" i="14"/>
  <c r="AK95" i="14"/>
  <c r="Y95" i="14"/>
  <c r="M95" i="14"/>
  <c r="I95" i="14"/>
  <c r="W95" i="14"/>
  <c r="AM95" i="14"/>
  <c r="BA95" i="14"/>
  <c r="BO95" i="14"/>
  <c r="CC95" i="14"/>
  <c r="CQ95" i="14"/>
  <c r="CT92" i="14"/>
  <c r="CH92" i="14"/>
  <c r="BV92" i="14"/>
  <c r="BJ92" i="14"/>
  <c r="AX92" i="14"/>
  <c r="AL92" i="14"/>
  <c r="Z92" i="14"/>
  <c r="N92" i="14"/>
  <c r="CS92" i="14"/>
  <c r="CG92" i="14"/>
  <c r="BU92" i="14"/>
  <c r="BI92" i="14"/>
  <c r="AW92" i="14"/>
  <c r="AK92" i="14"/>
  <c r="Y92" i="14"/>
  <c r="M92" i="14"/>
  <c r="F92" i="14"/>
  <c r="T92" i="14"/>
  <c r="AH92" i="14"/>
  <c r="AV92" i="14"/>
  <c r="BL92" i="14"/>
  <c r="BZ92" i="14"/>
  <c r="CN92" i="14"/>
  <c r="J95" i="14"/>
  <c r="X95" i="14"/>
  <c r="AN95" i="14"/>
  <c r="BB95" i="14"/>
  <c r="BP95" i="14"/>
  <c r="CD95" i="14"/>
  <c r="CR95" i="14"/>
  <c r="AT20" i="13"/>
  <c r="AE27" i="13"/>
  <c r="Y20" i="13"/>
  <c r="AV20" i="13"/>
  <c r="BX20" i="13"/>
  <c r="AJ27" i="13"/>
  <c r="BR27" i="13"/>
  <c r="CS27" i="13"/>
  <c r="CY49" i="13"/>
  <c r="CM49" i="13"/>
  <c r="CA49" i="13"/>
  <c r="BO49" i="13"/>
  <c r="BC49" i="13"/>
  <c r="AQ49" i="13"/>
  <c r="AE49" i="13"/>
  <c r="S49" i="13"/>
  <c r="G49" i="13"/>
  <c r="CP49" i="13"/>
  <c r="CC49" i="13"/>
  <c r="BP49" i="13"/>
  <c r="BB49" i="13"/>
  <c r="AO49" i="13"/>
  <c r="AB49" i="13"/>
  <c r="O49" i="13"/>
  <c r="CO49" i="13"/>
  <c r="CB49" i="13"/>
  <c r="BN49" i="13"/>
  <c r="BA49" i="13"/>
  <c r="AN49" i="13"/>
  <c r="AA49" i="13"/>
  <c r="N49" i="13"/>
  <c r="CX49" i="13"/>
  <c r="CI49" i="13"/>
  <c r="BT49" i="13"/>
  <c r="BE49" i="13"/>
  <c r="AM49" i="13"/>
  <c r="X49" i="13"/>
  <c r="I49" i="13"/>
  <c r="CW49" i="13"/>
  <c r="CH49" i="13"/>
  <c r="BS49" i="13"/>
  <c r="BD49" i="13"/>
  <c r="AL49" i="13"/>
  <c r="W49" i="13"/>
  <c r="H49" i="13"/>
  <c r="CV49" i="13"/>
  <c r="CG49" i="13"/>
  <c r="BR49" i="13"/>
  <c r="AZ49" i="13"/>
  <c r="AK49" i="13"/>
  <c r="V49" i="13"/>
  <c r="F49" i="13"/>
  <c r="CU49" i="13"/>
  <c r="CF49" i="13"/>
  <c r="BQ49" i="13"/>
  <c r="AY49" i="13"/>
  <c r="AJ49" i="13"/>
  <c r="U49" i="13"/>
  <c r="E49" i="13"/>
  <c r="CL49" i="13"/>
  <c r="BL49" i="13"/>
  <c r="AS49" i="13"/>
  <c r="R49" i="13"/>
  <c r="CK49" i="13"/>
  <c r="BK49" i="13"/>
  <c r="AR49" i="13"/>
  <c r="Q49" i="13"/>
  <c r="CJ49" i="13"/>
  <c r="BJ49" i="13"/>
  <c r="AP49" i="13"/>
  <c r="P49" i="13"/>
  <c r="M49" i="13"/>
  <c r="L49" i="13"/>
  <c r="CE49" i="13"/>
  <c r="AI49" i="13"/>
  <c r="BH49" i="13"/>
  <c r="AH49" i="13"/>
  <c r="BI49" i="13"/>
  <c r="CD49" i="13"/>
  <c r="AF49" i="13"/>
  <c r="BW49" i="13"/>
  <c r="Y53" i="13"/>
  <c r="BE53" i="13"/>
  <c r="CY53" i="13"/>
  <c r="AJ59" i="13"/>
  <c r="BR59" i="13"/>
  <c r="AV88" i="13"/>
  <c r="CI88" i="13"/>
  <c r="C10" i="13"/>
  <c r="Y10" i="13"/>
  <c r="BB10" i="13"/>
  <c r="CF10" i="13"/>
  <c r="CY20" i="13"/>
  <c r="CM20" i="13"/>
  <c r="CA20" i="13"/>
  <c r="CZ20" i="13"/>
  <c r="CL20" i="13"/>
  <c r="BY20" i="13"/>
  <c r="BM20" i="13"/>
  <c r="BA20" i="13"/>
  <c r="AO20" i="13"/>
  <c r="AC20" i="13"/>
  <c r="Q20" i="13"/>
  <c r="E20" i="13"/>
  <c r="CT20" i="13"/>
  <c r="CF20" i="13"/>
  <c r="BR20" i="13"/>
  <c r="BE20" i="13"/>
  <c r="AR20" i="13"/>
  <c r="AE20" i="13"/>
  <c r="R20" i="13"/>
  <c r="D20" i="13"/>
  <c r="CS20" i="13"/>
  <c r="CE20" i="13"/>
  <c r="BQ20" i="13"/>
  <c r="BD20" i="13"/>
  <c r="AQ20" i="13"/>
  <c r="AD20" i="13"/>
  <c r="P20" i="13"/>
  <c r="C20" i="13"/>
  <c r="CI20" i="13"/>
  <c r="BS20" i="13"/>
  <c r="BB20" i="13"/>
  <c r="AL20" i="13"/>
  <c r="W20" i="13"/>
  <c r="H20" i="13"/>
  <c r="CX20" i="13"/>
  <c r="CH20" i="13"/>
  <c r="BP20" i="13"/>
  <c r="AZ20" i="13"/>
  <c r="AK20" i="13"/>
  <c r="V20" i="13"/>
  <c r="G20" i="13"/>
  <c r="CG20" i="13"/>
  <c r="BO20" i="13"/>
  <c r="U20" i="13"/>
  <c r="CD20" i="13"/>
  <c r="AI20" i="13"/>
  <c r="BL20" i="13"/>
  <c r="CW20" i="13"/>
  <c r="AY20" i="13"/>
  <c r="F20" i="13"/>
  <c r="CV20" i="13"/>
  <c r="AX20" i="13"/>
  <c r="T20" i="13"/>
  <c r="CU20" i="13"/>
  <c r="AW20" i="13"/>
  <c r="AJ20" i="13"/>
  <c r="BN20" i="13"/>
  <c r="CC20" i="13"/>
  <c r="AH20" i="13"/>
  <c r="S20" i="13"/>
  <c r="Z20" i="13"/>
  <c r="BC20" i="13"/>
  <c r="BZ20" i="13"/>
  <c r="CR24" i="13"/>
  <c r="CA24" i="13"/>
  <c r="BI24" i="13"/>
  <c r="AM24" i="13"/>
  <c r="W24" i="13"/>
  <c r="G24" i="13"/>
  <c r="CQ24" i="13"/>
  <c r="AL24" i="13"/>
  <c r="E24" i="13"/>
  <c r="BD24" i="13"/>
  <c r="U24" i="13"/>
  <c r="CO24" i="13"/>
  <c r="AJ24" i="13"/>
  <c r="BH24" i="13"/>
  <c r="V24" i="13"/>
  <c r="CP24" i="13"/>
  <c r="AK24" i="13"/>
  <c r="BW24" i="13"/>
  <c r="T24" i="13"/>
  <c r="BZ24" i="13"/>
  <c r="BY24" i="13"/>
  <c r="C24" i="13"/>
  <c r="BB24" i="13"/>
  <c r="R24" i="13"/>
  <c r="AX24" i="13"/>
  <c r="CG24" i="13"/>
  <c r="AK27" i="13"/>
  <c r="BS27" i="13"/>
  <c r="T34" i="13"/>
  <c r="BE34" i="13"/>
  <c r="CL34" i="13"/>
  <c r="M40" i="13"/>
  <c r="BB40" i="13"/>
  <c r="CE40" i="13"/>
  <c r="AE47" i="13"/>
  <c r="BN47" i="13"/>
  <c r="AG49" i="13"/>
  <c r="BX49" i="13"/>
  <c r="Z53" i="13"/>
  <c r="BR53" i="13"/>
  <c r="CZ53" i="13"/>
  <c r="AK59" i="13"/>
  <c r="BT59" i="13"/>
  <c r="AZ88" i="13"/>
  <c r="CZ88" i="13"/>
  <c r="V27" i="13"/>
  <c r="BC53" i="13"/>
  <c r="AG27" i="13"/>
  <c r="AA20" i="13"/>
  <c r="AL27" i="13"/>
  <c r="AA53" i="13"/>
  <c r="AL59" i="13"/>
  <c r="G10" i="13"/>
  <c r="BU47" i="13"/>
  <c r="AJ10" i="13"/>
  <c r="BH20" i="13"/>
  <c r="M27" i="13"/>
  <c r="BW27" i="13"/>
  <c r="AG34" i="13"/>
  <c r="CL27" i="13"/>
  <c r="BE27" i="13"/>
  <c r="BV20" i="13"/>
  <c r="BF27" i="13"/>
  <c r="K53" i="13"/>
  <c r="AU20" i="13"/>
  <c r="BQ27" i="13"/>
  <c r="BD53" i="13"/>
  <c r="CX53" i="13"/>
  <c r="BQ59" i="13"/>
  <c r="CB20" i="13"/>
  <c r="CY59" i="13"/>
  <c r="CM59" i="13"/>
  <c r="CA59" i="13"/>
  <c r="BO59" i="13"/>
  <c r="BC59" i="13"/>
  <c r="AQ59" i="13"/>
  <c r="AE59" i="13"/>
  <c r="S59" i="13"/>
  <c r="G59" i="13"/>
  <c r="CV59" i="13"/>
  <c r="CI59" i="13"/>
  <c r="BV59" i="13"/>
  <c r="BI59" i="13"/>
  <c r="AV59" i="13"/>
  <c r="AI59" i="13"/>
  <c r="V59" i="13"/>
  <c r="I59" i="13"/>
  <c r="CU59" i="13"/>
  <c r="CH59" i="13"/>
  <c r="BU59" i="13"/>
  <c r="BH59" i="13"/>
  <c r="AU59" i="13"/>
  <c r="AH59" i="13"/>
  <c r="U59" i="13"/>
  <c r="H59" i="13"/>
  <c r="CS59" i="13"/>
  <c r="CF59" i="13"/>
  <c r="BS59" i="13"/>
  <c r="BF59" i="13"/>
  <c r="AS59" i="13"/>
  <c r="AF59" i="13"/>
  <c r="CQ59" i="13"/>
  <c r="BZ59" i="13"/>
  <c r="BJ59" i="13"/>
  <c r="AP59" i="13"/>
  <c r="Z59" i="13"/>
  <c r="K59" i="13"/>
  <c r="CP59" i="13"/>
  <c r="BY59" i="13"/>
  <c r="BG59" i="13"/>
  <c r="AO59" i="13"/>
  <c r="Y59" i="13"/>
  <c r="J59" i="13"/>
  <c r="CO59" i="13"/>
  <c r="BX59" i="13"/>
  <c r="BE59" i="13"/>
  <c r="AN59" i="13"/>
  <c r="X59" i="13"/>
  <c r="F59" i="13"/>
  <c r="CN59" i="13"/>
  <c r="BW59" i="13"/>
  <c r="BD59" i="13"/>
  <c r="AM59" i="13"/>
  <c r="W59" i="13"/>
  <c r="E59" i="13"/>
  <c r="CG59" i="13"/>
  <c r="BK59" i="13"/>
  <c r="AG59" i="13"/>
  <c r="L59" i="13"/>
  <c r="CE59" i="13"/>
  <c r="BB59" i="13"/>
  <c r="AD59" i="13"/>
  <c r="D59" i="13"/>
  <c r="CD59" i="13"/>
  <c r="AC59" i="13"/>
  <c r="AB59" i="13"/>
  <c r="CB59" i="13"/>
  <c r="AA59" i="13"/>
  <c r="BA59" i="13"/>
  <c r="C59" i="13"/>
  <c r="AZ59" i="13"/>
  <c r="CZ59" i="13"/>
  <c r="AY59" i="13"/>
  <c r="CC59" i="13"/>
  <c r="CJ59" i="13"/>
  <c r="C88" i="13"/>
  <c r="BF10" i="13"/>
  <c r="AB20" i="13"/>
  <c r="CJ20" i="13"/>
  <c r="AM27" i="13"/>
  <c r="AY47" i="13"/>
  <c r="I47" i="13"/>
  <c r="CQ47" i="13"/>
  <c r="AG47" i="13"/>
  <c r="BW47" i="13"/>
  <c r="AL47" i="13"/>
  <c r="C49" i="13"/>
  <c r="BZ49" i="13"/>
  <c r="AC53" i="13"/>
  <c r="AR59" i="13"/>
  <c r="BG10" i="13"/>
  <c r="AF20" i="13"/>
  <c r="CQ34" i="13"/>
  <c r="Q40" i="13"/>
  <c r="BE40" i="13"/>
  <c r="AS47" i="13"/>
  <c r="BV47" i="13"/>
  <c r="D49" i="13"/>
  <c r="AV49" i="13"/>
  <c r="CN49" i="13"/>
  <c r="AD53" i="13"/>
  <c r="BW53" i="13"/>
  <c r="CL59" i="13"/>
  <c r="O88" i="13"/>
  <c r="I10" i="13"/>
  <c r="AK10" i="13"/>
  <c r="BN10" i="13"/>
  <c r="J20" i="13"/>
  <c r="AG20" i="13"/>
  <c r="BI20" i="13"/>
  <c r="CN20" i="13"/>
  <c r="AE24" i="13"/>
  <c r="BM24" i="13"/>
  <c r="CN24" i="13"/>
  <c r="N27" i="13"/>
  <c r="AY27" i="13"/>
  <c r="CA27" i="13"/>
  <c r="AH34" i="13"/>
  <c r="BS34" i="13"/>
  <c r="AC40" i="13"/>
  <c r="BG40" i="13"/>
  <c r="F47" i="13"/>
  <c r="AT47" i="13"/>
  <c r="CD47" i="13"/>
  <c r="J49" i="13"/>
  <c r="AW49" i="13"/>
  <c r="CQ49" i="13"/>
  <c r="AE53" i="13"/>
  <c r="M59" i="13"/>
  <c r="AW59" i="13"/>
  <c r="CR59" i="13"/>
  <c r="Y88" i="13"/>
  <c r="BD27" i="13"/>
  <c r="AD27" i="13"/>
  <c r="CO27" i="13"/>
  <c r="O20" i="13"/>
  <c r="CQ27" i="13"/>
  <c r="CV53" i="13"/>
  <c r="CJ53" i="13"/>
  <c r="BX53" i="13"/>
  <c r="BL53" i="13"/>
  <c r="AZ53" i="13"/>
  <c r="AN53" i="13"/>
  <c r="AB53" i="13"/>
  <c r="P53" i="13"/>
  <c r="D53" i="13"/>
  <c r="CW53" i="13"/>
  <c r="CI53" i="13"/>
  <c r="BV53" i="13"/>
  <c r="BI53" i="13"/>
  <c r="AV53" i="13"/>
  <c r="AI53" i="13"/>
  <c r="V53" i="13"/>
  <c r="I53" i="13"/>
  <c r="CU53" i="13"/>
  <c r="CH53" i="13"/>
  <c r="BU53" i="13"/>
  <c r="BH53" i="13"/>
  <c r="AU53" i="13"/>
  <c r="AH53" i="13"/>
  <c r="U53" i="13"/>
  <c r="H53" i="13"/>
  <c r="CT53" i="13"/>
  <c r="CE53" i="13"/>
  <c r="BP53" i="13"/>
  <c r="BA53" i="13"/>
  <c r="AK53" i="13"/>
  <c r="T53" i="13"/>
  <c r="E53" i="13"/>
  <c r="CS53" i="13"/>
  <c r="CD53" i="13"/>
  <c r="BO53" i="13"/>
  <c r="AY53" i="13"/>
  <c r="AJ53" i="13"/>
  <c r="S53" i="13"/>
  <c r="C53" i="13"/>
  <c r="CR53" i="13"/>
  <c r="CC53" i="13"/>
  <c r="BN53" i="13"/>
  <c r="AX53" i="13"/>
  <c r="AG53" i="13"/>
  <c r="R53" i="13"/>
  <c r="CQ53" i="13"/>
  <c r="CB53" i="13"/>
  <c r="BM53" i="13"/>
  <c r="AW53" i="13"/>
  <c r="AF53" i="13"/>
  <c r="Q53" i="13"/>
  <c r="CM53" i="13"/>
  <c r="BQ53" i="13"/>
  <c r="AQ53" i="13"/>
  <c r="W53" i="13"/>
  <c r="CL53" i="13"/>
  <c r="BK53" i="13"/>
  <c r="AP53" i="13"/>
  <c r="O53" i="13"/>
  <c r="CG53" i="13"/>
  <c r="AM53" i="13"/>
  <c r="M53" i="13"/>
  <c r="CF53" i="13"/>
  <c r="AL53" i="13"/>
  <c r="L53" i="13"/>
  <c r="CK53" i="13"/>
  <c r="BJ53" i="13"/>
  <c r="AO53" i="13"/>
  <c r="N53" i="13"/>
  <c r="BG53" i="13"/>
  <c r="BF53" i="13"/>
  <c r="CP53" i="13"/>
  <c r="X20" i="13"/>
  <c r="CR27" i="13"/>
  <c r="X53" i="13"/>
  <c r="BF20" i="13"/>
  <c r="K27" i="13"/>
  <c r="BT27" i="13"/>
  <c r="BS53" i="13"/>
  <c r="CV88" i="13"/>
  <c r="BR88" i="13"/>
  <c r="AR88" i="13"/>
  <c r="M88" i="13"/>
  <c r="BQ88" i="13"/>
  <c r="L88" i="13"/>
  <c r="CN88" i="13"/>
  <c r="AH88" i="13"/>
  <c r="BO88" i="13"/>
  <c r="I88" i="13"/>
  <c r="CU88" i="13"/>
  <c r="AQ88" i="13"/>
  <c r="BP88" i="13"/>
  <c r="J88" i="13"/>
  <c r="CJ88" i="13"/>
  <c r="AF88" i="13"/>
  <c r="BB88" i="13"/>
  <c r="CY115" i="13"/>
  <c r="AI10" i="13"/>
  <c r="CI10" i="13"/>
  <c r="BG20" i="13"/>
  <c r="L27" i="13"/>
  <c r="BU27" i="13"/>
  <c r="C47" i="13"/>
  <c r="AU49" i="13"/>
  <c r="BT53" i="13"/>
  <c r="CK59" i="13"/>
  <c r="F88" i="13"/>
  <c r="BC88" i="13"/>
  <c r="CT10" i="13"/>
  <c r="CH10" i="13"/>
  <c r="BV10" i="13"/>
  <c r="BJ10" i="13"/>
  <c r="AX10" i="13"/>
  <c r="AL10" i="13"/>
  <c r="Z10" i="13"/>
  <c r="N10" i="13"/>
  <c r="CR10" i="13"/>
  <c r="CE10" i="13"/>
  <c r="BR10" i="13"/>
  <c r="BE10" i="13"/>
  <c r="AR10" i="13"/>
  <c r="AE10" i="13"/>
  <c r="R10" i="13"/>
  <c r="E10" i="13"/>
  <c r="CQ10" i="13"/>
  <c r="CD10" i="13"/>
  <c r="BQ10" i="13"/>
  <c r="BD10" i="13"/>
  <c r="AQ10" i="13"/>
  <c r="AD10" i="13"/>
  <c r="Q10" i="13"/>
  <c r="D10" i="13"/>
  <c r="CS10" i="13"/>
  <c r="CB10" i="13"/>
  <c r="BM10" i="13"/>
  <c r="AW10" i="13"/>
  <c r="AH10" i="13"/>
  <c r="S10" i="13"/>
  <c r="CP10" i="13"/>
  <c r="CA10" i="13"/>
  <c r="BL10" i="13"/>
  <c r="AV10" i="13"/>
  <c r="AG10" i="13"/>
  <c r="P10" i="13"/>
  <c r="CO10" i="13"/>
  <c r="AU10" i="13"/>
  <c r="O10" i="13"/>
  <c r="CN10" i="13"/>
  <c r="AT10" i="13"/>
  <c r="CM10" i="13"/>
  <c r="AS10" i="13"/>
  <c r="BZ10" i="13"/>
  <c r="AF10" i="13"/>
  <c r="BY10" i="13"/>
  <c r="AC10" i="13"/>
  <c r="BH10" i="13"/>
  <c r="L10" i="13"/>
  <c r="BK10" i="13"/>
  <c r="BI10" i="13"/>
  <c r="M10" i="13"/>
  <c r="BX10" i="13"/>
  <c r="AB10" i="13"/>
  <c r="H10" i="13"/>
  <c r="CJ10" i="13"/>
  <c r="I20" i="13"/>
  <c r="CK20" i="13"/>
  <c r="AX27" i="13"/>
  <c r="CP34" i="13"/>
  <c r="CB34" i="13"/>
  <c r="BN34" i="13"/>
  <c r="AX34" i="13"/>
  <c r="AJ34" i="13"/>
  <c r="V34" i="13"/>
  <c r="H34" i="13"/>
  <c r="CI34" i="13"/>
  <c r="BR34" i="13"/>
  <c r="AV34" i="13"/>
  <c r="AE34" i="13"/>
  <c r="M34" i="13"/>
  <c r="CH34" i="13"/>
  <c r="BO34" i="13"/>
  <c r="AU34" i="13"/>
  <c r="AD34" i="13"/>
  <c r="I34" i="13"/>
  <c r="CY34" i="13"/>
  <c r="AT34" i="13"/>
  <c r="G34" i="13"/>
  <c r="CF34" i="13"/>
  <c r="AA34" i="13"/>
  <c r="CC34" i="13"/>
  <c r="AR34" i="13"/>
  <c r="CG34" i="13"/>
  <c r="BK34" i="13"/>
  <c r="AC34" i="13"/>
  <c r="CX34" i="13"/>
  <c r="BJ34" i="13"/>
  <c r="F34" i="13"/>
  <c r="BI34" i="13"/>
  <c r="W34" i="13"/>
  <c r="AS34" i="13"/>
  <c r="CW34" i="13"/>
  <c r="E34" i="13"/>
  <c r="BH34" i="13"/>
  <c r="CV40" i="13"/>
  <c r="CJ40" i="13"/>
  <c r="BX40" i="13"/>
  <c r="BL40" i="13"/>
  <c r="AZ40" i="13"/>
  <c r="AN40" i="13"/>
  <c r="AB40" i="13"/>
  <c r="P40" i="13"/>
  <c r="D40" i="13"/>
  <c r="CS40" i="13"/>
  <c r="CF40" i="13"/>
  <c r="BS40" i="13"/>
  <c r="BF40" i="13"/>
  <c r="AS40" i="13"/>
  <c r="AF40" i="13"/>
  <c r="S40" i="13"/>
  <c r="F40" i="13"/>
  <c r="CQ40" i="13"/>
  <c r="CC40" i="13"/>
  <c r="BO40" i="13"/>
  <c r="BA40" i="13"/>
  <c r="AL40" i="13"/>
  <c r="X40" i="13"/>
  <c r="J40" i="13"/>
  <c r="CP40" i="13"/>
  <c r="CB40" i="13"/>
  <c r="BN40" i="13"/>
  <c r="AY40" i="13"/>
  <c r="AK40" i="13"/>
  <c r="W40" i="13"/>
  <c r="I40" i="13"/>
  <c r="CO40" i="13"/>
  <c r="CA40" i="13"/>
  <c r="BM40" i="13"/>
  <c r="AX40" i="13"/>
  <c r="AJ40" i="13"/>
  <c r="V40" i="13"/>
  <c r="H40" i="13"/>
  <c r="CN40" i="13"/>
  <c r="BZ40" i="13"/>
  <c r="BK40" i="13"/>
  <c r="AW40" i="13"/>
  <c r="AI40" i="13"/>
  <c r="U40" i="13"/>
  <c r="G40" i="13"/>
  <c r="CL40" i="13"/>
  <c r="BR40" i="13"/>
  <c r="AU40" i="13"/>
  <c r="AA40" i="13"/>
  <c r="C40" i="13"/>
  <c r="CK40" i="13"/>
  <c r="BQ40" i="13"/>
  <c r="AT40" i="13"/>
  <c r="Z40" i="13"/>
  <c r="CI40" i="13"/>
  <c r="BP40" i="13"/>
  <c r="AR40" i="13"/>
  <c r="CH40" i="13"/>
  <c r="BJ40" i="13"/>
  <c r="AQ40" i="13"/>
  <c r="T40" i="13"/>
  <c r="CG40" i="13"/>
  <c r="BI40" i="13"/>
  <c r="Y40" i="13"/>
  <c r="AP40" i="13"/>
  <c r="CZ40" i="13"/>
  <c r="R40" i="13"/>
  <c r="CT40" i="13"/>
  <c r="BH88" i="13"/>
  <c r="J10" i="13"/>
  <c r="AM10" i="13"/>
  <c r="BO10" i="13"/>
  <c r="CL10" i="13"/>
  <c r="K20" i="13"/>
  <c r="AM20" i="13"/>
  <c r="BJ20" i="13"/>
  <c r="CO20" i="13"/>
  <c r="AG24" i="13"/>
  <c r="BN24" i="13"/>
  <c r="CY24" i="13"/>
  <c r="Q27" i="13"/>
  <c r="BA27" i="13"/>
  <c r="AI34" i="13"/>
  <c r="BT34" i="13"/>
  <c r="CU34" i="13"/>
  <c r="AD40" i="13"/>
  <c r="BH40" i="13"/>
  <c r="CW40" i="13"/>
  <c r="G47" i="13"/>
  <c r="AU47" i="13"/>
  <c r="CI47" i="13"/>
  <c r="K49" i="13"/>
  <c r="AX49" i="13"/>
  <c r="CR49" i="13"/>
  <c r="AR53" i="13"/>
  <c r="BZ53" i="13"/>
  <c r="N59" i="13"/>
  <c r="AX59" i="13"/>
  <c r="CT59" i="13"/>
  <c r="CH71" i="13"/>
  <c r="AH71" i="13"/>
  <c r="BF71" i="13"/>
  <c r="F71" i="13"/>
  <c r="C71" i="13"/>
  <c r="AX71" i="13"/>
  <c r="CR71" i="13"/>
  <c r="Z88" i="13"/>
  <c r="BT88" i="13"/>
  <c r="CT95" i="13"/>
  <c r="CH95" i="13"/>
  <c r="BV95" i="13"/>
  <c r="BJ95" i="13"/>
  <c r="AX95" i="13"/>
  <c r="AL95" i="13"/>
  <c r="Z95" i="13"/>
  <c r="N95" i="13"/>
  <c r="CZ95" i="13"/>
  <c r="CM95" i="13"/>
  <c r="BZ95" i="13"/>
  <c r="BM95" i="13"/>
  <c r="AZ95" i="13"/>
  <c r="AM95" i="13"/>
  <c r="Y95" i="13"/>
  <c r="L95" i="13"/>
  <c r="CV95" i="13"/>
  <c r="CG95" i="13"/>
  <c r="BS95" i="13"/>
  <c r="BE95" i="13"/>
  <c r="AQ95" i="13"/>
  <c r="AC95" i="13"/>
  <c r="O95" i="13"/>
  <c r="CU95" i="13"/>
  <c r="CF95" i="13"/>
  <c r="BR95" i="13"/>
  <c r="BD95" i="13"/>
  <c r="AP95" i="13"/>
  <c r="AB95" i="13"/>
  <c r="M95" i="13"/>
  <c r="CR95" i="13"/>
  <c r="CD95" i="13"/>
  <c r="BP95" i="13"/>
  <c r="BB95" i="13"/>
  <c r="AN95" i="13"/>
  <c r="X95" i="13"/>
  <c r="J95" i="13"/>
  <c r="CP95" i="13"/>
  <c r="BX95" i="13"/>
  <c r="BF95" i="13"/>
  <c r="AJ95" i="13"/>
  <c r="S95" i="13"/>
  <c r="CO95" i="13"/>
  <c r="BW95" i="13"/>
  <c r="BC95" i="13"/>
  <c r="AI95" i="13"/>
  <c r="R95" i="13"/>
  <c r="CN95" i="13"/>
  <c r="BU95" i="13"/>
  <c r="BA95" i="13"/>
  <c r="AH95" i="13"/>
  <c r="Q95" i="13"/>
  <c r="CL95" i="13"/>
  <c r="BT95" i="13"/>
  <c r="AY95" i="13"/>
  <c r="AG95" i="13"/>
  <c r="P95" i="13"/>
  <c r="CE95" i="13"/>
  <c r="BG95" i="13"/>
  <c r="AA95" i="13"/>
  <c r="C95" i="13"/>
  <c r="CC95" i="13"/>
  <c r="AW95" i="13"/>
  <c r="W95" i="13"/>
  <c r="AV95" i="13"/>
  <c r="BY95" i="13"/>
  <c r="T95" i="13"/>
  <c r="CB95" i="13"/>
  <c r="V95" i="13"/>
  <c r="CA95" i="13"/>
  <c r="AU95" i="13"/>
  <c r="U95" i="13"/>
  <c r="CY95" i="13"/>
  <c r="AT95" i="13"/>
  <c r="K95" i="13"/>
  <c r="BN95" i="13"/>
  <c r="CQ110" i="13"/>
  <c r="CE110" i="13"/>
  <c r="BS110" i="13"/>
  <c r="BG110" i="13"/>
  <c r="AU110" i="13"/>
  <c r="AI110" i="13"/>
  <c r="W110" i="13"/>
  <c r="K110" i="13"/>
  <c r="CN110" i="13"/>
  <c r="CA110" i="13"/>
  <c r="BN110" i="13"/>
  <c r="BA110" i="13"/>
  <c r="AN110" i="13"/>
  <c r="AA110" i="13"/>
  <c r="N110" i="13"/>
  <c r="CM110" i="13"/>
  <c r="BY110" i="13"/>
  <c r="BK110" i="13"/>
  <c r="AW110" i="13"/>
  <c r="AH110" i="13"/>
  <c r="T110" i="13"/>
  <c r="F110" i="13"/>
  <c r="CZ110" i="13"/>
  <c r="CL110" i="13"/>
  <c r="BX110" i="13"/>
  <c r="BJ110" i="13"/>
  <c r="AV110" i="13"/>
  <c r="AG110" i="13"/>
  <c r="S110" i="13"/>
  <c r="E110" i="13"/>
  <c r="CX110" i="13"/>
  <c r="CJ110" i="13"/>
  <c r="BV110" i="13"/>
  <c r="BH110" i="13"/>
  <c r="AS110" i="13"/>
  <c r="AE110" i="13"/>
  <c r="Q110" i="13"/>
  <c r="C110" i="13"/>
  <c r="CS110" i="13"/>
  <c r="BZ110" i="13"/>
  <c r="BE110" i="13"/>
  <c r="AM110" i="13"/>
  <c r="U110" i="13"/>
  <c r="CR110" i="13"/>
  <c r="BW110" i="13"/>
  <c r="BD110" i="13"/>
  <c r="AL110" i="13"/>
  <c r="R110" i="13"/>
  <c r="CP110" i="13"/>
  <c r="BU110" i="13"/>
  <c r="BC110" i="13"/>
  <c r="AK110" i="13"/>
  <c r="P110" i="13"/>
  <c r="CO110" i="13"/>
  <c r="BT110" i="13"/>
  <c r="BB110" i="13"/>
  <c r="AJ110" i="13"/>
  <c r="O110" i="13"/>
  <c r="CT110" i="13"/>
  <c r="BO110" i="13"/>
  <c r="AO110" i="13"/>
  <c r="I110" i="13"/>
  <c r="CK110" i="13"/>
  <c r="BM110" i="13"/>
  <c r="AF110" i="13"/>
  <c r="H110" i="13"/>
  <c r="CI110" i="13"/>
  <c r="BL110" i="13"/>
  <c r="G110" i="13"/>
  <c r="CH110" i="13"/>
  <c r="AC110" i="13"/>
  <c r="BF110" i="13"/>
  <c r="AD110" i="13"/>
  <c r="BI110" i="13"/>
  <c r="D110" i="13"/>
  <c r="CG110" i="13"/>
  <c r="AB110" i="13"/>
  <c r="Z110" i="13"/>
  <c r="CC110" i="13"/>
  <c r="CV27" i="13"/>
  <c r="CV120" i="13" s="1"/>
  <c r="CJ27" i="13"/>
  <c r="BX27" i="13"/>
  <c r="BL27" i="13"/>
  <c r="AZ27" i="13"/>
  <c r="AN27" i="13"/>
  <c r="AB27" i="13"/>
  <c r="P27" i="13"/>
  <c r="D27" i="13"/>
  <c r="CP27" i="13"/>
  <c r="CC27" i="13"/>
  <c r="BP27" i="13"/>
  <c r="BC27" i="13"/>
  <c r="AP27" i="13"/>
  <c r="AC27" i="13"/>
  <c r="O27" i="13"/>
  <c r="CN27" i="13"/>
  <c r="BZ27" i="13"/>
  <c r="BK27" i="13"/>
  <c r="AW27" i="13"/>
  <c r="AI27" i="13"/>
  <c r="U27" i="13"/>
  <c r="G27" i="13"/>
  <c r="CM27" i="13"/>
  <c r="BY27" i="13"/>
  <c r="BJ27" i="13"/>
  <c r="AV27" i="13"/>
  <c r="AH27" i="13"/>
  <c r="T27" i="13"/>
  <c r="F27" i="13"/>
  <c r="CY27" i="13"/>
  <c r="CK27" i="13"/>
  <c r="BV27" i="13"/>
  <c r="BH27" i="13"/>
  <c r="AT27" i="13"/>
  <c r="AF27" i="13"/>
  <c r="R27" i="13"/>
  <c r="C27" i="13"/>
  <c r="CZ27" i="13"/>
  <c r="CG27" i="13"/>
  <c r="BO27" i="13"/>
  <c r="AU27" i="13"/>
  <c r="AA27" i="13"/>
  <c r="J27" i="13"/>
  <c r="CX27" i="13"/>
  <c r="CF27" i="13"/>
  <c r="BN27" i="13"/>
  <c r="AS27" i="13"/>
  <c r="Z27" i="13"/>
  <c r="I27" i="13"/>
  <c r="CW27" i="13"/>
  <c r="CE27" i="13"/>
  <c r="BM27" i="13"/>
  <c r="AR27" i="13"/>
  <c r="H27" i="13"/>
  <c r="AQ27" i="13"/>
  <c r="X27" i="13"/>
  <c r="E27" i="13"/>
  <c r="CT27" i="13"/>
  <c r="CB27" i="13"/>
  <c r="AO27" i="13"/>
  <c r="AO120" i="13" s="1"/>
  <c r="W27" i="13"/>
  <c r="Y27" i="13"/>
  <c r="CU27" i="13"/>
  <c r="BI27" i="13"/>
  <c r="BG27" i="13"/>
  <c r="CD27" i="13"/>
  <c r="K10" i="13"/>
  <c r="AN10" i="13"/>
  <c r="BP10" i="13"/>
  <c r="L20" i="13"/>
  <c r="AN20" i="13"/>
  <c r="BK20" i="13"/>
  <c r="S27" i="13"/>
  <c r="BB27" i="13"/>
  <c r="CI27" i="13"/>
  <c r="C34" i="13"/>
  <c r="AK34" i="13"/>
  <c r="H47" i="13"/>
  <c r="AV47" i="13"/>
  <c r="CK47" i="13"/>
  <c r="T49" i="13"/>
  <c r="BF49" i="13"/>
  <c r="CS49" i="13"/>
  <c r="F53" i="13"/>
  <c r="AS53" i="13"/>
  <c r="CA53" i="13"/>
  <c r="O59" i="13"/>
  <c r="BL59" i="13"/>
  <c r="CW59" i="13"/>
  <c r="AA88" i="13"/>
  <c r="CD88" i="13"/>
  <c r="CV47" i="13"/>
  <c r="CJ47" i="13"/>
  <c r="BX47" i="13"/>
  <c r="BL47" i="13"/>
  <c r="AZ47" i="13"/>
  <c r="AN47" i="13"/>
  <c r="AB47" i="13"/>
  <c r="P47" i="13"/>
  <c r="D47" i="13"/>
  <c r="CP47" i="13"/>
  <c r="CC47" i="13"/>
  <c r="BP47" i="13"/>
  <c r="BC47" i="13"/>
  <c r="AP47" i="13"/>
  <c r="AC47" i="13"/>
  <c r="O47" i="13"/>
  <c r="CW47" i="13"/>
  <c r="CH47" i="13"/>
  <c r="BT47" i="13"/>
  <c r="BF47" i="13"/>
  <c r="AR47" i="13"/>
  <c r="AD47" i="13"/>
  <c r="N47" i="13"/>
  <c r="CU47" i="13"/>
  <c r="CG47" i="13"/>
  <c r="BS47" i="13"/>
  <c r="BE47" i="13"/>
  <c r="AQ47" i="13"/>
  <c r="AA47" i="13"/>
  <c r="M47" i="13"/>
  <c r="CT47" i="13"/>
  <c r="CF47" i="13"/>
  <c r="BR47" i="13"/>
  <c r="BD47" i="13"/>
  <c r="AO47" i="13"/>
  <c r="Z47" i="13"/>
  <c r="L47" i="13"/>
  <c r="CS47" i="13"/>
  <c r="CE47" i="13"/>
  <c r="BQ47" i="13"/>
  <c r="BB47" i="13"/>
  <c r="AM47" i="13"/>
  <c r="Y47" i="13"/>
  <c r="K47" i="13"/>
  <c r="BY47" i="13"/>
  <c r="G71" i="13"/>
  <c r="AH47" i="13"/>
  <c r="CR47" i="13"/>
  <c r="AI71" i="13"/>
  <c r="CI71" i="13"/>
  <c r="G99" i="13"/>
  <c r="BL99" i="13"/>
  <c r="H71" i="13"/>
  <c r="J47" i="13"/>
  <c r="BA47" i="13"/>
  <c r="CW71" i="13"/>
  <c r="CV71" i="13"/>
  <c r="CJ71" i="13"/>
  <c r="BX71" i="13"/>
  <c r="BL71" i="13"/>
  <c r="AZ71" i="13"/>
  <c r="AN71" i="13"/>
  <c r="AB71" i="13"/>
  <c r="P71" i="13"/>
  <c r="D71" i="13"/>
  <c r="CP71" i="13"/>
  <c r="CC71" i="13"/>
  <c r="BP71" i="13"/>
  <c r="BC71" i="13"/>
  <c r="AP71" i="13"/>
  <c r="AC71" i="13"/>
  <c r="O71" i="13"/>
  <c r="CO71" i="13"/>
  <c r="CB71" i="13"/>
  <c r="BO71" i="13"/>
  <c r="BB71" i="13"/>
  <c r="AO71" i="13"/>
  <c r="AA71" i="13"/>
  <c r="N71" i="13"/>
  <c r="CM71" i="13"/>
  <c r="BZ71" i="13"/>
  <c r="BM71" i="13"/>
  <c r="AY71" i="13"/>
  <c r="AL71" i="13"/>
  <c r="Y71" i="13"/>
  <c r="L71" i="13"/>
  <c r="CY71" i="13"/>
  <c r="CG71" i="13"/>
  <c r="BQ71" i="13"/>
  <c r="AW71" i="13"/>
  <c r="AG71" i="13"/>
  <c r="Q71" i="13"/>
  <c r="CX71" i="13"/>
  <c r="CF71" i="13"/>
  <c r="BN71" i="13"/>
  <c r="AV71" i="13"/>
  <c r="AF71" i="13"/>
  <c r="M71" i="13"/>
  <c r="CU71" i="13"/>
  <c r="CE71" i="13"/>
  <c r="BK71" i="13"/>
  <c r="AU71" i="13"/>
  <c r="AE71" i="13"/>
  <c r="K71" i="13"/>
  <c r="CT71" i="13"/>
  <c r="CD71" i="13"/>
  <c r="BJ71" i="13"/>
  <c r="AT71" i="13"/>
  <c r="AD71" i="13"/>
  <c r="J71" i="13"/>
  <c r="BG71" i="13"/>
  <c r="CQ99" i="13"/>
  <c r="CE99" i="13"/>
  <c r="BS99" i="13"/>
  <c r="BG99" i="13"/>
  <c r="AU99" i="13"/>
  <c r="AI99" i="13"/>
  <c r="W99" i="13"/>
  <c r="K99" i="13"/>
  <c r="CS99" i="13"/>
  <c r="CF99" i="13"/>
  <c r="BR99" i="13"/>
  <c r="BE99" i="13"/>
  <c r="AR99" i="13"/>
  <c r="AE99" i="13"/>
  <c r="R99" i="13"/>
  <c r="E99" i="13"/>
  <c r="CX99" i="13"/>
  <c r="CJ99" i="13"/>
  <c r="BV99" i="13"/>
  <c r="BH99" i="13"/>
  <c r="AS99" i="13"/>
  <c r="AD99" i="13"/>
  <c r="P99" i="13"/>
  <c r="CW99" i="13"/>
  <c r="CI99" i="13"/>
  <c r="BU99" i="13"/>
  <c r="BF99" i="13"/>
  <c r="AQ99" i="13"/>
  <c r="AC99" i="13"/>
  <c r="O99" i="13"/>
  <c r="CU99" i="13"/>
  <c r="CG99" i="13"/>
  <c r="BQ99" i="13"/>
  <c r="BC99" i="13"/>
  <c r="AO99" i="13"/>
  <c r="AA99" i="13"/>
  <c r="M99" i="13"/>
  <c r="CN99" i="13"/>
  <c r="BW99" i="13"/>
  <c r="BA99" i="13"/>
  <c r="AJ99" i="13"/>
  <c r="Q99" i="13"/>
  <c r="CM99" i="13"/>
  <c r="BT99" i="13"/>
  <c r="AZ99" i="13"/>
  <c r="AH99" i="13"/>
  <c r="N99" i="13"/>
  <c r="CL99" i="13"/>
  <c r="BP99" i="13"/>
  <c r="AY99" i="13"/>
  <c r="AG99" i="13"/>
  <c r="L99" i="13"/>
  <c r="CK99" i="13"/>
  <c r="BO99" i="13"/>
  <c r="AX99" i="13"/>
  <c r="AF99" i="13"/>
  <c r="J99" i="13"/>
  <c r="AL99" i="13"/>
  <c r="CP99" i="13"/>
  <c r="Q47" i="13"/>
  <c r="AI47" i="13"/>
  <c r="BG47" i="13"/>
  <c r="BZ47" i="13"/>
  <c r="CX47" i="13"/>
  <c r="AJ71" i="13"/>
  <c r="BH71" i="13"/>
  <c r="H99" i="13"/>
  <c r="BM99" i="13"/>
  <c r="CR99" i="13"/>
  <c r="CV37" i="13"/>
  <c r="CJ37" i="13"/>
  <c r="BX37" i="13"/>
  <c r="BL37" i="13"/>
  <c r="AZ37" i="13"/>
  <c r="AN37" i="13"/>
  <c r="AB37" i="13"/>
  <c r="P37" i="13"/>
  <c r="D37" i="13"/>
  <c r="CW37" i="13"/>
  <c r="CI37" i="13"/>
  <c r="BV37" i="13"/>
  <c r="BI37" i="13"/>
  <c r="AV37" i="13"/>
  <c r="AI37" i="13"/>
  <c r="V37" i="13"/>
  <c r="I37" i="13"/>
  <c r="CZ37" i="13"/>
  <c r="CL37" i="13"/>
  <c r="BW37" i="13"/>
  <c r="BH37" i="13"/>
  <c r="AT37" i="13"/>
  <c r="AF37" i="13"/>
  <c r="R37" i="13"/>
  <c r="C37" i="13"/>
  <c r="CY37" i="13"/>
  <c r="CK37" i="13"/>
  <c r="BU37" i="13"/>
  <c r="BG37" i="13"/>
  <c r="AS37" i="13"/>
  <c r="AE37" i="13"/>
  <c r="Q37" i="13"/>
  <c r="CX37" i="13"/>
  <c r="CH37" i="13"/>
  <c r="CU37" i="13"/>
  <c r="CG37" i="13"/>
  <c r="BS37" i="13"/>
  <c r="BE37" i="13"/>
  <c r="AQ37" i="13"/>
  <c r="AC37" i="13"/>
  <c r="N37" i="13"/>
  <c r="L37" i="13"/>
  <c r="AG37" i="13"/>
  <c r="AY37" i="13"/>
  <c r="BQ37" i="13"/>
  <c r="CN37" i="13"/>
  <c r="R47" i="13"/>
  <c r="AJ47" i="13"/>
  <c r="BH47" i="13"/>
  <c r="CA47" i="13"/>
  <c r="CY47" i="13"/>
  <c r="I71" i="13"/>
  <c r="AK71" i="13"/>
  <c r="BI71" i="13"/>
  <c r="CL71" i="13"/>
  <c r="CV79" i="13"/>
  <c r="CD79" i="13"/>
  <c r="BH79" i="13"/>
  <c r="AQ79" i="13"/>
  <c r="X79" i="13"/>
  <c r="D79" i="13"/>
  <c r="CU79" i="13"/>
  <c r="BZ79" i="13"/>
  <c r="BG79" i="13"/>
  <c r="AP79" i="13"/>
  <c r="U79" i="13"/>
  <c r="C79" i="13"/>
  <c r="CS79" i="13"/>
  <c r="BX79" i="13"/>
  <c r="BF79" i="13"/>
  <c r="AN79" i="13"/>
  <c r="S79" i="13"/>
  <c r="CR79" i="13"/>
  <c r="BW79" i="13"/>
  <c r="BE79" i="13"/>
  <c r="AM79" i="13"/>
  <c r="R79" i="13"/>
  <c r="AA79" i="13"/>
  <c r="BA79" i="13"/>
  <c r="CF79" i="13"/>
  <c r="I99" i="13"/>
  <c r="AN99" i="13"/>
  <c r="BN99" i="13"/>
  <c r="CT99" i="13"/>
  <c r="CF119" i="13"/>
  <c r="BO119" i="13"/>
  <c r="AW119" i="13"/>
  <c r="AB119" i="13"/>
  <c r="J119" i="13"/>
  <c r="X119" i="13"/>
  <c r="BC119" i="13"/>
  <c r="CC119" i="13"/>
  <c r="CV24" i="13"/>
  <c r="CJ24" i="13"/>
  <c r="BX24" i="13"/>
  <c r="BL24" i="13"/>
  <c r="AZ24" i="13"/>
  <c r="AN24" i="13"/>
  <c r="AB24" i="13"/>
  <c r="P24" i="13"/>
  <c r="D24" i="13"/>
  <c r="CS24" i="13"/>
  <c r="CF24" i="13"/>
  <c r="BS24" i="13"/>
  <c r="BF24" i="13"/>
  <c r="AS24" i="13"/>
  <c r="AF24" i="13"/>
  <c r="S24" i="13"/>
  <c r="F24" i="13"/>
  <c r="CX24" i="13"/>
  <c r="CI24" i="13"/>
  <c r="BU24" i="13"/>
  <c r="BG24" i="13"/>
  <c r="AR24" i="13"/>
  <c r="AD24" i="13"/>
  <c r="O24" i="13"/>
  <c r="CW24" i="13"/>
  <c r="CH24" i="13"/>
  <c r="BT24" i="13"/>
  <c r="BE24" i="13"/>
  <c r="AQ24" i="13"/>
  <c r="AC24" i="13"/>
  <c r="N24" i="13"/>
  <c r="CT24" i="13"/>
  <c r="CE24" i="13"/>
  <c r="BQ24" i="13"/>
  <c r="BC24" i="13"/>
  <c r="AO24" i="13"/>
  <c r="H24" i="13"/>
  <c r="X24" i="13"/>
  <c r="AP24" i="13"/>
  <c r="BJ24" i="13"/>
  <c r="CB24" i="13"/>
  <c r="CU24" i="13"/>
  <c r="M37" i="13"/>
  <c r="AH37" i="13"/>
  <c r="BA37" i="13"/>
  <c r="BR37" i="13"/>
  <c r="CO37" i="13"/>
  <c r="S47" i="13"/>
  <c r="AK47" i="13"/>
  <c r="BI47" i="13"/>
  <c r="CB47" i="13"/>
  <c r="CZ47" i="13"/>
  <c r="R71" i="13"/>
  <c r="AM71" i="13"/>
  <c r="BR71" i="13"/>
  <c r="CN71" i="13"/>
  <c r="AC79" i="13"/>
  <c r="BC79" i="13"/>
  <c r="CG79" i="13"/>
  <c r="CW88" i="13"/>
  <c r="CK88" i="13"/>
  <c r="BY88" i="13"/>
  <c r="BM88" i="13"/>
  <c r="BA88" i="13"/>
  <c r="AO88" i="13"/>
  <c r="AC88" i="13"/>
  <c r="Q88" i="13"/>
  <c r="E88" i="13"/>
  <c r="CY88" i="13"/>
  <c r="CL88" i="13"/>
  <c r="BX88" i="13"/>
  <c r="BK88" i="13"/>
  <c r="AX88" i="13"/>
  <c r="AK88" i="13"/>
  <c r="X88" i="13"/>
  <c r="K88" i="13"/>
  <c r="CP88" i="13"/>
  <c r="CB88" i="13"/>
  <c r="BN88" i="13"/>
  <c r="AY88" i="13"/>
  <c r="AJ88" i="13"/>
  <c r="V88" i="13"/>
  <c r="H88" i="13"/>
  <c r="CO88" i="13"/>
  <c r="CA88" i="13"/>
  <c r="BL88" i="13"/>
  <c r="AW88" i="13"/>
  <c r="AI88" i="13"/>
  <c r="U88" i="13"/>
  <c r="G88" i="13"/>
  <c r="CM88" i="13"/>
  <c r="BW88" i="13"/>
  <c r="BI88" i="13"/>
  <c r="AU88" i="13"/>
  <c r="AG88" i="13"/>
  <c r="S88" i="13"/>
  <c r="D88" i="13"/>
  <c r="CT88" i="13"/>
  <c r="CC88" i="13"/>
  <c r="BG88" i="13"/>
  <c r="AP88" i="13"/>
  <c r="W88" i="13"/>
  <c r="CS88" i="13"/>
  <c r="BZ88" i="13"/>
  <c r="BF88" i="13"/>
  <c r="AN88" i="13"/>
  <c r="T88" i="13"/>
  <c r="CR88" i="13"/>
  <c r="BV88" i="13"/>
  <c r="BE88" i="13"/>
  <c r="AM88" i="13"/>
  <c r="R88" i="13"/>
  <c r="CQ88" i="13"/>
  <c r="BU88" i="13"/>
  <c r="BD88" i="13"/>
  <c r="AL88" i="13"/>
  <c r="P88" i="13"/>
  <c r="N88" i="13"/>
  <c r="AS88" i="13"/>
  <c r="BS88" i="13"/>
  <c r="CX88" i="13"/>
  <c r="S99" i="13"/>
  <c r="AP99" i="13"/>
  <c r="BX99" i="13"/>
  <c r="CV99" i="13"/>
  <c r="Y119" i="13"/>
  <c r="BD119" i="13"/>
  <c r="CD119" i="13"/>
  <c r="CZ115" i="13"/>
  <c r="CL115" i="13"/>
  <c r="BW115" i="13"/>
  <c r="BI115" i="13"/>
  <c r="AU115" i="13"/>
  <c r="AG115" i="13"/>
  <c r="S115" i="13"/>
  <c r="D115" i="13"/>
  <c r="CJ115" i="13"/>
  <c r="BV115" i="13"/>
  <c r="BH115" i="13"/>
  <c r="AT115" i="13"/>
  <c r="AF115" i="13"/>
  <c r="R115" i="13"/>
  <c r="CV115" i="13"/>
  <c r="CH115" i="13"/>
  <c r="BT115" i="13"/>
  <c r="BF115" i="13"/>
  <c r="AR115" i="13"/>
  <c r="AB115" i="13"/>
  <c r="N115" i="13"/>
  <c r="I115" i="13"/>
  <c r="Z115" i="13"/>
  <c r="AV115" i="13"/>
  <c r="BN115" i="13"/>
  <c r="CF115" i="13"/>
  <c r="CT119" i="13"/>
  <c r="CH119" i="13"/>
  <c r="BV119" i="13"/>
  <c r="BJ119" i="13"/>
  <c r="AX119" i="13"/>
  <c r="AL119" i="13"/>
  <c r="Z119" i="13"/>
  <c r="N119" i="13"/>
  <c r="CW119" i="13"/>
  <c r="CJ119" i="13"/>
  <c r="BW119" i="13"/>
  <c r="BI119" i="13"/>
  <c r="AV119" i="13"/>
  <c r="AI119" i="13"/>
  <c r="V119" i="13"/>
  <c r="I119" i="13"/>
  <c r="CM119" i="13"/>
  <c r="BY119" i="13"/>
  <c r="BK119" i="13"/>
  <c r="AU119" i="13"/>
  <c r="AG119" i="13"/>
  <c r="S119" i="13"/>
  <c r="E119" i="13"/>
  <c r="CZ119" i="13"/>
  <c r="CL119" i="13"/>
  <c r="BX119" i="13"/>
  <c r="BH119" i="13"/>
  <c r="AT119" i="13"/>
  <c r="AF119" i="13"/>
  <c r="R119" i="13"/>
  <c r="D119" i="13"/>
  <c r="CX119" i="13"/>
  <c r="CI119" i="13"/>
  <c r="BT119" i="13"/>
  <c r="BF119" i="13"/>
  <c r="AR119" i="13"/>
  <c r="AD119" i="13"/>
  <c r="P119" i="13"/>
  <c r="H119" i="13"/>
  <c r="AA119" i="13"/>
  <c r="AS119" i="13"/>
  <c r="BN119" i="13"/>
  <c r="CE119" i="13"/>
  <c r="CV34" i="13"/>
  <c r="CJ34" i="13"/>
  <c r="BX34" i="13"/>
  <c r="BL34" i="13"/>
  <c r="AZ34" i="13"/>
  <c r="AN34" i="13"/>
  <c r="AB34" i="13"/>
  <c r="P34" i="13"/>
  <c r="D34" i="13"/>
  <c r="CZ34" i="13"/>
  <c r="CM34" i="13"/>
  <c r="BZ34" i="13"/>
  <c r="BM34" i="13"/>
  <c r="AY34" i="13"/>
  <c r="AL34" i="13"/>
  <c r="Y34" i="13"/>
  <c r="L34" i="13"/>
  <c r="J34" i="13"/>
  <c r="X34" i="13"/>
  <c r="AM34" i="13"/>
  <c r="BB34" i="13"/>
  <c r="BP34" i="13"/>
  <c r="CD34" i="13"/>
  <c r="CR34" i="13"/>
  <c r="CP92" i="13"/>
  <c r="CB92" i="13"/>
  <c r="BN92" i="13"/>
  <c r="AZ92" i="13"/>
  <c r="AK92" i="13"/>
  <c r="W92" i="13"/>
  <c r="I92" i="13"/>
  <c r="R92" i="13"/>
  <c r="AJ92" i="13"/>
  <c r="BE92" i="13"/>
  <c r="BW92" i="13"/>
  <c r="CO92" i="13"/>
  <c r="K115" i="13"/>
  <c r="AE115" i="13"/>
  <c r="AX115" i="13"/>
  <c r="BP115" i="13"/>
  <c r="CI115" i="13"/>
  <c r="K119" i="13"/>
  <c r="AC119" i="13"/>
  <c r="AY119" i="13"/>
  <c r="BP119" i="13"/>
  <c r="CG119" i="13"/>
  <c r="K34" i="13"/>
  <c r="Z34" i="13"/>
  <c r="AO34" i="13"/>
  <c r="BC34" i="13"/>
  <c r="BQ34" i="13"/>
  <c r="CE34" i="13"/>
  <c r="CS34" i="13"/>
  <c r="S92" i="13"/>
  <c r="AN92" i="13"/>
  <c r="BF92" i="13"/>
  <c r="BX92" i="13"/>
  <c r="CS92" i="13"/>
  <c r="L115" i="13"/>
  <c r="AH115" i="13"/>
  <c r="AY115" i="13"/>
  <c r="BR115" i="13"/>
  <c r="CM115" i="13"/>
  <c r="L119" i="13"/>
  <c r="AE119" i="13"/>
  <c r="AZ119" i="13"/>
  <c r="BQ119" i="13"/>
  <c r="CK119" i="13"/>
  <c r="CT79" i="13"/>
  <c r="CH79" i="13"/>
  <c r="BV79" i="13"/>
  <c r="BJ79" i="13"/>
  <c r="AX79" i="13"/>
  <c r="AL79" i="13"/>
  <c r="Z79" i="13"/>
  <c r="N79" i="13"/>
  <c r="CO79" i="13"/>
  <c r="CB79" i="13"/>
  <c r="BO79" i="13"/>
  <c r="BB79" i="13"/>
  <c r="AO79" i="13"/>
  <c r="AB79" i="13"/>
  <c r="O79" i="13"/>
  <c r="F79" i="13"/>
  <c r="T79" i="13"/>
  <c r="AH79" i="13"/>
  <c r="AV79" i="13"/>
  <c r="BK79" i="13"/>
  <c r="BY79" i="13"/>
  <c r="CM79" i="13"/>
  <c r="CW81" i="13"/>
  <c r="CK81" i="13"/>
  <c r="BY81" i="13"/>
  <c r="BM81" i="13"/>
  <c r="BA81" i="13"/>
  <c r="AO81" i="13"/>
  <c r="AC81" i="13"/>
  <c r="Q81" i="13"/>
  <c r="E81" i="13"/>
  <c r="CO81" i="13"/>
  <c r="CB81" i="13"/>
  <c r="BO81" i="13"/>
  <c r="BB81" i="13"/>
  <c r="AN81" i="13"/>
  <c r="AA81" i="13"/>
  <c r="N81" i="13"/>
  <c r="M81" i="13"/>
  <c r="AB81" i="13"/>
  <c r="AQ81" i="13"/>
  <c r="BE81" i="13"/>
  <c r="BS81" i="13"/>
  <c r="CG81" i="13"/>
  <c r="CU81" i="13"/>
  <c r="CT92" i="13"/>
  <c r="CH92" i="13"/>
  <c r="BV92" i="13"/>
  <c r="BJ92" i="13"/>
  <c r="AX92" i="13"/>
  <c r="AL92" i="13"/>
  <c r="Z92" i="13"/>
  <c r="N92" i="13"/>
  <c r="CQ92" i="13"/>
  <c r="CD92" i="13"/>
  <c r="BQ92" i="13"/>
  <c r="BD92" i="13"/>
  <c r="AQ92" i="13"/>
  <c r="AD92" i="13"/>
  <c r="Q92" i="13"/>
  <c r="D92" i="13"/>
  <c r="G92" i="13"/>
  <c r="U92" i="13"/>
  <c r="AI92" i="13"/>
  <c r="AW92" i="13"/>
  <c r="BL92" i="13"/>
  <c r="BZ92" i="13"/>
  <c r="CN92" i="13"/>
  <c r="H79" i="13"/>
  <c r="V79" i="13"/>
  <c r="AJ79" i="13"/>
  <c r="AY79" i="13"/>
  <c r="BM79" i="13"/>
  <c r="CA79" i="13"/>
  <c r="CP79" i="13"/>
  <c r="I79" i="13"/>
  <c r="W79" i="13"/>
  <c r="AK79" i="13"/>
  <c r="AZ79" i="13"/>
  <c r="BN79" i="13"/>
  <c r="CC79" i="13"/>
  <c r="CQ79" i="13"/>
  <c r="C81" i="13"/>
  <c r="R81" i="13"/>
  <c r="AF81" i="13"/>
  <c r="AT81" i="13"/>
  <c r="BH81" i="13"/>
  <c r="BV81" i="13"/>
  <c r="CJ81" i="13"/>
  <c r="CY81" i="13"/>
  <c r="J92" i="13"/>
  <c r="X92" i="13"/>
  <c r="AM92" i="13"/>
  <c r="BA92" i="13"/>
  <c r="BO92" i="13"/>
  <c r="CC92" i="13"/>
  <c r="CR92" i="13"/>
  <c r="CW115" i="13"/>
  <c r="CK115" i="13"/>
  <c r="BY115" i="13"/>
  <c r="BM115" i="13"/>
  <c r="BA115" i="13"/>
  <c r="AO115" i="13"/>
  <c r="AC115" i="13"/>
  <c r="Q115" i="13"/>
  <c r="E115" i="13"/>
  <c r="C115" i="13"/>
  <c r="P115" i="13"/>
  <c r="AD115" i="13"/>
  <c r="AQ115" i="13"/>
  <c r="BD115" i="13"/>
  <c r="BQ115" i="13"/>
  <c r="CD115" i="13"/>
  <c r="CQ115" i="13"/>
  <c r="R10" i="12"/>
  <c r="CZ10" i="12"/>
  <c r="BS24" i="12"/>
  <c r="Z47" i="12"/>
  <c r="BI10" i="12"/>
  <c r="CF47" i="12"/>
  <c r="R71" i="12"/>
  <c r="CG10" i="12"/>
  <c r="CZ24" i="12"/>
  <c r="CN34" i="12"/>
  <c r="AC47" i="12"/>
  <c r="AE53" i="12"/>
  <c r="CZ20" i="12"/>
  <c r="CU27" i="12"/>
  <c r="CI27" i="12"/>
  <c r="BW27" i="12"/>
  <c r="BK27" i="12"/>
  <c r="AY27" i="12"/>
  <c r="AM27" i="12"/>
  <c r="AA27" i="12"/>
  <c r="O27" i="12"/>
  <c r="C27" i="12"/>
  <c r="CZ27" i="12"/>
  <c r="CM27" i="12"/>
  <c r="BZ27" i="12"/>
  <c r="BM27" i="12"/>
  <c r="AZ27" i="12"/>
  <c r="AL27" i="12"/>
  <c r="Y27" i="12"/>
  <c r="L27" i="12"/>
  <c r="CY27" i="12"/>
  <c r="CL27" i="12"/>
  <c r="BY27" i="12"/>
  <c r="BL27" i="12"/>
  <c r="AX27" i="12"/>
  <c r="AK27" i="12"/>
  <c r="X27" i="12"/>
  <c r="K27" i="12"/>
  <c r="CR27" i="12"/>
  <c r="CC27" i="12"/>
  <c r="BN27" i="12"/>
  <c r="AV27" i="12"/>
  <c r="AG27" i="12"/>
  <c r="R27" i="12"/>
  <c r="CQ27" i="12"/>
  <c r="CB27" i="12"/>
  <c r="BJ27" i="12"/>
  <c r="AU27" i="12"/>
  <c r="AF27" i="12"/>
  <c r="Q27" i="12"/>
  <c r="CO27" i="12"/>
  <c r="BX27" i="12"/>
  <c r="BH27" i="12"/>
  <c r="AS27" i="12"/>
  <c r="AD27" i="12"/>
  <c r="N27" i="12"/>
  <c r="CN27" i="12"/>
  <c r="BS27" i="12"/>
  <c r="BA27" i="12"/>
  <c r="AC27" i="12"/>
  <c r="H27" i="12"/>
  <c r="CH27" i="12"/>
  <c r="BP27" i="12"/>
  <c r="AR27" i="12"/>
  <c r="W27" i="12"/>
  <c r="E27" i="12"/>
  <c r="CX27" i="12"/>
  <c r="CE27" i="12"/>
  <c r="BG27" i="12"/>
  <c r="AO27" i="12"/>
  <c r="T27" i="12"/>
  <c r="CV27" i="12"/>
  <c r="F47" i="12"/>
  <c r="BL53" i="12"/>
  <c r="AC71" i="12"/>
  <c r="BI71" i="12"/>
  <c r="CO71" i="12"/>
  <c r="R115" i="12"/>
  <c r="CI115" i="12"/>
  <c r="E10" i="12"/>
  <c r="AA10" i="12"/>
  <c r="AT10" i="12"/>
  <c r="BP10" i="12"/>
  <c r="CJ10" i="12"/>
  <c r="CV20" i="12"/>
  <c r="CI20" i="12"/>
  <c r="BV20" i="12"/>
  <c r="BI20" i="12"/>
  <c r="AW20" i="12"/>
  <c r="AK20" i="12"/>
  <c r="Y20" i="12"/>
  <c r="M20" i="12"/>
  <c r="CW20" i="12"/>
  <c r="CF20" i="12"/>
  <c r="BQ20" i="12"/>
  <c r="BB20" i="12"/>
  <c r="AN20" i="12"/>
  <c r="Z20" i="12"/>
  <c r="J20" i="12"/>
  <c r="CT20" i="12"/>
  <c r="CE20" i="12"/>
  <c r="BP20" i="12"/>
  <c r="BA20" i="12"/>
  <c r="AM20" i="12"/>
  <c r="W20" i="12"/>
  <c r="I20" i="12"/>
  <c r="CD20" i="12"/>
  <c r="BL20" i="12"/>
  <c r="AT20" i="12"/>
  <c r="AD20" i="12"/>
  <c r="N20" i="12"/>
  <c r="CR20" i="12"/>
  <c r="CA20" i="12"/>
  <c r="BG20" i="12"/>
  <c r="AQ20" i="12"/>
  <c r="AA20" i="12"/>
  <c r="G20" i="12"/>
  <c r="CO20" i="12"/>
  <c r="BW20" i="12"/>
  <c r="BD20" i="12"/>
  <c r="AL20" i="12"/>
  <c r="T20" i="12"/>
  <c r="D20" i="12"/>
  <c r="C20" i="12"/>
  <c r="AB20" i="12"/>
  <c r="AX20" i="12"/>
  <c r="BT20" i="12"/>
  <c r="CS20" i="12"/>
  <c r="F24" i="12"/>
  <c r="AD24" i="12"/>
  <c r="BD24" i="12"/>
  <c r="CE24" i="12"/>
  <c r="S27" i="12"/>
  <c r="AT27" i="12"/>
  <c r="BU27" i="12"/>
  <c r="CW27" i="12"/>
  <c r="M34" i="12"/>
  <c r="AP34" i="12"/>
  <c r="BR34" i="12"/>
  <c r="CT34" i="12"/>
  <c r="AP37" i="12"/>
  <c r="BQ37" i="12"/>
  <c r="CT37" i="12"/>
  <c r="K40" i="12"/>
  <c r="AL40" i="12"/>
  <c r="BM40" i="12"/>
  <c r="CQ40" i="12"/>
  <c r="G47" i="12"/>
  <c r="AE47" i="12"/>
  <c r="BH47" i="12"/>
  <c r="CK47" i="12"/>
  <c r="AH53" i="12"/>
  <c r="BN53" i="12"/>
  <c r="CN53" i="12"/>
  <c r="AE71" i="12"/>
  <c r="BP71" i="12"/>
  <c r="CR71" i="12"/>
  <c r="G79" i="12"/>
  <c r="AY79" i="12"/>
  <c r="CO79" i="12"/>
  <c r="CQ88" i="12"/>
  <c r="CD88" i="12"/>
  <c r="BQ88" i="12"/>
  <c r="BD88" i="12"/>
  <c r="AQ88" i="12"/>
  <c r="CZ88" i="12"/>
  <c r="CI88" i="12"/>
  <c r="BT88" i="12"/>
  <c r="BE88" i="12"/>
  <c r="AN88" i="12"/>
  <c r="Z88" i="12"/>
  <c r="L88" i="12"/>
  <c r="CH88" i="12"/>
  <c r="BR88" i="12"/>
  <c r="AZ88" i="12"/>
  <c r="AI88" i="12"/>
  <c r="T88" i="12"/>
  <c r="D88" i="12"/>
  <c r="CY88" i="12"/>
  <c r="CG88" i="12"/>
  <c r="BP88" i="12"/>
  <c r="AY88" i="12"/>
  <c r="AH88" i="12"/>
  <c r="S88" i="12"/>
  <c r="C88" i="12"/>
  <c r="CV88" i="12"/>
  <c r="CU88" i="12"/>
  <c r="CE88" i="12"/>
  <c r="BN88" i="12"/>
  <c r="AV88" i="12"/>
  <c r="AF88" i="12"/>
  <c r="P88" i="12"/>
  <c r="CS88" i="12"/>
  <c r="BX88" i="12"/>
  <c r="BB88" i="12"/>
  <c r="AD88" i="12"/>
  <c r="I88" i="12"/>
  <c r="CR88" i="12"/>
  <c r="BV88" i="12"/>
  <c r="AX88" i="12"/>
  <c r="AB88" i="12"/>
  <c r="H88" i="12"/>
  <c r="CO88" i="12"/>
  <c r="BS88" i="12"/>
  <c r="AT88" i="12"/>
  <c r="Y88" i="12"/>
  <c r="F88" i="12"/>
  <c r="CN88" i="12"/>
  <c r="BI88" i="12"/>
  <c r="AG88" i="12"/>
  <c r="CM88" i="12"/>
  <c r="BH88" i="12"/>
  <c r="AE88" i="12"/>
  <c r="CF88" i="12"/>
  <c r="BF88" i="12"/>
  <c r="X88" i="12"/>
  <c r="CA88" i="12"/>
  <c r="AS88" i="12"/>
  <c r="R88" i="12"/>
  <c r="AL88" i="12"/>
  <c r="CB88" i="12"/>
  <c r="S115" i="12"/>
  <c r="CN115" i="12"/>
  <c r="F10" i="12"/>
  <c r="AB10" i="12"/>
  <c r="AV10" i="12"/>
  <c r="BR10" i="12"/>
  <c r="E20" i="12"/>
  <c r="AC20" i="12"/>
  <c r="AY20" i="12"/>
  <c r="BX20" i="12"/>
  <c r="CY20" i="12"/>
  <c r="H24" i="12"/>
  <c r="AE24" i="12"/>
  <c r="BE24" i="12"/>
  <c r="CG24" i="12"/>
  <c r="U27" i="12"/>
  <c r="AW27" i="12"/>
  <c r="BV27" i="12"/>
  <c r="CU34" i="12"/>
  <c r="CI34" i="12"/>
  <c r="BW34" i="12"/>
  <c r="BK34" i="12"/>
  <c r="AY34" i="12"/>
  <c r="AM34" i="12"/>
  <c r="AA34" i="12"/>
  <c r="O34" i="12"/>
  <c r="C34" i="12"/>
  <c r="CW34" i="12"/>
  <c r="CJ34" i="12"/>
  <c r="BV34" i="12"/>
  <c r="BI34" i="12"/>
  <c r="AV34" i="12"/>
  <c r="AI34" i="12"/>
  <c r="V34" i="12"/>
  <c r="I34" i="12"/>
  <c r="CV34" i="12"/>
  <c r="CH34" i="12"/>
  <c r="BU34" i="12"/>
  <c r="BH34" i="12"/>
  <c r="AU34" i="12"/>
  <c r="AH34" i="12"/>
  <c r="U34" i="12"/>
  <c r="H34" i="12"/>
  <c r="CS34" i="12"/>
  <c r="CD34" i="12"/>
  <c r="BO34" i="12"/>
  <c r="AZ34" i="12"/>
  <c r="AJ34" i="12"/>
  <c r="S34" i="12"/>
  <c r="D34" i="12"/>
  <c r="CR34" i="12"/>
  <c r="CC34" i="12"/>
  <c r="BN34" i="12"/>
  <c r="AX34" i="12"/>
  <c r="AG34" i="12"/>
  <c r="R34" i="12"/>
  <c r="CP34" i="12"/>
  <c r="CA34" i="12"/>
  <c r="BL34" i="12"/>
  <c r="AT34" i="12"/>
  <c r="AE34" i="12"/>
  <c r="P34" i="12"/>
  <c r="CG34" i="12"/>
  <c r="BM34" i="12"/>
  <c r="AQ34" i="12"/>
  <c r="X34" i="12"/>
  <c r="CY34" i="12"/>
  <c r="CB34" i="12"/>
  <c r="BF34" i="12"/>
  <c r="AN34" i="12"/>
  <c r="Q34" i="12"/>
  <c r="CQ34" i="12"/>
  <c r="BX34" i="12"/>
  <c r="BC34" i="12"/>
  <c r="AF34" i="12"/>
  <c r="L34" i="12"/>
  <c r="N34" i="12"/>
  <c r="AR34" i="12"/>
  <c r="BS34" i="12"/>
  <c r="CX34" i="12"/>
  <c r="N37" i="12"/>
  <c r="AQ37" i="12"/>
  <c r="BU37" i="12"/>
  <c r="CX37" i="12"/>
  <c r="L40" i="12"/>
  <c r="AN40" i="12"/>
  <c r="BS40" i="12"/>
  <c r="CS40" i="12"/>
  <c r="H47" i="12"/>
  <c r="AJ47" i="12"/>
  <c r="BI47" i="12"/>
  <c r="E53" i="12"/>
  <c r="AI53" i="12"/>
  <c r="BO53" i="12"/>
  <c r="S59" i="12"/>
  <c r="BC59" i="12"/>
  <c r="AG71" i="12"/>
  <c r="BQ71" i="12"/>
  <c r="CX71" i="12"/>
  <c r="I79" i="12"/>
  <c r="AZ79" i="12"/>
  <c r="AM88" i="12"/>
  <c r="CC88" i="12"/>
  <c r="AT99" i="12"/>
  <c r="U115" i="12"/>
  <c r="CW24" i="12"/>
  <c r="BB47" i="12"/>
  <c r="T10" i="12"/>
  <c r="BU24" i="12"/>
  <c r="BC47" i="12"/>
  <c r="BM10" i="12"/>
  <c r="BV24" i="12"/>
  <c r="AL34" i="12"/>
  <c r="CG53" i="12"/>
  <c r="BH53" i="12"/>
  <c r="AJ53" i="12"/>
  <c r="Q53" i="12"/>
  <c r="CX53" i="12"/>
  <c r="BY53" i="12"/>
  <c r="BD53" i="12"/>
  <c r="AG53" i="12"/>
  <c r="H53" i="12"/>
  <c r="CP53" i="12"/>
  <c r="BT53" i="12"/>
  <c r="AW53" i="12"/>
  <c r="AB53" i="12"/>
  <c r="D53" i="12"/>
  <c r="CM71" i="12"/>
  <c r="Z10" i="12"/>
  <c r="CI10" i="12"/>
  <c r="Z24" i="12"/>
  <c r="AQ27" i="12"/>
  <c r="AO34" i="12"/>
  <c r="BF47" i="12"/>
  <c r="CO10" i="12"/>
  <c r="CC10" i="12"/>
  <c r="BQ10" i="12"/>
  <c r="BE10" i="12"/>
  <c r="AS10" i="12"/>
  <c r="AG10" i="12"/>
  <c r="U10" i="12"/>
  <c r="I10" i="12"/>
  <c r="CY10" i="12"/>
  <c r="CL10" i="12"/>
  <c r="BY10" i="12"/>
  <c r="BL10" i="12"/>
  <c r="AY10" i="12"/>
  <c r="AL10" i="12"/>
  <c r="Y10" i="12"/>
  <c r="L10" i="12"/>
  <c r="CX10" i="12"/>
  <c r="CK10" i="12"/>
  <c r="BX10" i="12"/>
  <c r="BK10" i="12"/>
  <c r="AX10" i="12"/>
  <c r="AK10" i="12"/>
  <c r="X10" i="12"/>
  <c r="K10" i="12"/>
  <c r="CW10" i="12"/>
  <c r="CH10" i="12"/>
  <c r="BS10" i="12"/>
  <c r="BC10" i="12"/>
  <c r="AN10" i="12"/>
  <c r="W10" i="12"/>
  <c r="G10" i="12"/>
  <c r="CT10" i="12"/>
  <c r="CE10" i="12"/>
  <c r="BO10" i="12"/>
  <c r="AZ10" i="12"/>
  <c r="AI10" i="12"/>
  <c r="S10" i="12"/>
  <c r="D10" i="12"/>
  <c r="CQ10" i="12"/>
  <c r="CA10" i="12"/>
  <c r="BJ10" i="12"/>
  <c r="AU10" i="12"/>
  <c r="AE10" i="12"/>
  <c r="P10" i="12"/>
  <c r="AW10" i="12"/>
  <c r="BG24" i="12"/>
  <c r="AS34" i="12"/>
  <c r="CO47" i="12"/>
  <c r="AK53" i="12"/>
  <c r="CT79" i="12"/>
  <c r="CH79" i="12"/>
  <c r="BV79" i="12"/>
  <c r="BJ79" i="12"/>
  <c r="AX79" i="12"/>
  <c r="AL79" i="12"/>
  <c r="Z79" i="12"/>
  <c r="N79" i="12"/>
  <c r="CN79" i="12"/>
  <c r="CA79" i="12"/>
  <c r="BN79" i="12"/>
  <c r="BA79" i="12"/>
  <c r="AN79" i="12"/>
  <c r="AA79" i="12"/>
  <c r="M79" i="12"/>
  <c r="CU79" i="12"/>
  <c r="CF79" i="12"/>
  <c r="BR79" i="12"/>
  <c r="BD79" i="12"/>
  <c r="AP79" i="12"/>
  <c r="AB79" i="12"/>
  <c r="L79" i="12"/>
  <c r="CL79" i="12"/>
  <c r="BW79" i="12"/>
  <c r="BG79" i="12"/>
  <c r="AR79" i="12"/>
  <c r="AC79" i="12"/>
  <c r="K79" i="12"/>
  <c r="CZ79" i="12"/>
  <c r="CK79" i="12"/>
  <c r="BU79" i="12"/>
  <c r="BF79" i="12"/>
  <c r="AQ79" i="12"/>
  <c r="Y79" i="12"/>
  <c r="J79" i="12"/>
  <c r="CX79" i="12"/>
  <c r="CI79" i="12"/>
  <c r="BS79" i="12"/>
  <c r="BC79" i="12"/>
  <c r="AM79" i="12"/>
  <c r="W79" i="12"/>
  <c r="H79" i="12"/>
  <c r="CJ79" i="12"/>
  <c r="BO79" i="12"/>
  <c r="AU79" i="12"/>
  <c r="X79" i="12"/>
  <c r="E79" i="12"/>
  <c r="CG79" i="12"/>
  <c r="BM79" i="12"/>
  <c r="AT79" i="12"/>
  <c r="V79" i="12"/>
  <c r="D79" i="12"/>
  <c r="CY79" i="12"/>
  <c r="CD79" i="12"/>
  <c r="BK79" i="12"/>
  <c r="AO79" i="12"/>
  <c r="T79" i="12"/>
  <c r="CV79" i="12"/>
  <c r="BX79" i="12"/>
  <c r="AV79" i="12"/>
  <c r="R79" i="12"/>
  <c r="CS79" i="12"/>
  <c r="BT79" i="12"/>
  <c r="AS79" i="12"/>
  <c r="Q79" i="12"/>
  <c r="CQ79" i="12"/>
  <c r="BP79" i="12"/>
  <c r="AJ79" i="12"/>
  <c r="O79" i="12"/>
  <c r="CM79" i="12"/>
  <c r="BH79" i="12"/>
  <c r="AG79" i="12"/>
  <c r="F79" i="12"/>
  <c r="BB79" i="12"/>
  <c r="AD10" i="12"/>
  <c r="CJ24" i="12"/>
  <c r="CD27" i="12"/>
  <c r="BY34" i="12"/>
  <c r="AU37" i="12"/>
  <c r="AP47" i="12"/>
  <c r="BS53" i="12"/>
  <c r="S79" i="12"/>
  <c r="M10" i="12"/>
  <c r="CR10" i="12"/>
  <c r="CC20" i="12"/>
  <c r="AK24" i="12"/>
  <c r="AB27" i="12"/>
  <c r="BD27" i="12"/>
  <c r="CF27" i="12"/>
  <c r="Y34" i="12"/>
  <c r="BA34" i="12"/>
  <c r="BZ34" i="12"/>
  <c r="X37" i="12"/>
  <c r="S40" i="12"/>
  <c r="AU40" i="12"/>
  <c r="BX40" i="12"/>
  <c r="CY40" i="12"/>
  <c r="N47" i="12"/>
  <c r="AQ47" i="12"/>
  <c r="BS47" i="12"/>
  <c r="CV47" i="12"/>
  <c r="P53" i="12"/>
  <c r="AR53" i="12"/>
  <c r="BU53" i="12"/>
  <c r="CX59" i="12"/>
  <c r="CL59" i="12"/>
  <c r="BZ59" i="12"/>
  <c r="BN59" i="12"/>
  <c r="BB59" i="12"/>
  <c r="AP59" i="12"/>
  <c r="AD59" i="12"/>
  <c r="R59" i="12"/>
  <c r="F59" i="12"/>
  <c r="CM59" i="12"/>
  <c r="BY59" i="12"/>
  <c r="BL59" i="12"/>
  <c r="AY59" i="12"/>
  <c r="AL59" i="12"/>
  <c r="Y59" i="12"/>
  <c r="L59" i="12"/>
  <c r="CO59" i="12"/>
  <c r="CA59" i="12"/>
  <c r="BK59" i="12"/>
  <c r="AW59" i="12"/>
  <c r="AI59" i="12"/>
  <c r="U59" i="12"/>
  <c r="G59" i="12"/>
  <c r="CN59" i="12"/>
  <c r="BX59" i="12"/>
  <c r="BJ59" i="12"/>
  <c r="AV59" i="12"/>
  <c r="AH59" i="12"/>
  <c r="T59" i="12"/>
  <c r="E59" i="12"/>
  <c r="CJ59" i="12"/>
  <c r="BV59" i="12"/>
  <c r="BH59" i="12"/>
  <c r="AT59" i="12"/>
  <c r="AF59" i="12"/>
  <c r="CW59" i="12"/>
  <c r="CF59" i="12"/>
  <c r="BO59" i="12"/>
  <c r="AS59" i="12"/>
  <c r="AA59" i="12"/>
  <c r="J59" i="12"/>
  <c r="CV59" i="12"/>
  <c r="CE59" i="12"/>
  <c r="BM59" i="12"/>
  <c r="AR59" i="12"/>
  <c r="Z59" i="12"/>
  <c r="I59" i="12"/>
  <c r="CT59" i="12"/>
  <c r="CC59" i="12"/>
  <c r="BG59" i="12"/>
  <c r="AO59" i="12"/>
  <c r="W59" i="12"/>
  <c r="D59" i="12"/>
  <c r="CU59" i="12"/>
  <c r="BU59" i="12"/>
  <c r="AZ59" i="12"/>
  <c r="X59" i="12"/>
  <c r="CQ59" i="12"/>
  <c r="BR59" i="12"/>
  <c r="AQ59" i="12"/>
  <c r="Q59" i="12"/>
  <c r="CI59" i="12"/>
  <c r="BI59" i="12"/>
  <c r="AK59" i="12"/>
  <c r="N59" i="12"/>
  <c r="AC59" i="12"/>
  <c r="BF59" i="12"/>
  <c r="CR59" i="12"/>
  <c r="K71" i="12"/>
  <c r="AO71" i="12"/>
  <c r="BV71" i="12"/>
  <c r="U79" i="12"/>
  <c r="BI79" i="12"/>
  <c r="K88" i="12"/>
  <c r="AU88" i="12"/>
  <c r="CT88" i="12"/>
  <c r="BH10" i="12"/>
  <c r="CD10" i="12"/>
  <c r="AT24" i="12"/>
  <c r="CA47" i="12"/>
  <c r="AP10" i="12"/>
  <c r="AU24" i="12"/>
  <c r="CX24" i="12"/>
  <c r="AB47" i="12"/>
  <c r="BD71" i="12"/>
  <c r="AQ10" i="12"/>
  <c r="AX24" i="12"/>
  <c r="BP34" i="12"/>
  <c r="CG47" i="12"/>
  <c r="BF53" i="12"/>
  <c r="Y71" i="12"/>
  <c r="CW115" i="12"/>
  <c r="CK115" i="12"/>
  <c r="BY115" i="12"/>
  <c r="BM115" i="12"/>
  <c r="BA115" i="12"/>
  <c r="AO115" i="12"/>
  <c r="AC115" i="12"/>
  <c r="Q115" i="12"/>
  <c r="E115" i="12"/>
  <c r="CQ115" i="12"/>
  <c r="CE115" i="12"/>
  <c r="BS115" i="12"/>
  <c r="BG115" i="12"/>
  <c r="AU115" i="12"/>
  <c r="AI115" i="12"/>
  <c r="W115" i="12"/>
  <c r="K115" i="12"/>
  <c r="CY115" i="12"/>
  <c r="CJ115" i="12"/>
  <c r="BV115" i="12"/>
  <c r="BH115" i="12"/>
  <c r="AS115" i="12"/>
  <c r="AE115" i="12"/>
  <c r="P115" i="12"/>
  <c r="CU115" i="12"/>
  <c r="CG115" i="12"/>
  <c r="BR115" i="12"/>
  <c r="BD115" i="12"/>
  <c r="AP115" i="12"/>
  <c r="AA115" i="12"/>
  <c r="M115" i="12"/>
  <c r="CR115" i="12"/>
  <c r="CC115" i="12"/>
  <c r="BO115" i="12"/>
  <c r="AZ115" i="12"/>
  <c r="AL115" i="12"/>
  <c r="X115" i="12"/>
  <c r="I115" i="12"/>
  <c r="CM115" i="12"/>
  <c r="BT115" i="12"/>
  <c r="AY115" i="12"/>
  <c r="AG115" i="12"/>
  <c r="N115" i="12"/>
  <c r="CL115" i="12"/>
  <c r="BQ115" i="12"/>
  <c r="AX115" i="12"/>
  <c r="AF115" i="12"/>
  <c r="L115" i="12"/>
  <c r="CZ115" i="12"/>
  <c r="CB115" i="12"/>
  <c r="BF115" i="12"/>
  <c r="AJ115" i="12"/>
  <c r="J115" i="12"/>
  <c r="CX115" i="12"/>
  <c r="CA115" i="12"/>
  <c r="BE115" i="12"/>
  <c r="AH115" i="12"/>
  <c r="H115" i="12"/>
  <c r="CV115" i="12"/>
  <c r="BZ115" i="12"/>
  <c r="BC115" i="12"/>
  <c r="AD115" i="12"/>
  <c r="G115" i="12"/>
  <c r="CT115" i="12"/>
  <c r="BX115" i="12"/>
  <c r="BB115" i="12"/>
  <c r="AB115" i="12"/>
  <c r="F115" i="12"/>
  <c r="BN115" i="12"/>
  <c r="AK115" i="12"/>
  <c r="CS115" i="12"/>
  <c r="BL115" i="12"/>
  <c r="Z115" i="12"/>
  <c r="CO115" i="12"/>
  <c r="BJ115" i="12"/>
  <c r="V115" i="12"/>
  <c r="CD115" i="12"/>
  <c r="AM115" i="12"/>
  <c r="BW115" i="12"/>
  <c r="Y115" i="12"/>
  <c r="BP115" i="12"/>
  <c r="T115" i="12"/>
  <c r="AW115" i="12"/>
  <c r="O115" i="12"/>
  <c r="CP115" i="12"/>
  <c r="AV115" i="12"/>
  <c r="D115" i="12"/>
  <c r="C115" i="12"/>
  <c r="C10" i="12"/>
  <c r="BN10" i="12"/>
  <c r="AZ24" i="12"/>
  <c r="BZ24" i="12"/>
  <c r="BT27" i="12"/>
  <c r="K34" i="12"/>
  <c r="CO34" i="12"/>
  <c r="CJ47" i="12"/>
  <c r="AF53" i="12"/>
  <c r="CL53" i="12"/>
  <c r="AC10" i="12"/>
  <c r="BT10" i="12"/>
  <c r="CU24" i="12"/>
  <c r="CI24" i="12"/>
  <c r="BW24" i="12"/>
  <c r="BK24" i="12"/>
  <c r="AY24" i="12"/>
  <c r="AM24" i="12"/>
  <c r="AA24" i="12"/>
  <c r="O24" i="12"/>
  <c r="C24" i="12"/>
  <c r="CP24" i="12"/>
  <c r="CC24" i="12"/>
  <c r="BP24" i="12"/>
  <c r="BC24" i="12"/>
  <c r="AP24" i="12"/>
  <c r="AC24" i="12"/>
  <c r="P24" i="12"/>
  <c r="CO24" i="12"/>
  <c r="CB24" i="12"/>
  <c r="BO24" i="12"/>
  <c r="BB24" i="12"/>
  <c r="AO24" i="12"/>
  <c r="AB24" i="12"/>
  <c r="N24" i="12"/>
  <c r="CS24" i="12"/>
  <c r="CD24" i="12"/>
  <c r="BM24" i="12"/>
  <c r="AW24" i="12"/>
  <c r="AH24" i="12"/>
  <c r="S24" i="12"/>
  <c r="D24" i="12"/>
  <c r="CR24" i="12"/>
  <c r="CA24" i="12"/>
  <c r="BL24" i="12"/>
  <c r="AV24" i="12"/>
  <c r="AG24" i="12"/>
  <c r="R24" i="12"/>
  <c r="CN24" i="12"/>
  <c r="BY24" i="12"/>
  <c r="CY24" i="12"/>
  <c r="CF24" i="12"/>
  <c r="BI24" i="12"/>
  <c r="AR24" i="12"/>
  <c r="X24" i="12"/>
  <c r="G24" i="12"/>
  <c r="CV24" i="12"/>
  <c r="BX24" i="12"/>
  <c r="BF24" i="12"/>
  <c r="AL24" i="12"/>
  <c r="U24" i="12"/>
  <c r="CM24" i="12"/>
  <c r="BT24" i="12"/>
  <c r="BA24" i="12"/>
  <c r="AI24" i="12"/>
  <c r="M24" i="12"/>
  <c r="AF24" i="12"/>
  <c r="CH24" i="12"/>
  <c r="V27" i="12"/>
  <c r="T34" i="12"/>
  <c r="CZ34" i="12"/>
  <c r="I47" i="12"/>
  <c r="BQ47" i="12"/>
  <c r="F53" i="12"/>
  <c r="BR53" i="12"/>
  <c r="BR71" i="12"/>
  <c r="CR79" i="12"/>
  <c r="AN115" i="12"/>
  <c r="J10" i="12"/>
  <c r="BA10" i="12"/>
  <c r="CP10" i="12"/>
  <c r="H20" i="12"/>
  <c r="AF20" i="12"/>
  <c r="CB20" i="12"/>
  <c r="J24" i="12"/>
  <c r="AJ24" i="12"/>
  <c r="Z27" i="12"/>
  <c r="BC27" i="12"/>
  <c r="W34" i="12"/>
  <c r="CU37" i="12"/>
  <c r="CI37" i="12"/>
  <c r="BW37" i="12"/>
  <c r="BK37" i="12"/>
  <c r="AY37" i="12"/>
  <c r="AM37" i="12"/>
  <c r="AA37" i="12"/>
  <c r="O37" i="12"/>
  <c r="C37" i="12"/>
  <c r="CS37" i="12"/>
  <c r="CF37" i="12"/>
  <c r="BS37" i="12"/>
  <c r="BF37" i="12"/>
  <c r="AS37" i="12"/>
  <c r="AF37" i="12"/>
  <c r="S37" i="12"/>
  <c r="F37" i="12"/>
  <c r="CR37" i="12"/>
  <c r="CE37" i="12"/>
  <c r="BR37" i="12"/>
  <c r="BE37" i="12"/>
  <c r="AR37" i="12"/>
  <c r="AE37" i="12"/>
  <c r="R37" i="12"/>
  <c r="E37" i="12"/>
  <c r="CW37" i="12"/>
  <c r="CG37" i="12"/>
  <c r="BP37" i="12"/>
  <c r="BA37" i="12"/>
  <c r="AK37" i="12"/>
  <c r="V37" i="12"/>
  <c r="G37" i="12"/>
  <c r="CV37" i="12"/>
  <c r="CD37" i="12"/>
  <c r="BO37" i="12"/>
  <c r="AZ37" i="12"/>
  <c r="AJ37" i="12"/>
  <c r="U37" i="12"/>
  <c r="D37" i="12"/>
  <c r="CQ37" i="12"/>
  <c r="CB37" i="12"/>
  <c r="BM37" i="12"/>
  <c r="AW37" i="12"/>
  <c r="AH37" i="12"/>
  <c r="Q37" i="12"/>
  <c r="CY37" i="12"/>
  <c r="CA37" i="12"/>
  <c r="BH37" i="12"/>
  <c r="AN37" i="12"/>
  <c r="P37" i="12"/>
  <c r="CP37" i="12"/>
  <c r="BX37" i="12"/>
  <c r="BC37" i="12"/>
  <c r="AG37" i="12"/>
  <c r="L37" i="12"/>
  <c r="CM37" i="12"/>
  <c r="BT37" i="12"/>
  <c r="AV37" i="12"/>
  <c r="AB37" i="12"/>
  <c r="I37" i="12"/>
  <c r="W37" i="12"/>
  <c r="BY37" i="12"/>
  <c r="Q40" i="12"/>
  <c r="AS40" i="12"/>
  <c r="CX40" i="12"/>
  <c r="J47" i="12"/>
  <c r="CP47" i="12"/>
  <c r="AP53" i="12"/>
  <c r="CY53" i="12"/>
  <c r="D71" i="12"/>
  <c r="BT71" i="12"/>
  <c r="BE79" i="12"/>
  <c r="AQ115" i="12"/>
  <c r="AF10" i="12"/>
  <c r="BB10" i="12"/>
  <c r="K20" i="12"/>
  <c r="BE20" i="12"/>
  <c r="BJ24" i="12"/>
  <c r="N10" i="12"/>
  <c r="AH10" i="12"/>
  <c r="BW10" i="12"/>
  <c r="AH20" i="12"/>
  <c r="CG20" i="12"/>
  <c r="L24" i="12"/>
  <c r="AN24" i="12"/>
  <c r="CL24" i="12"/>
  <c r="D27" i="12"/>
  <c r="AE27" i="12"/>
  <c r="BE27" i="12"/>
  <c r="CG27" i="12"/>
  <c r="Z34" i="12"/>
  <c r="BB34" i="12"/>
  <c r="CE34" i="12"/>
  <c r="Y37" i="12"/>
  <c r="BB37" i="12"/>
  <c r="CC37" i="12"/>
  <c r="W40" i="12"/>
  <c r="AW40" i="12"/>
  <c r="BY40" i="12"/>
  <c r="CU47" i="12"/>
  <c r="CI47" i="12"/>
  <c r="BW47" i="12"/>
  <c r="BK47" i="12"/>
  <c r="AY47" i="12"/>
  <c r="AM47" i="12"/>
  <c r="AA47" i="12"/>
  <c r="O47" i="12"/>
  <c r="C47" i="12"/>
  <c r="CM47" i="12"/>
  <c r="BZ47" i="12"/>
  <c r="BM47" i="12"/>
  <c r="AZ47" i="12"/>
  <c r="AL47" i="12"/>
  <c r="Y47" i="12"/>
  <c r="L47" i="12"/>
  <c r="CL47" i="12"/>
  <c r="BY47" i="12"/>
  <c r="BL47" i="12"/>
  <c r="AX47" i="12"/>
  <c r="AK47" i="12"/>
  <c r="X47" i="12"/>
  <c r="K47" i="12"/>
  <c r="CT47" i="12"/>
  <c r="CE47" i="12"/>
  <c r="BP47" i="12"/>
  <c r="BA47" i="12"/>
  <c r="AI47" i="12"/>
  <c r="T47" i="12"/>
  <c r="E47" i="12"/>
  <c r="CS47" i="12"/>
  <c r="CD47" i="12"/>
  <c r="BO47" i="12"/>
  <c r="AW47" i="12"/>
  <c r="AH47" i="12"/>
  <c r="S47" i="12"/>
  <c r="D47" i="12"/>
  <c r="CQ47" i="12"/>
  <c r="CB47" i="12"/>
  <c r="BJ47" i="12"/>
  <c r="AU47" i="12"/>
  <c r="AF47" i="12"/>
  <c r="Q47" i="12"/>
  <c r="CH47" i="12"/>
  <c r="BN47" i="12"/>
  <c r="AR47" i="12"/>
  <c r="W47" i="12"/>
  <c r="CX47" i="12"/>
  <c r="CC47" i="12"/>
  <c r="BG47" i="12"/>
  <c r="AO47" i="12"/>
  <c r="R47" i="12"/>
  <c r="CR47" i="12"/>
  <c r="BV47" i="12"/>
  <c r="BD47" i="12"/>
  <c r="AG47" i="12"/>
  <c r="M47" i="12"/>
  <c r="P47" i="12"/>
  <c r="AS47" i="12"/>
  <c r="BT47" i="12"/>
  <c r="CW47" i="12"/>
  <c r="R53" i="12"/>
  <c r="AU53" i="12"/>
  <c r="BV53" i="12"/>
  <c r="AE59" i="12"/>
  <c r="BP59" i="12"/>
  <c r="CS59" i="12"/>
  <c r="M71" i="12"/>
  <c r="AQ71" i="12"/>
  <c r="BX71" i="12"/>
  <c r="AD79" i="12"/>
  <c r="BL79" i="12"/>
  <c r="M88" i="12"/>
  <c r="BC88" i="12"/>
  <c r="AT115" i="12"/>
  <c r="O10" i="12"/>
  <c r="AJ10" i="12"/>
  <c r="BF10" i="12"/>
  <c r="BZ10" i="12"/>
  <c r="CU10" i="12"/>
  <c r="P20" i="12"/>
  <c r="AI20" i="12"/>
  <c r="BJ20" i="12"/>
  <c r="CJ20" i="12"/>
  <c r="Q24" i="12"/>
  <c r="AQ24" i="12"/>
  <c r="BQ24" i="12"/>
  <c r="CQ24" i="12"/>
  <c r="F27" i="12"/>
  <c r="AH27" i="12"/>
  <c r="BF27" i="12"/>
  <c r="CJ27" i="12"/>
  <c r="AB34" i="12"/>
  <c r="BD34" i="12"/>
  <c r="CF34" i="12"/>
  <c r="Z37" i="12"/>
  <c r="BD37" i="12"/>
  <c r="CH37" i="12"/>
  <c r="X40" i="12"/>
  <c r="BD40" i="12"/>
  <c r="CY47" i="12"/>
  <c r="U47" i="12"/>
  <c r="AT47" i="12"/>
  <c r="BU47" i="12"/>
  <c r="CX49" i="12"/>
  <c r="CL49" i="12"/>
  <c r="BZ49" i="12"/>
  <c r="BN49" i="12"/>
  <c r="BB49" i="12"/>
  <c r="AP49" i="12"/>
  <c r="AD49" i="12"/>
  <c r="R49" i="12"/>
  <c r="F49" i="12"/>
  <c r="CS49" i="12"/>
  <c r="CF49" i="12"/>
  <c r="BS49" i="12"/>
  <c r="BF49" i="12"/>
  <c r="AS49" i="12"/>
  <c r="CQ49" i="12"/>
  <c r="CC49" i="12"/>
  <c r="BO49" i="12"/>
  <c r="AZ49" i="12"/>
  <c r="AL49" i="12"/>
  <c r="Y49" i="12"/>
  <c r="L49" i="12"/>
  <c r="CP49" i="12"/>
  <c r="CB49" i="12"/>
  <c r="BM49" i="12"/>
  <c r="AY49" i="12"/>
  <c r="AK49" i="12"/>
  <c r="X49" i="12"/>
  <c r="K49" i="12"/>
  <c r="CN49" i="12"/>
  <c r="BW49" i="12"/>
  <c r="BG49" i="12"/>
  <c r="AO49" i="12"/>
  <c r="Z49" i="12"/>
  <c r="I49" i="12"/>
  <c r="CM49" i="12"/>
  <c r="BV49" i="12"/>
  <c r="BE49" i="12"/>
  <c r="AN49" i="12"/>
  <c r="W49" i="12"/>
  <c r="H49" i="12"/>
  <c r="CJ49" i="12"/>
  <c r="BT49" i="12"/>
  <c r="BC49" i="12"/>
  <c r="AJ49" i="12"/>
  <c r="U49" i="12"/>
  <c r="E49" i="12"/>
  <c r="CK49" i="12"/>
  <c r="BP49" i="12"/>
  <c r="AT49" i="12"/>
  <c r="V49" i="12"/>
  <c r="CG49" i="12"/>
  <c r="BJ49" i="12"/>
  <c r="AM49" i="12"/>
  <c r="Q49" i="12"/>
  <c r="CW49" i="12"/>
  <c r="CA49" i="12"/>
  <c r="BD49" i="12"/>
  <c r="AG49" i="12"/>
  <c r="N49" i="12"/>
  <c r="AA49" i="12"/>
  <c r="AX49" i="12"/>
  <c r="CE49" i="12"/>
  <c r="S53" i="12"/>
  <c r="AV53" i="12"/>
  <c r="CC53" i="12"/>
  <c r="CZ59" i="12"/>
  <c r="AG59" i="12"/>
  <c r="BQ59" i="12"/>
  <c r="CW71" i="12"/>
  <c r="CU71" i="12"/>
  <c r="CI71" i="12"/>
  <c r="BW71" i="12"/>
  <c r="BK71" i="12"/>
  <c r="AY71" i="12"/>
  <c r="AM71" i="12"/>
  <c r="AA71" i="12"/>
  <c r="O71" i="12"/>
  <c r="C71" i="12"/>
  <c r="CS71" i="12"/>
  <c r="CF71" i="12"/>
  <c r="BS71" i="12"/>
  <c r="BF71" i="12"/>
  <c r="AS71" i="12"/>
  <c r="AF71" i="12"/>
  <c r="S71" i="12"/>
  <c r="F71" i="12"/>
  <c r="CQ71" i="12"/>
  <c r="CC71" i="12"/>
  <c r="BO71" i="12"/>
  <c r="BA71" i="12"/>
  <c r="AL71" i="12"/>
  <c r="X71" i="12"/>
  <c r="J71" i="12"/>
  <c r="CP71" i="12"/>
  <c r="CB71" i="12"/>
  <c r="BN71" i="12"/>
  <c r="AZ71" i="12"/>
  <c r="AK71" i="12"/>
  <c r="W71" i="12"/>
  <c r="I71" i="12"/>
  <c r="CN71" i="12"/>
  <c r="BZ71" i="12"/>
  <c r="BL71" i="12"/>
  <c r="AW71" i="12"/>
  <c r="AI71" i="12"/>
  <c r="U71" i="12"/>
  <c r="G71" i="12"/>
  <c r="CZ71" i="12"/>
  <c r="CG71" i="12"/>
  <c r="BM71" i="12"/>
  <c r="AT71" i="12"/>
  <c r="AB71" i="12"/>
  <c r="H71" i="12"/>
  <c r="CY71" i="12"/>
  <c r="CE71" i="12"/>
  <c r="BJ71" i="12"/>
  <c r="AR71" i="12"/>
  <c r="Z71" i="12"/>
  <c r="E71" i="12"/>
  <c r="CV71" i="12"/>
  <c r="CA71" i="12"/>
  <c r="BH71" i="12"/>
  <c r="AP71" i="12"/>
  <c r="V71" i="12"/>
  <c r="CJ71" i="12"/>
  <c r="BG71" i="12"/>
  <c r="AH71" i="12"/>
  <c r="L71" i="12"/>
  <c r="BY71" i="12"/>
  <c r="BC71" i="12"/>
  <c r="AD71" i="12"/>
  <c r="CT71" i="12"/>
  <c r="BU71" i="12"/>
  <c r="AV71" i="12"/>
  <c r="T71" i="12"/>
  <c r="N71" i="12"/>
  <c r="AU71" i="12"/>
  <c r="CD71" i="12"/>
  <c r="AE79" i="12"/>
  <c r="BQ79" i="12"/>
  <c r="N88" i="12"/>
  <c r="BG88" i="12"/>
  <c r="T99" i="12"/>
  <c r="BI115" i="12"/>
  <c r="AO10" i="12"/>
  <c r="V24" i="12"/>
  <c r="CF10" i="12"/>
  <c r="W24" i="12"/>
  <c r="CL71" i="12"/>
  <c r="V10" i="12"/>
  <c r="Y24" i="12"/>
  <c r="J34" i="12"/>
  <c r="BE47" i="12"/>
  <c r="CK53" i="12"/>
  <c r="BE71" i="12"/>
  <c r="E24" i="12"/>
  <c r="P27" i="12"/>
  <c r="BQ34" i="12"/>
  <c r="AD47" i="12"/>
  <c r="H10" i="12"/>
  <c r="CN10" i="12"/>
  <c r="BB27" i="12"/>
  <c r="CA27" i="12"/>
  <c r="BT34" i="12"/>
  <c r="AN47" i="12"/>
  <c r="CW53" i="12"/>
  <c r="AJ71" i="12"/>
  <c r="P79" i="12"/>
  <c r="BU10" i="12"/>
  <c r="BC20" i="12"/>
  <c r="BH24" i="12"/>
  <c r="CU40" i="12"/>
  <c r="CI40" i="12"/>
  <c r="BW40" i="12"/>
  <c r="BK40" i="12"/>
  <c r="AY40" i="12"/>
  <c r="AM40" i="12"/>
  <c r="AA40" i="12"/>
  <c r="O40" i="12"/>
  <c r="C40" i="12"/>
  <c r="CP40" i="12"/>
  <c r="CC40" i="12"/>
  <c r="BP40" i="12"/>
  <c r="BC40" i="12"/>
  <c r="AP40" i="12"/>
  <c r="AC40" i="12"/>
  <c r="P40" i="12"/>
  <c r="CO40" i="12"/>
  <c r="CB40" i="12"/>
  <c r="BO40" i="12"/>
  <c r="BB40" i="12"/>
  <c r="AO40" i="12"/>
  <c r="AB40" i="12"/>
  <c r="N40" i="12"/>
  <c r="CV40" i="12"/>
  <c r="CF40" i="12"/>
  <c r="BQ40" i="12"/>
  <c r="AZ40" i="12"/>
  <c r="AJ40" i="12"/>
  <c r="U40" i="12"/>
  <c r="F40" i="12"/>
  <c r="CT40" i="12"/>
  <c r="CE40" i="12"/>
  <c r="BN40" i="12"/>
  <c r="AX40" i="12"/>
  <c r="AI40" i="12"/>
  <c r="T40" i="12"/>
  <c r="E40" i="12"/>
  <c r="CR40" i="12"/>
  <c r="CA40" i="12"/>
  <c r="BL40" i="12"/>
  <c r="AV40" i="12"/>
  <c r="AG40" i="12"/>
  <c r="R40" i="12"/>
  <c r="CN40" i="12"/>
  <c r="BU40" i="12"/>
  <c r="BA40" i="12"/>
  <c r="AE40" i="12"/>
  <c r="J40" i="12"/>
  <c r="CK40" i="12"/>
  <c r="BR40" i="12"/>
  <c r="AT40" i="12"/>
  <c r="Y40" i="12"/>
  <c r="G40" i="12"/>
  <c r="CZ40" i="12"/>
  <c r="CG40" i="12"/>
  <c r="BI40" i="12"/>
  <c r="AQ40" i="12"/>
  <c r="V40" i="12"/>
  <c r="BV40" i="12"/>
  <c r="N53" i="12"/>
  <c r="AN71" i="12"/>
  <c r="CW79" i="12"/>
  <c r="BV10" i="12"/>
  <c r="AG20" i="12"/>
  <c r="K24" i="12"/>
  <c r="AX37" i="12"/>
  <c r="BD10" i="12"/>
  <c r="CS10" i="12"/>
  <c r="O20" i="12"/>
  <c r="BF20" i="12"/>
  <c r="BN24" i="12"/>
  <c r="Q10" i="12"/>
  <c r="AM10" i="12"/>
  <c r="BG10" i="12"/>
  <c r="CB10" i="12"/>
  <c r="CV10" i="12"/>
  <c r="Q20" i="12"/>
  <c r="AO20" i="12"/>
  <c r="BK20" i="12"/>
  <c r="CK20" i="12"/>
  <c r="T24" i="12"/>
  <c r="AS24" i="12"/>
  <c r="BR24" i="12"/>
  <c r="CT24" i="12"/>
  <c r="G27" i="12"/>
  <c r="AI27" i="12"/>
  <c r="BI27" i="12"/>
  <c r="CK27" i="12"/>
  <c r="E34" i="12"/>
  <c r="AC34" i="12"/>
  <c r="BE34" i="12"/>
  <c r="CK34" i="12"/>
  <c r="AC37" i="12"/>
  <c r="BG37" i="12"/>
  <c r="CJ37" i="12"/>
  <c r="Z40" i="12"/>
  <c r="BE40" i="12"/>
  <c r="CD40" i="12"/>
  <c r="V47" i="12"/>
  <c r="AV47" i="12"/>
  <c r="BX47" i="12"/>
  <c r="T53" i="12"/>
  <c r="AX53" i="12"/>
  <c r="CF53" i="12"/>
  <c r="C59" i="12"/>
  <c r="AJ59" i="12"/>
  <c r="BS59" i="12"/>
  <c r="P71" i="12"/>
  <c r="AX71" i="12"/>
  <c r="AF79" i="12"/>
  <c r="BY79" i="12"/>
  <c r="O88" i="12"/>
  <c r="BK88" i="12"/>
  <c r="CQ99" i="12"/>
  <c r="CE99" i="12"/>
  <c r="BS99" i="12"/>
  <c r="BG99" i="12"/>
  <c r="AU99" i="12"/>
  <c r="AI99" i="12"/>
  <c r="W99" i="12"/>
  <c r="K99" i="12"/>
  <c r="CR99" i="12"/>
  <c r="CD99" i="12"/>
  <c r="BQ99" i="12"/>
  <c r="BD99" i="12"/>
  <c r="AQ99" i="12"/>
  <c r="AD99" i="12"/>
  <c r="Q99" i="12"/>
  <c r="D99" i="12"/>
  <c r="CX99" i="12"/>
  <c r="CK99" i="12"/>
  <c r="BX99" i="12"/>
  <c r="BK99" i="12"/>
  <c r="AX99" i="12"/>
  <c r="AK99" i="12"/>
  <c r="X99" i="12"/>
  <c r="J99" i="12"/>
  <c r="CT99" i="12"/>
  <c r="CC99" i="12"/>
  <c r="BN99" i="12"/>
  <c r="AY99" i="12"/>
  <c r="AH99" i="12"/>
  <c r="S99" i="12"/>
  <c r="C99" i="12"/>
  <c r="CS99" i="12"/>
  <c r="CB99" i="12"/>
  <c r="BM99" i="12"/>
  <c r="AW99" i="12"/>
  <c r="AG99" i="12"/>
  <c r="R99" i="12"/>
  <c r="CM99" i="12"/>
  <c r="BU99" i="12"/>
  <c r="BB99" i="12"/>
  <c r="AJ99" i="12"/>
  <c r="O99" i="12"/>
  <c r="CL99" i="12"/>
  <c r="BT99" i="12"/>
  <c r="BA99" i="12"/>
  <c r="AF99" i="12"/>
  <c r="N99" i="12"/>
  <c r="CJ99" i="12"/>
  <c r="BR99" i="12"/>
  <c r="AZ99" i="12"/>
  <c r="AE99" i="12"/>
  <c r="M99" i="12"/>
  <c r="CI99" i="12"/>
  <c r="BP99" i="12"/>
  <c r="AV99" i="12"/>
  <c r="AC99" i="12"/>
  <c r="L99" i="12"/>
  <c r="CO99" i="12"/>
  <c r="BJ99" i="12"/>
  <c r="AM99" i="12"/>
  <c r="G99" i="12"/>
  <c r="CN99" i="12"/>
  <c r="BI99" i="12"/>
  <c r="AL99" i="12"/>
  <c r="F99" i="12"/>
  <c r="CG99" i="12"/>
  <c r="BF99" i="12"/>
  <c r="AA99" i="12"/>
  <c r="CA99" i="12"/>
  <c r="AR99" i="12"/>
  <c r="H99" i="12"/>
  <c r="BZ99" i="12"/>
  <c r="AP99" i="12"/>
  <c r="E99" i="12"/>
  <c r="BW99" i="12"/>
  <c r="AN99" i="12"/>
  <c r="CW99" i="12"/>
  <c r="BL99" i="12"/>
  <c r="Y99" i="12"/>
  <c r="U99" i="12"/>
  <c r="BY99" i="12"/>
  <c r="BK115" i="12"/>
  <c r="AA92" i="12"/>
  <c r="BL92" i="12"/>
  <c r="D95" i="12"/>
  <c r="AO95" i="12"/>
  <c r="CB95" i="12"/>
  <c r="CZ47" i="12"/>
  <c r="CM92" i="12"/>
  <c r="BU92" i="12"/>
  <c r="BE92" i="12"/>
  <c r="AN92" i="12"/>
  <c r="W92" i="12"/>
  <c r="E92" i="12"/>
  <c r="CL92" i="12"/>
  <c r="BT92" i="12"/>
  <c r="BD92" i="12"/>
  <c r="AM92" i="12"/>
  <c r="T92" i="12"/>
  <c r="D92" i="12"/>
  <c r="CG92" i="12"/>
  <c r="BK92" i="12"/>
  <c r="AG92" i="12"/>
  <c r="K92" i="12"/>
  <c r="CE92" i="12"/>
  <c r="BH92" i="12"/>
  <c r="AF92" i="12"/>
  <c r="J92" i="12"/>
  <c r="CZ92" i="12"/>
  <c r="CB92" i="12"/>
  <c r="AZ92" i="12"/>
  <c r="AD92" i="12"/>
  <c r="AH92" i="12"/>
  <c r="BO92" i="12"/>
  <c r="CX92" i="12"/>
  <c r="I95" i="12"/>
  <c r="AV95" i="12"/>
  <c r="CT95" i="12"/>
  <c r="CH95" i="12"/>
  <c r="BV95" i="12"/>
  <c r="BJ95" i="12"/>
  <c r="AX95" i="12"/>
  <c r="AL95" i="12"/>
  <c r="Z95" i="12"/>
  <c r="N95" i="12"/>
  <c r="CY95" i="12"/>
  <c r="CL95" i="12"/>
  <c r="BY95" i="12"/>
  <c r="BL95" i="12"/>
  <c r="AY95" i="12"/>
  <c r="AK95" i="12"/>
  <c r="X95" i="12"/>
  <c r="K95" i="12"/>
  <c r="CR95" i="12"/>
  <c r="CE95" i="12"/>
  <c r="BR95" i="12"/>
  <c r="BE95" i="12"/>
  <c r="AR95" i="12"/>
  <c r="AE95" i="12"/>
  <c r="R95" i="12"/>
  <c r="E95" i="12"/>
  <c r="CW95" i="12"/>
  <c r="CG95" i="12"/>
  <c r="BQ95" i="12"/>
  <c r="BB95" i="12"/>
  <c r="AM95" i="12"/>
  <c r="V95" i="12"/>
  <c r="CV95" i="12"/>
  <c r="CF95" i="12"/>
  <c r="BP95" i="12"/>
  <c r="BA95" i="12"/>
  <c r="AJ95" i="12"/>
  <c r="U95" i="12"/>
  <c r="F95" i="12"/>
  <c r="CO95" i="12"/>
  <c r="BW95" i="12"/>
  <c r="BD95" i="12"/>
  <c r="AI95" i="12"/>
  <c r="Q95" i="12"/>
  <c r="CN95" i="12"/>
  <c r="BU95" i="12"/>
  <c r="BC95" i="12"/>
  <c r="AH95" i="12"/>
  <c r="P95" i="12"/>
  <c r="CM95" i="12"/>
  <c r="BT95" i="12"/>
  <c r="AZ95" i="12"/>
  <c r="AG95" i="12"/>
  <c r="O95" i="12"/>
  <c r="CK95" i="12"/>
  <c r="BS95" i="12"/>
  <c r="AW95" i="12"/>
  <c r="AF95" i="12"/>
  <c r="M95" i="12"/>
  <c r="CZ95" i="12"/>
  <c r="BZ95" i="12"/>
  <c r="AT95" i="12"/>
  <c r="T95" i="12"/>
  <c r="CX95" i="12"/>
  <c r="BX95" i="12"/>
  <c r="AS95" i="12"/>
  <c r="S95" i="12"/>
  <c r="CS95" i="12"/>
  <c r="BN95" i="12"/>
  <c r="AP95" i="12"/>
  <c r="J95" i="12"/>
  <c r="W95" i="12"/>
  <c r="BG95" i="12"/>
  <c r="CP95" i="12"/>
  <c r="CY59" i="12"/>
  <c r="L92" i="12"/>
  <c r="AS92" i="12"/>
  <c r="BZ92" i="12"/>
  <c r="Y95" i="12"/>
  <c r="BH95" i="12"/>
  <c r="CQ95" i="12"/>
  <c r="BZ119" i="12"/>
  <c r="AM119" i="12"/>
  <c r="G119" i="12"/>
  <c r="AO119" i="12"/>
  <c r="CM119" i="12"/>
  <c r="CU53" i="12"/>
  <c r="CI53" i="12"/>
  <c r="BW53" i="12"/>
  <c r="BK53" i="12"/>
  <c r="AY53" i="12"/>
  <c r="AM53" i="12"/>
  <c r="AA53" i="12"/>
  <c r="O53" i="12"/>
  <c r="C53" i="12"/>
  <c r="CZ53" i="12"/>
  <c r="CM53" i="12"/>
  <c r="BZ53" i="12"/>
  <c r="BM53" i="12"/>
  <c r="AZ53" i="12"/>
  <c r="AL53" i="12"/>
  <c r="Y53" i="12"/>
  <c r="L53" i="12"/>
  <c r="CS53" i="12"/>
  <c r="CE53" i="12"/>
  <c r="BQ53" i="12"/>
  <c r="BC53" i="12"/>
  <c r="AO53" i="12"/>
  <c r="Z53" i="12"/>
  <c r="K53" i="12"/>
  <c r="CR53" i="12"/>
  <c r="CD53" i="12"/>
  <c r="BP53" i="12"/>
  <c r="BB53" i="12"/>
  <c r="AN53" i="12"/>
  <c r="X53" i="12"/>
  <c r="J53" i="12"/>
  <c r="G53" i="12"/>
  <c r="W53" i="12"/>
  <c r="AQ53" i="12"/>
  <c r="BG53" i="12"/>
  <c r="BX53" i="12"/>
  <c r="CO53" i="12"/>
  <c r="I53" i="12"/>
  <c r="AC53" i="12"/>
  <c r="AS53" i="12"/>
  <c r="BI53" i="12"/>
  <c r="CA53" i="12"/>
  <c r="CQ53" i="12"/>
  <c r="M119" i="12"/>
  <c r="AP119" i="12"/>
  <c r="M53" i="12"/>
  <c r="AD53" i="12"/>
  <c r="AT53" i="12"/>
  <c r="BJ53" i="12"/>
  <c r="CB53" i="12"/>
  <c r="CT53" i="12"/>
  <c r="CT119" i="12"/>
  <c r="CH119" i="12"/>
  <c r="BV119" i="12"/>
  <c r="BJ119" i="12"/>
  <c r="AX119" i="12"/>
  <c r="AL119" i="12"/>
  <c r="Z119" i="12"/>
  <c r="N119" i="12"/>
  <c r="CZ119" i="12"/>
  <c r="CN119" i="12"/>
  <c r="CB119" i="12"/>
  <c r="BP119" i="12"/>
  <c r="BD119" i="12"/>
  <c r="AR119" i="12"/>
  <c r="AF119" i="12"/>
  <c r="T119" i="12"/>
  <c r="H119" i="12"/>
  <c r="CL119" i="12"/>
  <c r="BX119" i="12"/>
  <c r="BI119" i="12"/>
  <c r="AU119" i="12"/>
  <c r="AG119" i="12"/>
  <c r="R119" i="12"/>
  <c r="D119" i="12"/>
  <c r="CW119" i="12"/>
  <c r="CI119" i="12"/>
  <c r="BT119" i="12"/>
  <c r="BF119" i="12"/>
  <c r="AQ119" i="12"/>
  <c r="AC119" i="12"/>
  <c r="O119" i="12"/>
  <c r="CS119" i="12"/>
  <c r="CE119" i="12"/>
  <c r="BQ119" i="12"/>
  <c r="BB119" i="12"/>
  <c r="AN119" i="12"/>
  <c r="Y119" i="12"/>
  <c r="K119" i="12"/>
  <c r="CK119" i="12"/>
  <c r="BR119" i="12"/>
  <c r="AY119" i="12"/>
  <c r="AE119" i="12"/>
  <c r="L119" i="12"/>
  <c r="CJ119" i="12"/>
  <c r="BO119" i="12"/>
  <c r="AW119" i="12"/>
  <c r="AD119" i="12"/>
  <c r="J119" i="12"/>
  <c r="CU119" i="12"/>
  <c r="CV119" i="12"/>
  <c r="BY119" i="12"/>
  <c r="BA119" i="12"/>
  <c r="AB119" i="12"/>
  <c r="F119" i="12"/>
  <c r="CR119" i="12"/>
  <c r="BW119" i="12"/>
  <c r="AZ119" i="12"/>
  <c r="AA119" i="12"/>
  <c r="E119" i="12"/>
  <c r="CQ119" i="12"/>
  <c r="BU119" i="12"/>
  <c r="AV119" i="12"/>
  <c r="X119" i="12"/>
  <c r="C119" i="12"/>
  <c r="CP119" i="12"/>
  <c r="BS119" i="12"/>
  <c r="AT119" i="12"/>
  <c r="W119" i="12"/>
  <c r="P119" i="12"/>
  <c r="AS119" i="12"/>
  <c r="CD119" i="12"/>
  <c r="CQ110" i="12"/>
  <c r="CE110" i="12"/>
  <c r="BS110" i="12"/>
  <c r="BG110" i="12"/>
  <c r="AU110" i="12"/>
  <c r="AI110" i="12"/>
  <c r="W110" i="12"/>
  <c r="K110" i="12"/>
  <c r="CZ110" i="12"/>
  <c r="CM110" i="12"/>
  <c r="BZ110" i="12"/>
  <c r="BM110" i="12"/>
  <c r="AZ110" i="12"/>
  <c r="AM110" i="12"/>
  <c r="Z110" i="12"/>
  <c r="M110" i="12"/>
  <c r="CW110" i="12"/>
  <c r="CT110" i="12"/>
  <c r="CG110" i="12"/>
  <c r="BT110" i="12"/>
  <c r="BF110" i="12"/>
  <c r="AS110" i="12"/>
  <c r="AF110" i="12"/>
  <c r="S110" i="12"/>
  <c r="F110" i="12"/>
  <c r="CS110" i="12"/>
  <c r="CC110" i="12"/>
  <c r="BN110" i="12"/>
  <c r="AX110" i="12"/>
  <c r="AH110" i="12"/>
  <c r="R110" i="12"/>
  <c r="C110" i="12"/>
  <c r="CR110" i="12"/>
  <c r="CB110" i="12"/>
  <c r="BL110" i="12"/>
  <c r="AW110" i="12"/>
  <c r="AG110" i="12"/>
  <c r="Q110" i="12"/>
  <c r="L110" i="12"/>
  <c r="AD110" i="12"/>
  <c r="AY110" i="12"/>
  <c r="BQ110" i="12"/>
  <c r="CJ110" i="12"/>
  <c r="CX20" i="12"/>
  <c r="CL20" i="12"/>
  <c r="BZ20" i="12"/>
  <c r="BN20" i="12"/>
  <c r="L20" i="12"/>
  <c r="X20" i="12"/>
  <c r="AJ20" i="12"/>
  <c r="AV20" i="12"/>
  <c r="BH20" i="12"/>
  <c r="BU20" i="12"/>
  <c r="CH20" i="12"/>
  <c r="CU20" i="12"/>
  <c r="G92" i="12"/>
  <c r="X92" i="12"/>
  <c r="AO92" i="12"/>
  <c r="BF92" i="12"/>
  <c r="BX92" i="12"/>
  <c r="O110" i="12"/>
  <c r="AJ110" i="12"/>
  <c r="BB110" i="12"/>
  <c r="BU110" i="12"/>
  <c r="CL110" i="12"/>
  <c r="CT92" i="12"/>
  <c r="CH92" i="12"/>
  <c r="BV92" i="12"/>
  <c r="BJ92" i="12"/>
  <c r="AX92" i="12"/>
  <c r="AL92" i="12"/>
  <c r="Z92" i="12"/>
  <c r="N92" i="12"/>
  <c r="CP92" i="12"/>
  <c r="CC92" i="12"/>
  <c r="BP92" i="12"/>
  <c r="BC92" i="12"/>
  <c r="AP92" i="12"/>
  <c r="AC92" i="12"/>
  <c r="P92" i="12"/>
  <c r="C92" i="12"/>
  <c r="CW92" i="12"/>
  <c r="CJ92" i="12"/>
  <c r="BW92" i="12"/>
  <c r="BI92" i="12"/>
  <c r="AV92" i="12"/>
  <c r="AI92" i="12"/>
  <c r="V92" i="12"/>
  <c r="I92" i="12"/>
  <c r="CV92" i="12"/>
  <c r="CF92" i="12"/>
  <c r="BQ92" i="12"/>
  <c r="BA92" i="12"/>
  <c r="AK92" i="12"/>
  <c r="U92" i="12"/>
  <c r="F92" i="12"/>
  <c r="H92" i="12"/>
  <c r="Y92" i="12"/>
  <c r="AQ92" i="12"/>
  <c r="BG92" i="12"/>
  <c r="BY92" i="12"/>
  <c r="CO92" i="12"/>
  <c r="P110" i="12"/>
  <c r="AK110" i="12"/>
  <c r="BC110" i="12"/>
  <c r="BV110" i="12"/>
  <c r="CN110" i="12"/>
  <c r="CW81" i="12"/>
  <c r="CK81" i="12"/>
  <c r="BY81" i="12"/>
  <c r="BM81" i="12"/>
  <c r="BA81" i="12"/>
  <c r="AO81" i="12"/>
  <c r="AC81" i="12"/>
  <c r="Q81" i="12"/>
  <c r="E81" i="12"/>
  <c r="M81" i="12"/>
  <c r="Z81" i="12"/>
  <c r="AM81" i="12"/>
  <c r="AZ81" i="12"/>
  <c r="BN81" i="12"/>
  <c r="CA81" i="12"/>
  <c r="CN81" i="12"/>
  <c r="CW88" i="12"/>
  <c r="CK88" i="12"/>
  <c r="BY88" i="12"/>
  <c r="BM88" i="12"/>
  <c r="BA88" i="12"/>
  <c r="AO88" i="12"/>
  <c r="AC88" i="12"/>
  <c r="Q88" i="12"/>
  <c r="E88" i="12"/>
  <c r="J88" i="12"/>
  <c r="W88" i="12"/>
  <c r="AJ88" i="12"/>
  <c r="AW88" i="12"/>
  <c r="BJ88" i="12"/>
  <c r="BW88" i="12"/>
  <c r="CJ88" i="12"/>
  <c r="CX88" i="12"/>
  <c r="CN20" i="11"/>
  <c r="BV20" i="11"/>
  <c r="BG20" i="11"/>
  <c r="AR20" i="11"/>
  <c r="AB20" i="11"/>
  <c r="M20" i="11"/>
  <c r="CM20" i="11"/>
  <c r="BU20" i="11"/>
  <c r="BF20" i="11"/>
  <c r="AQ20" i="11"/>
  <c r="AA20" i="11"/>
  <c r="L20" i="11"/>
  <c r="CI20" i="11"/>
  <c r="BT20" i="11"/>
  <c r="BE20" i="11"/>
  <c r="AO20" i="11"/>
  <c r="Z20" i="11"/>
  <c r="I20" i="11"/>
  <c r="CZ20" i="11"/>
  <c r="CH20" i="11"/>
  <c r="BS20" i="11"/>
  <c r="BD20" i="11"/>
  <c r="AN20" i="11"/>
  <c r="Y20" i="11"/>
  <c r="H20" i="11"/>
  <c r="G20" i="11"/>
  <c r="BC20" i="11"/>
  <c r="CV20" i="11"/>
  <c r="S20" i="11"/>
  <c r="BO20" i="11"/>
  <c r="T20" i="11"/>
  <c r="BP20" i="11"/>
  <c r="CK99" i="11"/>
  <c r="BL99" i="11"/>
  <c r="AK99" i="11"/>
  <c r="M99" i="11"/>
  <c r="CI99" i="11"/>
  <c r="BK99" i="11"/>
  <c r="AJ99" i="11"/>
  <c r="L99" i="11"/>
  <c r="CH99" i="11"/>
  <c r="BJ99" i="11"/>
  <c r="AG99" i="11"/>
  <c r="K99" i="11"/>
  <c r="CE99" i="11"/>
  <c r="BC99" i="11"/>
  <c r="AF99" i="11"/>
  <c r="I99" i="11"/>
  <c r="CC99" i="11"/>
  <c r="BB99" i="11"/>
  <c r="AC99" i="11"/>
  <c r="H99" i="11"/>
  <c r="CZ99" i="11"/>
  <c r="CA99" i="11"/>
  <c r="AZ99" i="11"/>
  <c r="AB99" i="11"/>
  <c r="F99" i="11"/>
  <c r="CY99" i="11"/>
  <c r="BW99" i="11"/>
  <c r="AY99" i="11"/>
  <c r="AA99" i="11"/>
  <c r="BQ99" i="11"/>
  <c r="U20" i="11"/>
  <c r="BQ20" i="11"/>
  <c r="BT99" i="11"/>
  <c r="CO10" i="11"/>
  <c r="BY10" i="11"/>
  <c r="BK10" i="11"/>
  <c r="AW10" i="11"/>
  <c r="AI10" i="11"/>
  <c r="U10" i="11"/>
  <c r="E10" i="11"/>
  <c r="CL10" i="11"/>
  <c r="BX10" i="11"/>
  <c r="BJ10" i="11"/>
  <c r="AV10" i="11"/>
  <c r="AH10" i="11"/>
  <c r="R10" i="11"/>
  <c r="D10" i="11"/>
  <c r="CK10" i="11"/>
  <c r="BW10" i="11"/>
  <c r="BI10" i="11"/>
  <c r="AU10" i="11"/>
  <c r="AG10" i="11"/>
  <c r="Q10" i="11"/>
  <c r="C10" i="11"/>
  <c r="CX10" i="11"/>
  <c r="CJ10" i="11"/>
  <c r="BV10" i="11"/>
  <c r="BH10" i="11"/>
  <c r="AT10" i="11"/>
  <c r="AD10" i="11"/>
  <c r="P10" i="11"/>
  <c r="CW10" i="11"/>
  <c r="CI10" i="11"/>
  <c r="BU10" i="11"/>
  <c r="BG10" i="11"/>
  <c r="AS10" i="11"/>
  <c r="AC10" i="11"/>
  <c r="O10" i="11"/>
  <c r="CV10" i="11"/>
  <c r="CH10" i="11"/>
  <c r="BT10" i="11"/>
  <c r="BF10" i="11"/>
  <c r="AP10" i="11"/>
  <c r="AB10" i="11"/>
  <c r="N10" i="11"/>
  <c r="CU10" i="11"/>
  <c r="CG10" i="11"/>
  <c r="BS10" i="11"/>
  <c r="X10" i="11"/>
  <c r="BB10" i="11"/>
  <c r="CS10" i="11"/>
  <c r="V20" i="11"/>
  <c r="BR20" i="11"/>
  <c r="CY47" i="11"/>
  <c r="CJ47" i="11"/>
  <c r="BT47" i="11"/>
  <c r="BE47" i="11"/>
  <c r="AP47" i="11"/>
  <c r="X47" i="11"/>
  <c r="I47" i="11"/>
  <c r="H47" i="11"/>
  <c r="BD47" i="11"/>
  <c r="CX47" i="11"/>
  <c r="BU99" i="11"/>
  <c r="Y10" i="11"/>
  <c r="BE10" i="11"/>
  <c r="CT10" i="11"/>
  <c r="AH20" i="11"/>
  <c r="CD20" i="11"/>
  <c r="T47" i="11"/>
  <c r="BP47" i="11"/>
  <c r="O99" i="11"/>
  <c r="CM99" i="11"/>
  <c r="Z10" i="11"/>
  <c r="BM10" i="11"/>
  <c r="AI20" i="11"/>
  <c r="CE20" i="11"/>
  <c r="U47" i="11"/>
  <c r="BQ47" i="11"/>
  <c r="CX59" i="11"/>
  <c r="CL59" i="11"/>
  <c r="BZ59" i="11"/>
  <c r="BN59" i="11"/>
  <c r="BB59" i="11"/>
  <c r="AP59" i="11"/>
  <c r="AD59" i="11"/>
  <c r="R59" i="11"/>
  <c r="F59" i="11"/>
  <c r="CP59" i="11"/>
  <c r="CC59" i="11"/>
  <c r="BP59" i="11"/>
  <c r="BC59" i="11"/>
  <c r="AO59" i="11"/>
  <c r="AB59" i="11"/>
  <c r="O59" i="11"/>
  <c r="CW59" i="11"/>
  <c r="CI59" i="11"/>
  <c r="BU59" i="11"/>
  <c r="BG59" i="11"/>
  <c r="AS59" i="11"/>
  <c r="AE59" i="11"/>
  <c r="P59" i="11"/>
  <c r="CV59" i="11"/>
  <c r="CH59" i="11"/>
  <c r="BT59" i="11"/>
  <c r="BF59" i="11"/>
  <c r="AR59" i="11"/>
  <c r="AC59" i="11"/>
  <c r="N59" i="11"/>
  <c r="CS59" i="11"/>
  <c r="CB59" i="11"/>
  <c r="BK59" i="11"/>
  <c r="AU59" i="11"/>
  <c r="AA59" i="11"/>
  <c r="K59" i="11"/>
  <c r="CR59" i="11"/>
  <c r="CA59" i="11"/>
  <c r="BJ59" i="11"/>
  <c r="AT59" i="11"/>
  <c r="Z59" i="11"/>
  <c r="J59" i="11"/>
  <c r="CQ59" i="11"/>
  <c r="BY59" i="11"/>
  <c r="BI59" i="11"/>
  <c r="AQ59" i="11"/>
  <c r="Y59" i="11"/>
  <c r="I59" i="11"/>
  <c r="CO59" i="11"/>
  <c r="BX59" i="11"/>
  <c r="BH59" i="11"/>
  <c r="AN59" i="11"/>
  <c r="X59" i="11"/>
  <c r="H59" i="11"/>
  <c r="CN59" i="11"/>
  <c r="BW59" i="11"/>
  <c r="BE59" i="11"/>
  <c r="AM59" i="11"/>
  <c r="W59" i="11"/>
  <c r="G59" i="11"/>
  <c r="CM59" i="11"/>
  <c r="BV59" i="11"/>
  <c r="BD59" i="11"/>
  <c r="AL59" i="11"/>
  <c r="V59" i="11"/>
  <c r="E59" i="11"/>
  <c r="CK59" i="11"/>
  <c r="BS59" i="11"/>
  <c r="BA59" i="11"/>
  <c r="AK59" i="11"/>
  <c r="U59" i="11"/>
  <c r="D59" i="11"/>
  <c r="CJ59" i="11"/>
  <c r="BR59" i="11"/>
  <c r="AZ59" i="11"/>
  <c r="AJ59" i="11"/>
  <c r="T59" i="11"/>
  <c r="C59" i="11"/>
  <c r="AW59" i="11"/>
  <c r="CU59" i="11"/>
  <c r="Q99" i="11"/>
  <c r="CN99" i="11"/>
  <c r="AA10" i="11"/>
  <c r="BN10" i="11"/>
  <c r="AL20" i="11"/>
  <c r="CF20" i="11"/>
  <c r="V47" i="11"/>
  <c r="BR47" i="11"/>
  <c r="AX59" i="11"/>
  <c r="CY59" i="11"/>
  <c r="Y99" i="11"/>
  <c r="CU99" i="11"/>
  <c r="AK10" i="11"/>
  <c r="BQ10" i="11"/>
  <c r="AM20" i="11"/>
  <c r="CG20" i="11"/>
  <c r="W47" i="11"/>
  <c r="BS47" i="11"/>
  <c r="AY59" i="11"/>
  <c r="CZ59" i="11"/>
  <c r="Z99" i="11"/>
  <c r="CW99" i="11"/>
  <c r="AL10" i="11"/>
  <c r="BR10" i="11"/>
  <c r="D20" i="11"/>
  <c r="AY20" i="11"/>
  <c r="CS20" i="11"/>
  <c r="AI47" i="11"/>
  <c r="CE47" i="11"/>
  <c r="L59" i="11"/>
  <c r="BL59" i="11"/>
  <c r="AQ99" i="11"/>
  <c r="I10" i="11"/>
  <c r="AM10" i="11"/>
  <c r="CC10" i="11"/>
  <c r="E20" i="11"/>
  <c r="AZ20" i="11"/>
  <c r="CT20" i="11"/>
  <c r="AJ47" i="11"/>
  <c r="CF47" i="11"/>
  <c r="M59" i="11"/>
  <c r="BM59" i="11"/>
  <c r="CY71" i="11"/>
  <c r="CZ88" i="11"/>
  <c r="CG88" i="11"/>
  <c r="BP88" i="11"/>
  <c r="AU88" i="11"/>
  <c r="AC88" i="11"/>
  <c r="J88" i="11"/>
  <c r="CX88" i="11"/>
  <c r="CF88" i="11"/>
  <c r="BO88" i="11"/>
  <c r="AT88" i="11"/>
  <c r="AA88" i="11"/>
  <c r="I88" i="11"/>
  <c r="CO88" i="11"/>
  <c r="BR88" i="11"/>
  <c r="AP88" i="11"/>
  <c r="S88" i="11"/>
  <c r="CM88" i="11"/>
  <c r="BJ88" i="11"/>
  <c r="AO88" i="11"/>
  <c r="Q88" i="11"/>
  <c r="CK88" i="11"/>
  <c r="BI88" i="11"/>
  <c r="AM88" i="11"/>
  <c r="O88" i="11"/>
  <c r="CI88" i="11"/>
  <c r="BG88" i="11"/>
  <c r="AL88" i="11"/>
  <c r="M88" i="11"/>
  <c r="CE88" i="11"/>
  <c r="BF88" i="11"/>
  <c r="AI88" i="11"/>
  <c r="G88" i="11"/>
  <c r="CD88" i="11"/>
  <c r="BE88" i="11"/>
  <c r="AH88" i="11"/>
  <c r="F88" i="11"/>
  <c r="CA88" i="11"/>
  <c r="BD88" i="11"/>
  <c r="AF88" i="11"/>
  <c r="E88" i="11"/>
  <c r="CW88" i="11"/>
  <c r="BZ88" i="11"/>
  <c r="BC88" i="11"/>
  <c r="Z88" i="11"/>
  <c r="C88" i="11"/>
  <c r="BT88" i="11"/>
  <c r="CS95" i="11"/>
  <c r="CG95" i="11"/>
  <c r="BU95" i="11"/>
  <c r="BI95" i="11"/>
  <c r="AW95" i="11"/>
  <c r="AK95" i="11"/>
  <c r="Y95" i="11"/>
  <c r="M95" i="11"/>
  <c r="CZ95" i="11"/>
  <c r="CM95" i="11"/>
  <c r="BZ95" i="11"/>
  <c r="BM95" i="11"/>
  <c r="AZ95" i="11"/>
  <c r="AM95" i="11"/>
  <c r="Z95" i="11"/>
  <c r="L95" i="11"/>
  <c r="CV95" i="11"/>
  <c r="CH95" i="11"/>
  <c r="BS95" i="11"/>
  <c r="BE95" i="11"/>
  <c r="AQ95" i="11"/>
  <c r="AC95" i="11"/>
  <c r="O95" i="11"/>
  <c r="CK95" i="11"/>
  <c r="BV95" i="11"/>
  <c r="BF95" i="11"/>
  <c r="AP95" i="11"/>
  <c r="AA95" i="11"/>
  <c r="J95" i="11"/>
  <c r="CW95" i="11"/>
  <c r="CF95" i="11"/>
  <c r="BQ95" i="11"/>
  <c r="BB95" i="11"/>
  <c r="AL95" i="11"/>
  <c r="V95" i="11"/>
  <c r="G95" i="11"/>
  <c r="CU95" i="11"/>
  <c r="CC95" i="11"/>
  <c r="BK95" i="11"/>
  <c r="AS95" i="11"/>
  <c r="X95" i="11"/>
  <c r="F95" i="11"/>
  <c r="CT95" i="11"/>
  <c r="CB95" i="11"/>
  <c r="BJ95" i="11"/>
  <c r="AR95" i="11"/>
  <c r="W95" i="11"/>
  <c r="E95" i="11"/>
  <c r="CR95" i="11"/>
  <c r="CA95" i="11"/>
  <c r="BH95" i="11"/>
  <c r="AO95" i="11"/>
  <c r="U95" i="11"/>
  <c r="D95" i="11"/>
  <c r="CI95" i="11"/>
  <c r="BG95" i="11"/>
  <c r="AH95" i="11"/>
  <c r="K95" i="11"/>
  <c r="CE95" i="11"/>
  <c r="BD95" i="11"/>
  <c r="AG95" i="11"/>
  <c r="I95" i="11"/>
  <c r="CD95" i="11"/>
  <c r="BC95" i="11"/>
  <c r="AF95" i="11"/>
  <c r="H95" i="11"/>
  <c r="BY95" i="11"/>
  <c r="BA95" i="11"/>
  <c r="AE95" i="11"/>
  <c r="C95" i="11"/>
  <c r="CY95" i="11"/>
  <c r="BX95" i="11"/>
  <c r="AY95" i="11"/>
  <c r="AD95" i="11"/>
  <c r="CX95" i="11"/>
  <c r="BW95" i="11"/>
  <c r="AX95" i="11"/>
  <c r="AB95" i="11"/>
  <c r="CQ95" i="11"/>
  <c r="BT95" i="11"/>
  <c r="AV95" i="11"/>
  <c r="T95" i="11"/>
  <c r="CP95" i="11"/>
  <c r="BR95" i="11"/>
  <c r="AU95" i="11"/>
  <c r="S95" i="11"/>
  <c r="AN95" i="11"/>
  <c r="AU99" i="11"/>
  <c r="CV71" i="11"/>
  <c r="CW71" i="11"/>
  <c r="CJ71" i="11"/>
  <c r="BX71" i="11"/>
  <c r="BL71" i="11"/>
  <c r="AZ71" i="11"/>
  <c r="AN71" i="11"/>
  <c r="AB71" i="11"/>
  <c r="P71" i="11"/>
  <c r="CP71" i="11"/>
  <c r="CC71" i="11"/>
  <c r="BP71" i="11"/>
  <c r="BC71" i="11"/>
  <c r="AP71" i="11"/>
  <c r="AC71" i="11"/>
  <c r="O71" i="11"/>
  <c r="C71" i="11"/>
  <c r="CT71" i="11"/>
  <c r="CF71" i="11"/>
  <c r="BR71" i="11"/>
  <c r="BD71" i="11"/>
  <c r="AO71" i="11"/>
  <c r="Z71" i="11"/>
  <c r="L71" i="11"/>
  <c r="CQ71" i="11"/>
  <c r="CB71" i="11"/>
  <c r="BN71" i="11"/>
  <c r="AY71" i="11"/>
  <c r="AK71" i="11"/>
  <c r="W71" i="11"/>
  <c r="I71" i="11"/>
  <c r="CK71" i="11"/>
  <c r="BT71" i="11"/>
  <c r="BB71" i="11"/>
  <c r="AJ71" i="11"/>
  <c r="T71" i="11"/>
  <c r="D71" i="11"/>
  <c r="CI71" i="11"/>
  <c r="BS71" i="11"/>
  <c r="BA71" i="11"/>
  <c r="AI71" i="11"/>
  <c r="S71" i="11"/>
  <c r="H71" i="11"/>
  <c r="AD71" i="11"/>
  <c r="AV71" i="11"/>
  <c r="BQ71" i="11"/>
  <c r="CM71" i="11"/>
  <c r="CZ115" i="11"/>
  <c r="CU24" i="11"/>
  <c r="CI24" i="11"/>
  <c r="BW24" i="11"/>
  <c r="BK24" i="11"/>
  <c r="AY24" i="11"/>
  <c r="AM24" i="11"/>
  <c r="AA24" i="11"/>
  <c r="O24" i="11"/>
  <c r="C24" i="11"/>
  <c r="CR24" i="11"/>
  <c r="CE24" i="11"/>
  <c r="BR24" i="11"/>
  <c r="BE24" i="11"/>
  <c r="AR24" i="11"/>
  <c r="AE24" i="11"/>
  <c r="R24" i="11"/>
  <c r="E24" i="11"/>
  <c r="CQ24" i="11"/>
  <c r="CD24" i="11"/>
  <c r="BQ24" i="11"/>
  <c r="BD24" i="11"/>
  <c r="AQ24" i="11"/>
  <c r="AD24" i="11"/>
  <c r="Q24" i="11"/>
  <c r="D24" i="11"/>
  <c r="I24" i="11"/>
  <c r="X24" i="11"/>
  <c r="AN24" i="11"/>
  <c r="BC24" i="11"/>
  <c r="BT24" i="11"/>
  <c r="CJ24" i="11"/>
  <c r="CY24" i="11"/>
  <c r="G34" i="11"/>
  <c r="V34" i="11"/>
  <c r="AN34" i="11"/>
  <c r="BC34" i="11"/>
  <c r="BR34" i="11"/>
  <c r="CG34" i="11"/>
  <c r="CW34" i="11"/>
  <c r="CU47" i="11"/>
  <c r="CI47" i="11"/>
  <c r="BW47" i="11"/>
  <c r="BK47" i="11"/>
  <c r="AY47" i="11"/>
  <c r="AM47" i="11"/>
  <c r="AA47" i="11"/>
  <c r="O47" i="11"/>
  <c r="C47" i="11"/>
  <c r="CO47" i="11"/>
  <c r="CB47" i="11"/>
  <c r="BO47" i="11"/>
  <c r="BB47" i="11"/>
  <c r="AO47" i="11"/>
  <c r="AB47" i="11"/>
  <c r="N47" i="11"/>
  <c r="CN47" i="11"/>
  <c r="CA47" i="11"/>
  <c r="BN47" i="11"/>
  <c r="BA47" i="11"/>
  <c r="AN47" i="11"/>
  <c r="Z47" i="11"/>
  <c r="M47" i="11"/>
  <c r="J47" i="11"/>
  <c r="Y47" i="11"/>
  <c r="AQ47" i="11"/>
  <c r="BF47" i="11"/>
  <c r="BU47" i="11"/>
  <c r="CK47" i="11"/>
  <c r="CZ47" i="11"/>
  <c r="J71" i="11"/>
  <c r="AE71" i="11"/>
  <c r="AW71" i="11"/>
  <c r="BU71" i="11"/>
  <c r="CN71" i="11"/>
  <c r="CV81" i="11"/>
  <c r="CJ81" i="11"/>
  <c r="BX81" i="11"/>
  <c r="BL81" i="11"/>
  <c r="AZ81" i="11"/>
  <c r="AN81" i="11"/>
  <c r="AB81" i="11"/>
  <c r="P81" i="11"/>
  <c r="D81" i="11"/>
  <c r="CO81" i="11"/>
  <c r="CB81" i="11"/>
  <c r="BO81" i="11"/>
  <c r="BB81" i="11"/>
  <c r="AO81" i="11"/>
  <c r="AA81" i="11"/>
  <c r="N81" i="11"/>
  <c r="CY81" i="11"/>
  <c r="CK81" i="11"/>
  <c r="BV81" i="11"/>
  <c r="BH81" i="11"/>
  <c r="AT81" i="11"/>
  <c r="AF81" i="11"/>
  <c r="R81" i="11"/>
  <c r="C81" i="11"/>
  <c r="CR81" i="11"/>
  <c r="CC81" i="11"/>
  <c r="BM81" i="11"/>
  <c r="AW81" i="11"/>
  <c r="AH81" i="11"/>
  <c r="S81" i="11"/>
  <c r="CN81" i="11"/>
  <c r="BY81" i="11"/>
  <c r="BI81" i="11"/>
  <c r="AS81" i="11"/>
  <c r="AD81" i="11"/>
  <c r="M81" i="11"/>
  <c r="CH81" i="11"/>
  <c r="BQ81" i="11"/>
  <c r="AX81" i="11"/>
  <c r="AE81" i="11"/>
  <c r="K81" i="11"/>
  <c r="CZ81" i="11"/>
  <c r="CG81" i="11"/>
  <c r="BP81" i="11"/>
  <c r="AV81" i="11"/>
  <c r="AC81" i="11"/>
  <c r="J81" i="11"/>
  <c r="CX81" i="11"/>
  <c r="CF81" i="11"/>
  <c r="BN81" i="11"/>
  <c r="AU81" i="11"/>
  <c r="Z81" i="11"/>
  <c r="U81" i="11"/>
  <c r="AQ81" i="11"/>
  <c r="BS81" i="11"/>
  <c r="CQ81" i="11"/>
  <c r="J24" i="11"/>
  <c r="Y24" i="11"/>
  <c r="AO24" i="11"/>
  <c r="BF24" i="11"/>
  <c r="BU24" i="11"/>
  <c r="CK24" i="11"/>
  <c r="CZ24" i="11"/>
  <c r="H34" i="11"/>
  <c r="Y34" i="11"/>
  <c r="AO34" i="11"/>
  <c r="BD34" i="11"/>
  <c r="BS34" i="11"/>
  <c r="CH34" i="11"/>
  <c r="CZ34" i="11"/>
  <c r="CU40" i="11"/>
  <c r="CI40" i="11"/>
  <c r="BW40" i="11"/>
  <c r="BK40" i="11"/>
  <c r="AY40" i="11"/>
  <c r="AM40" i="11"/>
  <c r="AA40" i="11"/>
  <c r="O40" i="11"/>
  <c r="C40" i="11"/>
  <c r="CR40" i="11"/>
  <c r="CE40" i="11"/>
  <c r="BR40" i="11"/>
  <c r="BE40" i="11"/>
  <c r="AR40" i="11"/>
  <c r="AE40" i="11"/>
  <c r="R40" i="11"/>
  <c r="E40" i="11"/>
  <c r="CQ40" i="11"/>
  <c r="CD40" i="11"/>
  <c r="BQ40" i="11"/>
  <c r="BD40" i="11"/>
  <c r="AQ40" i="11"/>
  <c r="AD40" i="11"/>
  <c r="Q40" i="11"/>
  <c r="D40" i="11"/>
  <c r="L40" i="11"/>
  <c r="AB40" i="11"/>
  <c r="AS40" i="11"/>
  <c r="BH40" i="11"/>
  <c r="BX40" i="11"/>
  <c r="CM40" i="11"/>
  <c r="K47" i="11"/>
  <c r="AC47" i="11"/>
  <c r="AR47" i="11"/>
  <c r="BG47" i="11"/>
  <c r="BV47" i="11"/>
  <c r="CL47" i="11"/>
  <c r="K71" i="11"/>
  <c r="AF71" i="11"/>
  <c r="AX71" i="11"/>
  <c r="BV71" i="11"/>
  <c r="CO71" i="11"/>
  <c r="V81" i="11"/>
  <c r="AR81" i="11"/>
  <c r="BT81" i="11"/>
  <c r="CS81" i="11"/>
  <c r="CP110" i="11"/>
  <c r="CD110" i="11"/>
  <c r="BR110" i="11"/>
  <c r="BF110" i="11"/>
  <c r="AT110" i="11"/>
  <c r="AH110" i="11"/>
  <c r="V110" i="11"/>
  <c r="J110" i="11"/>
  <c r="CN110" i="11"/>
  <c r="CA110" i="11"/>
  <c r="BN110" i="11"/>
  <c r="BA110" i="11"/>
  <c r="AN110" i="11"/>
  <c r="AA110" i="11"/>
  <c r="N110" i="11"/>
  <c r="CM110" i="11"/>
  <c r="BY110" i="11"/>
  <c r="BK110" i="11"/>
  <c r="AW110" i="11"/>
  <c r="AI110" i="11"/>
  <c r="T110" i="11"/>
  <c r="F110" i="11"/>
  <c r="CU110" i="11"/>
  <c r="CF110" i="11"/>
  <c r="BP110" i="11"/>
  <c r="AZ110" i="11"/>
  <c r="AK110" i="11"/>
  <c r="U110" i="11"/>
  <c r="E110" i="11"/>
  <c r="CR110" i="11"/>
  <c r="CB110" i="11"/>
  <c r="BL110" i="11"/>
  <c r="AV110" i="11"/>
  <c r="AF110" i="11"/>
  <c r="Q110" i="11"/>
  <c r="CT110" i="11"/>
  <c r="BZ110" i="11"/>
  <c r="BH110" i="11"/>
  <c r="AP110" i="11"/>
  <c r="X110" i="11"/>
  <c r="D110" i="11"/>
  <c r="CS110" i="11"/>
  <c r="BX110" i="11"/>
  <c r="BG110" i="11"/>
  <c r="AO110" i="11"/>
  <c r="W110" i="11"/>
  <c r="C110" i="11"/>
  <c r="CQ110" i="11"/>
  <c r="BW110" i="11"/>
  <c r="BE110" i="11"/>
  <c r="AM110" i="11"/>
  <c r="S110" i="11"/>
  <c r="O110" i="11"/>
  <c r="AQ110" i="11"/>
  <c r="BO110" i="11"/>
  <c r="CK110" i="11"/>
  <c r="K24" i="11"/>
  <c r="Z24" i="11"/>
  <c r="AP24" i="11"/>
  <c r="BG24" i="11"/>
  <c r="BV24" i="11"/>
  <c r="CL24" i="11"/>
  <c r="CU27" i="11"/>
  <c r="CI27" i="11"/>
  <c r="BW27" i="11"/>
  <c r="BK27" i="11"/>
  <c r="AY27" i="11"/>
  <c r="AM27" i="11"/>
  <c r="AA27" i="11"/>
  <c r="O27" i="11"/>
  <c r="C27" i="11"/>
  <c r="CO27" i="11"/>
  <c r="CB27" i="11"/>
  <c r="BO27" i="11"/>
  <c r="BB27" i="11"/>
  <c r="AO27" i="11"/>
  <c r="AB27" i="11"/>
  <c r="N27" i="11"/>
  <c r="CN27" i="11"/>
  <c r="CA27" i="11"/>
  <c r="BN27" i="11"/>
  <c r="BA27" i="11"/>
  <c r="AN27" i="11"/>
  <c r="Z27" i="11"/>
  <c r="M27" i="11"/>
  <c r="J27" i="11"/>
  <c r="Y27" i="11"/>
  <c r="AQ27" i="11"/>
  <c r="BF27" i="11"/>
  <c r="BU27" i="11"/>
  <c r="CK27" i="11"/>
  <c r="CZ27" i="11"/>
  <c r="I34" i="11"/>
  <c r="Z34" i="11"/>
  <c r="AP34" i="11"/>
  <c r="BE34" i="11"/>
  <c r="BT34" i="11"/>
  <c r="CJ34" i="11"/>
  <c r="CU37" i="11"/>
  <c r="CI37" i="11"/>
  <c r="BW37" i="11"/>
  <c r="BK37" i="11"/>
  <c r="AY37" i="11"/>
  <c r="AM37" i="11"/>
  <c r="AA37" i="11"/>
  <c r="O37" i="11"/>
  <c r="C37" i="11"/>
  <c r="CV37" i="11"/>
  <c r="CH37" i="11"/>
  <c r="BU37" i="11"/>
  <c r="BH37" i="11"/>
  <c r="AU37" i="11"/>
  <c r="AH37" i="11"/>
  <c r="U37" i="11"/>
  <c r="H37" i="11"/>
  <c r="CT37" i="11"/>
  <c r="CG37" i="11"/>
  <c r="BT37" i="11"/>
  <c r="BG37" i="11"/>
  <c r="AT37" i="11"/>
  <c r="AG37" i="11"/>
  <c r="T37" i="11"/>
  <c r="G37" i="11"/>
  <c r="L37" i="11"/>
  <c r="AB37" i="11"/>
  <c r="AQ37" i="11"/>
  <c r="BF37" i="11"/>
  <c r="BX37" i="11"/>
  <c r="CM37" i="11"/>
  <c r="M40" i="11"/>
  <c r="AC40" i="11"/>
  <c r="AT40" i="11"/>
  <c r="BI40" i="11"/>
  <c r="BY40" i="11"/>
  <c r="CN40" i="11"/>
  <c r="L47" i="11"/>
  <c r="AD47" i="11"/>
  <c r="AS47" i="11"/>
  <c r="BH47" i="11"/>
  <c r="BX47" i="11"/>
  <c r="CM47" i="11"/>
  <c r="L53" i="11"/>
  <c r="AD53" i="11"/>
  <c r="AT53" i="11"/>
  <c r="BJ53" i="11"/>
  <c r="CD53" i="11"/>
  <c r="CT53" i="11"/>
  <c r="M71" i="11"/>
  <c r="AG71" i="11"/>
  <c r="BE71" i="11"/>
  <c r="BW71" i="11"/>
  <c r="CR71" i="11"/>
  <c r="S79" i="11"/>
  <c r="AN79" i="11"/>
  <c r="BM79" i="11"/>
  <c r="CI79" i="11"/>
  <c r="W81" i="11"/>
  <c r="AY81" i="11"/>
  <c r="BU81" i="11"/>
  <c r="CT81" i="11"/>
  <c r="P110" i="11"/>
  <c r="AR110" i="11"/>
  <c r="BQ110" i="11"/>
  <c r="CL110" i="11"/>
  <c r="CX20" i="11"/>
  <c r="CL20" i="11"/>
  <c r="BZ20" i="11"/>
  <c r="BN20" i="11"/>
  <c r="BB20" i="11"/>
  <c r="AP20" i="11"/>
  <c r="AD20" i="11"/>
  <c r="R20" i="11"/>
  <c r="CY20" i="11"/>
  <c r="CK20" i="11"/>
  <c r="BX20" i="11"/>
  <c r="BK20" i="11"/>
  <c r="AX20" i="11"/>
  <c r="AK20" i="11"/>
  <c r="X20" i="11"/>
  <c r="K20" i="11"/>
  <c r="CW20" i="11"/>
  <c r="CJ20" i="11"/>
  <c r="BW20" i="11"/>
  <c r="BJ20" i="11"/>
  <c r="AW20" i="11"/>
  <c r="AJ20" i="11"/>
  <c r="W20" i="11"/>
  <c r="J20" i="11"/>
  <c r="N20" i="11"/>
  <c r="AC20" i="11"/>
  <c r="AS20" i="11"/>
  <c r="BH20" i="11"/>
  <c r="BY20" i="11"/>
  <c r="CO20" i="11"/>
  <c r="L24" i="11"/>
  <c r="AB24" i="11"/>
  <c r="AS24" i="11"/>
  <c r="BH24" i="11"/>
  <c r="BX24" i="11"/>
  <c r="CM24" i="11"/>
  <c r="K27" i="11"/>
  <c r="AC27" i="11"/>
  <c r="AR27" i="11"/>
  <c r="BG27" i="11"/>
  <c r="BV27" i="11"/>
  <c r="CL27" i="11"/>
  <c r="L34" i="11"/>
  <c r="AB34" i="11"/>
  <c r="AQ34" i="11"/>
  <c r="BF34" i="11"/>
  <c r="BU34" i="11"/>
  <c r="CM34" i="11"/>
  <c r="M37" i="11"/>
  <c r="AC37" i="11"/>
  <c r="AR37" i="11"/>
  <c r="BI37" i="11"/>
  <c r="BY37" i="11"/>
  <c r="CN37" i="11"/>
  <c r="N40" i="11"/>
  <c r="AF40" i="11"/>
  <c r="AU40" i="11"/>
  <c r="BJ40" i="11"/>
  <c r="BZ40" i="11"/>
  <c r="CO40" i="11"/>
  <c r="P47" i="11"/>
  <c r="AE47" i="11"/>
  <c r="AT47" i="11"/>
  <c r="BI47" i="11"/>
  <c r="BY47" i="11"/>
  <c r="CP47" i="11"/>
  <c r="M53" i="11"/>
  <c r="AE53" i="11"/>
  <c r="AU53" i="11"/>
  <c r="BN53" i="11"/>
  <c r="CE53" i="11"/>
  <c r="CV53" i="11"/>
  <c r="N71" i="11"/>
  <c r="AH71" i="11"/>
  <c r="BF71" i="11"/>
  <c r="BY71" i="11"/>
  <c r="CS71" i="11"/>
  <c r="T79" i="11"/>
  <c r="AP79" i="11"/>
  <c r="BP79" i="11"/>
  <c r="CJ79" i="11"/>
  <c r="E81" i="11"/>
  <c r="X81" i="11"/>
  <c r="BA81" i="11"/>
  <c r="BW81" i="11"/>
  <c r="CU81" i="11"/>
  <c r="CR99" i="11"/>
  <c r="R110" i="11"/>
  <c r="AS110" i="11"/>
  <c r="BS110" i="11"/>
  <c r="CO110" i="11"/>
  <c r="O20" i="11"/>
  <c r="AE20" i="11"/>
  <c r="AT20" i="11"/>
  <c r="BI20" i="11"/>
  <c r="CA20" i="11"/>
  <c r="CP20" i="11"/>
  <c r="M24" i="11"/>
  <c r="AC24" i="11"/>
  <c r="AT24" i="11"/>
  <c r="BI24" i="11"/>
  <c r="BY24" i="11"/>
  <c r="CN24" i="11"/>
  <c r="L27" i="11"/>
  <c r="AD27" i="11"/>
  <c r="AS27" i="11"/>
  <c r="BH27" i="11"/>
  <c r="BX27" i="11"/>
  <c r="CM27" i="11"/>
  <c r="CY34" i="11"/>
  <c r="M34" i="11"/>
  <c r="AC34" i="11"/>
  <c r="AR34" i="11"/>
  <c r="BG34" i="11"/>
  <c r="BV34" i="11"/>
  <c r="CN34" i="11"/>
  <c r="N37" i="11"/>
  <c r="AD37" i="11"/>
  <c r="AS37" i="11"/>
  <c r="BJ37" i="11"/>
  <c r="BZ37" i="11"/>
  <c r="CO37" i="11"/>
  <c r="P40" i="11"/>
  <c r="AG40" i="11"/>
  <c r="AV40" i="11"/>
  <c r="BL40" i="11"/>
  <c r="CA40" i="11"/>
  <c r="CP40" i="11"/>
  <c r="Q47" i="11"/>
  <c r="AF47" i="11"/>
  <c r="AU47" i="11"/>
  <c r="BJ47" i="11"/>
  <c r="BZ47" i="11"/>
  <c r="CQ47" i="11"/>
  <c r="N53" i="11"/>
  <c r="AF53" i="11"/>
  <c r="AV53" i="11"/>
  <c r="BO53" i="11"/>
  <c r="CF53" i="11"/>
  <c r="CW53" i="11"/>
  <c r="Q71" i="11"/>
  <c r="AL71" i="11"/>
  <c r="BG71" i="11"/>
  <c r="BZ71" i="11"/>
  <c r="CU71" i="11"/>
  <c r="U79" i="11"/>
  <c r="AU79" i="11"/>
  <c r="BQ79" i="11"/>
  <c r="CL79" i="11"/>
  <c r="F81" i="11"/>
  <c r="Y81" i="11"/>
  <c r="BC81" i="11"/>
  <c r="BZ81" i="11"/>
  <c r="CW81" i="11"/>
  <c r="Y110" i="11"/>
  <c r="AU110" i="11"/>
  <c r="BT110" i="11"/>
  <c r="CV110" i="11"/>
  <c r="P20" i="11"/>
  <c r="AF20" i="11"/>
  <c r="AU20" i="11"/>
  <c r="BL20" i="11"/>
  <c r="CB20" i="11"/>
  <c r="CQ20" i="11"/>
  <c r="N24" i="11"/>
  <c r="AF24" i="11"/>
  <c r="AU24" i="11"/>
  <c r="BJ24" i="11"/>
  <c r="BZ24" i="11"/>
  <c r="CO24" i="11"/>
  <c r="P27" i="11"/>
  <c r="AE27" i="11"/>
  <c r="AT27" i="11"/>
  <c r="BI27" i="11"/>
  <c r="BY27" i="11"/>
  <c r="CP27" i="11"/>
  <c r="N34" i="11"/>
  <c r="AD34" i="11"/>
  <c r="AS34" i="11"/>
  <c r="BH34" i="11"/>
  <c r="BZ34" i="11"/>
  <c r="P37" i="11"/>
  <c r="AE37" i="11"/>
  <c r="AV37" i="11"/>
  <c r="BL37" i="11"/>
  <c r="CA37" i="11"/>
  <c r="CP37" i="11"/>
  <c r="S40" i="11"/>
  <c r="AH40" i="11"/>
  <c r="AW40" i="11"/>
  <c r="BM40" i="11"/>
  <c r="CB40" i="11"/>
  <c r="CS40" i="11"/>
  <c r="R47" i="11"/>
  <c r="AG47" i="11"/>
  <c r="AV47" i="11"/>
  <c r="BL47" i="11"/>
  <c r="CC47" i="11"/>
  <c r="CR47" i="11"/>
  <c r="Q53" i="11"/>
  <c r="AG53" i="11"/>
  <c r="AZ53" i="11"/>
  <c r="BQ53" i="11"/>
  <c r="CG53" i="11"/>
  <c r="CX53" i="11"/>
  <c r="R71" i="11"/>
  <c r="AM71" i="11"/>
  <c r="BH71" i="11"/>
  <c r="CA71" i="11"/>
  <c r="CX71" i="11"/>
  <c r="C79" i="11"/>
  <c r="V79" i="11"/>
  <c r="AV79" i="11"/>
  <c r="BR79" i="11"/>
  <c r="CM79" i="11"/>
  <c r="G81" i="11"/>
  <c r="AG81" i="11"/>
  <c r="BD81" i="11"/>
  <c r="CA81" i="11"/>
  <c r="Z110" i="11"/>
  <c r="AX110" i="11"/>
  <c r="BU110" i="11"/>
  <c r="CW110" i="11"/>
  <c r="CZ10" i="11"/>
  <c r="CN10" i="11"/>
  <c r="CB10" i="11"/>
  <c r="BP10" i="11"/>
  <c r="BD10" i="11"/>
  <c r="AR10" i="11"/>
  <c r="AF10" i="11"/>
  <c r="T10" i="11"/>
  <c r="H10" i="11"/>
  <c r="CY10" i="11"/>
  <c r="CM10" i="11"/>
  <c r="CA10" i="11"/>
  <c r="BO10" i="11"/>
  <c r="BC10" i="11"/>
  <c r="AQ10" i="11"/>
  <c r="AE10" i="11"/>
  <c r="S10" i="11"/>
  <c r="G10" i="11"/>
  <c r="F10" i="11"/>
  <c r="V10" i="11"/>
  <c r="AJ10" i="11"/>
  <c r="AX10" i="11"/>
  <c r="BL10" i="11"/>
  <c r="BZ10" i="11"/>
  <c r="CP10" i="11"/>
  <c r="C20" i="11"/>
  <c r="Q20" i="11"/>
  <c r="AG20" i="11"/>
  <c r="AV20" i="11"/>
  <c r="BM20" i="11"/>
  <c r="CC20" i="11"/>
  <c r="CR20" i="11"/>
  <c r="P24" i="11"/>
  <c r="AG24" i="11"/>
  <c r="AV24" i="11"/>
  <c r="BL24" i="11"/>
  <c r="CA24" i="11"/>
  <c r="CP24" i="11"/>
  <c r="Q27" i="11"/>
  <c r="AF27" i="11"/>
  <c r="AU27" i="11"/>
  <c r="BJ27" i="11"/>
  <c r="BZ27" i="11"/>
  <c r="CQ27" i="11"/>
  <c r="P34" i="11"/>
  <c r="AE34" i="11"/>
  <c r="AT34" i="11"/>
  <c r="BI34" i="11"/>
  <c r="CA34" i="11"/>
  <c r="Q37" i="11"/>
  <c r="AF37" i="11"/>
  <c r="AW37" i="11"/>
  <c r="BM37" i="11"/>
  <c r="CB37" i="11"/>
  <c r="CQ37" i="11"/>
  <c r="T40" i="11"/>
  <c r="AI40" i="11"/>
  <c r="AX40" i="11"/>
  <c r="BN40" i="11"/>
  <c r="CC40" i="11"/>
  <c r="CT40" i="11"/>
  <c r="D47" i="11"/>
  <c r="S47" i="11"/>
  <c r="AH47" i="11"/>
  <c r="AW47" i="11"/>
  <c r="BM47" i="11"/>
  <c r="CD47" i="11"/>
  <c r="CS47" i="11"/>
  <c r="R53" i="11"/>
  <c r="AH53" i="11"/>
  <c r="BA53" i="11"/>
  <c r="BR53" i="11"/>
  <c r="CH53" i="11"/>
  <c r="U71" i="11"/>
  <c r="AQ71" i="11"/>
  <c r="BI71" i="11"/>
  <c r="CD71" i="11"/>
  <c r="D79" i="11"/>
  <c r="AC79" i="11"/>
  <c r="AX79" i="11"/>
  <c r="BS79" i="11"/>
  <c r="H81" i="11"/>
  <c r="AI81" i="11"/>
  <c r="BE81" i="11"/>
  <c r="CD81" i="11"/>
  <c r="CV92" i="11"/>
  <c r="CB92" i="11"/>
  <c r="BK92" i="11"/>
  <c r="AR92" i="11"/>
  <c r="W92" i="11"/>
  <c r="F92" i="11"/>
  <c r="CU92" i="11"/>
  <c r="CA92" i="11"/>
  <c r="BJ92" i="11"/>
  <c r="AP92" i="11"/>
  <c r="V92" i="11"/>
  <c r="E92" i="11"/>
  <c r="U92" i="11"/>
  <c r="AX92" i="11"/>
  <c r="BV92" i="11"/>
  <c r="CT92" i="11"/>
  <c r="CT99" i="11"/>
  <c r="BZ99" i="11"/>
  <c r="BI99" i="11"/>
  <c r="AO99" i="11"/>
  <c r="X99" i="11"/>
  <c r="D99" i="11"/>
  <c r="CQ99" i="11"/>
  <c r="BY99" i="11"/>
  <c r="BG99" i="11"/>
  <c r="AN99" i="11"/>
  <c r="U99" i="11"/>
  <c r="CO99" i="11"/>
  <c r="BX99" i="11"/>
  <c r="BD99" i="11"/>
  <c r="AM99" i="11"/>
  <c r="T99" i="11"/>
  <c r="N99" i="11"/>
  <c r="AP99" i="11"/>
  <c r="BN99" i="11"/>
  <c r="CL99" i="11"/>
  <c r="AB110" i="11"/>
  <c r="AY110" i="11"/>
  <c r="BV110" i="11"/>
  <c r="CX110" i="11"/>
  <c r="CP115" i="11"/>
  <c r="BU115" i="11"/>
  <c r="BA115" i="11"/>
  <c r="AH115" i="11"/>
  <c r="N115" i="11"/>
  <c r="CO115" i="11"/>
  <c r="BS115" i="11"/>
  <c r="AY115" i="11"/>
  <c r="AF115" i="11"/>
  <c r="M115" i="11"/>
  <c r="CM115" i="11"/>
  <c r="BR115" i="11"/>
  <c r="AX115" i="11"/>
  <c r="AE115" i="11"/>
  <c r="K115" i="11"/>
  <c r="W115" i="11"/>
  <c r="AW115" i="11"/>
  <c r="CB115" i="11"/>
  <c r="CS119" i="11"/>
  <c r="CG119" i="11"/>
  <c r="BU119" i="11"/>
  <c r="BI119" i="11"/>
  <c r="AW119" i="11"/>
  <c r="AK119" i="11"/>
  <c r="Y119" i="11"/>
  <c r="M119" i="11"/>
  <c r="CW119" i="11"/>
  <c r="CJ119" i="11"/>
  <c r="BW119" i="11"/>
  <c r="BJ119" i="11"/>
  <c r="AV119" i="11"/>
  <c r="AI119" i="11"/>
  <c r="V119" i="11"/>
  <c r="I119" i="11"/>
  <c r="CM119" i="11"/>
  <c r="BY119" i="11"/>
  <c r="BK119" i="11"/>
  <c r="AU119" i="11"/>
  <c r="AG119" i="11"/>
  <c r="S119" i="11"/>
  <c r="E119" i="11"/>
  <c r="CX119" i="11"/>
  <c r="CI119" i="11"/>
  <c r="BT119" i="11"/>
  <c r="BF119" i="11"/>
  <c r="AR119" i="11"/>
  <c r="AD119" i="11"/>
  <c r="P119" i="11"/>
  <c r="CV119" i="11"/>
  <c r="CE119" i="11"/>
  <c r="BO119" i="11"/>
  <c r="AY119" i="11"/>
  <c r="AF119" i="11"/>
  <c r="O119" i="11"/>
  <c r="CR119" i="11"/>
  <c r="CB119" i="11"/>
  <c r="BL119" i="11"/>
  <c r="AS119" i="11"/>
  <c r="AB119" i="11"/>
  <c r="K119" i="11"/>
  <c r="CU119" i="11"/>
  <c r="CA119" i="11"/>
  <c r="BE119" i="11"/>
  <c r="AM119" i="11"/>
  <c r="R119" i="11"/>
  <c r="CT119" i="11"/>
  <c r="BZ119" i="11"/>
  <c r="BD119" i="11"/>
  <c r="AL119" i="11"/>
  <c r="Q119" i="11"/>
  <c r="CQ119" i="11"/>
  <c r="BX119" i="11"/>
  <c r="BC119" i="11"/>
  <c r="AJ119" i="11"/>
  <c r="N119" i="11"/>
  <c r="G119" i="11"/>
  <c r="AH119" i="11"/>
  <c r="BM119" i="11"/>
  <c r="CL119" i="11"/>
  <c r="CU34" i="11"/>
  <c r="CI34" i="11"/>
  <c r="BW34" i="11"/>
  <c r="BK34" i="11"/>
  <c r="AY34" i="11"/>
  <c r="AM34" i="11"/>
  <c r="AA34" i="11"/>
  <c r="O34" i="11"/>
  <c r="C34" i="11"/>
  <c r="J34" i="11"/>
  <c r="W34" i="11"/>
  <c r="AJ34" i="11"/>
  <c r="AW34" i="11"/>
  <c r="BJ34" i="11"/>
  <c r="BX34" i="11"/>
  <c r="CK34" i="11"/>
  <c r="CX34" i="11"/>
  <c r="CX49" i="11"/>
  <c r="CL49" i="11"/>
  <c r="BZ49" i="11"/>
  <c r="BN49" i="11"/>
  <c r="BB49" i="11"/>
  <c r="AP49" i="11"/>
  <c r="AD49" i="11"/>
  <c r="R49" i="11"/>
  <c r="F49" i="11"/>
  <c r="M49" i="11"/>
  <c r="Z49" i="11"/>
  <c r="AM49" i="11"/>
  <c r="AZ49" i="11"/>
  <c r="BM49" i="11"/>
  <c r="CA49" i="11"/>
  <c r="CN49" i="11"/>
  <c r="CU53" i="11"/>
  <c r="CI53" i="11"/>
  <c r="BW53" i="11"/>
  <c r="BK53" i="11"/>
  <c r="AY53" i="11"/>
  <c r="AM53" i="11"/>
  <c r="AA53" i="11"/>
  <c r="O53" i="11"/>
  <c r="C53" i="11"/>
  <c r="CP53" i="11"/>
  <c r="CC53" i="11"/>
  <c r="BP53" i="11"/>
  <c r="BC53" i="11"/>
  <c r="AP53" i="11"/>
  <c r="AC53" i="11"/>
  <c r="P53" i="11"/>
  <c r="G53" i="11"/>
  <c r="U53" i="11"/>
  <c r="AI53" i="11"/>
  <c r="AW53" i="11"/>
  <c r="BL53" i="11"/>
  <c r="BZ53" i="11"/>
  <c r="CN53" i="11"/>
  <c r="CS79" i="11"/>
  <c r="CG79" i="11"/>
  <c r="BU79" i="11"/>
  <c r="BI79" i="11"/>
  <c r="AW79" i="11"/>
  <c r="AK79" i="11"/>
  <c r="Y79" i="11"/>
  <c r="M79" i="11"/>
  <c r="CO79" i="11"/>
  <c r="CB79" i="11"/>
  <c r="BO79" i="11"/>
  <c r="BB79" i="11"/>
  <c r="AO79" i="11"/>
  <c r="AB79" i="11"/>
  <c r="O79" i="11"/>
  <c r="CQ79" i="11"/>
  <c r="CC79" i="11"/>
  <c r="BN79" i="11"/>
  <c r="AZ79" i="11"/>
  <c r="AL79" i="11"/>
  <c r="W79" i="11"/>
  <c r="I79" i="11"/>
  <c r="CN79" i="11"/>
  <c r="BY79" i="11"/>
  <c r="BJ79" i="11"/>
  <c r="AT79" i="11"/>
  <c r="AE79" i="11"/>
  <c r="P79" i="11"/>
  <c r="CZ79" i="11"/>
  <c r="CK79" i="11"/>
  <c r="BV79" i="11"/>
  <c r="BF79" i="11"/>
  <c r="AQ79" i="11"/>
  <c r="AA79" i="11"/>
  <c r="K79" i="11"/>
  <c r="F79" i="11"/>
  <c r="X79" i="11"/>
  <c r="AR79" i="11"/>
  <c r="BK79" i="11"/>
  <c r="CD79" i="11"/>
  <c r="CV79" i="11"/>
  <c r="K34" i="11"/>
  <c r="X34" i="11"/>
  <c r="AK34" i="11"/>
  <c r="AX34" i="11"/>
  <c r="BL34" i="11"/>
  <c r="BY34" i="11"/>
  <c r="CL34" i="11"/>
  <c r="N49" i="11"/>
  <c r="AA49" i="11"/>
  <c r="AN49" i="11"/>
  <c r="BA49" i="11"/>
  <c r="BO49" i="11"/>
  <c r="CB49" i="11"/>
  <c r="CO49" i="11"/>
  <c r="H53" i="11"/>
  <c r="V53" i="11"/>
  <c r="AJ53" i="11"/>
  <c r="AX53" i="11"/>
  <c r="BM53" i="11"/>
  <c r="CA53" i="11"/>
  <c r="CO53" i="11"/>
  <c r="G79" i="11"/>
  <c r="Z79" i="11"/>
  <c r="AS79" i="11"/>
  <c r="BL79" i="11"/>
  <c r="CE79" i="11"/>
  <c r="CW79" i="11"/>
  <c r="CV88" i="11"/>
  <c r="CJ88" i="11"/>
  <c r="BX88" i="11"/>
  <c r="BL88" i="11"/>
  <c r="AZ88" i="11"/>
  <c r="AN88" i="11"/>
  <c r="AB88" i="11"/>
  <c r="P88" i="11"/>
  <c r="D88" i="11"/>
  <c r="CY88" i="11"/>
  <c r="CL88" i="11"/>
  <c r="BY88" i="11"/>
  <c r="BK88" i="11"/>
  <c r="AX88" i="11"/>
  <c r="AK88" i="11"/>
  <c r="X88" i="11"/>
  <c r="K88" i="11"/>
  <c r="CP88" i="11"/>
  <c r="CB88" i="11"/>
  <c r="BN88" i="11"/>
  <c r="AY88" i="11"/>
  <c r="AJ88" i="11"/>
  <c r="V88" i="11"/>
  <c r="H88" i="11"/>
  <c r="CR88" i="11"/>
  <c r="CC88" i="11"/>
  <c r="BM88" i="11"/>
  <c r="AV88" i="11"/>
  <c r="AG88" i="11"/>
  <c r="R88" i="11"/>
  <c r="CN88" i="11"/>
  <c r="BW88" i="11"/>
  <c r="BH88" i="11"/>
  <c r="AS88" i="11"/>
  <c r="AD88" i="11"/>
  <c r="N88" i="11"/>
  <c r="L88" i="11"/>
  <c r="AE88" i="11"/>
  <c r="AW88" i="11"/>
  <c r="BQ88" i="11"/>
  <c r="CH88" i="11"/>
  <c r="CS92" i="11"/>
  <c r="CG92" i="11"/>
  <c r="BU92" i="11"/>
  <c r="BI92" i="11"/>
  <c r="AW92" i="11"/>
  <c r="AK92" i="11"/>
  <c r="Y92" i="11"/>
  <c r="M92" i="11"/>
  <c r="CQ92" i="11"/>
  <c r="CD92" i="11"/>
  <c r="BQ92" i="11"/>
  <c r="BD92" i="11"/>
  <c r="AQ92" i="11"/>
  <c r="AD92" i="11"/>
  <c r="Q92" i="11"/>
  <c r="D92" i="11"/>
  <c r="CR92" i="11"/>
  <c r="CC92" i="11"/>
  <c r="BO92" i="11"/>
  <c r="BA92" i="11"/>
  <c r="AM92" i="11"/>
  <c r="X92" i="11"/>
  <c r="J92" i="11"/>
  <c r="CM92" i="11"/>
  <c r="BX92" i="11"/>
  <c r="BH92" i="11"/>
  <c r="AS92" i="11"/>
  <c r="AC92" i="11"/>
  <c r="N92" i="11"/>
  <c r="CY92" i="11"/>
  <c r="CJ92" i="11"/>
  <c r="BT92" i="11"/>
  <c r="BE92" i="11"/>
  <c r="AO92" i="11"/>
  <c r="Z92" i="11"/>
  <c r="I92" i="11"/>
  <c r="G92" i="11"/>
  <c r="AA92" i="11"/>
  <c r="AT92" i="11"/>
  <c r="BL92" i="11"/>
  <c r="CE92" i="11"/>
  <c r="CW92" i="11"/>
  <c r="CR115" i="11"/>
  <c r="C99" i="11"/>
  <c r="S99" i="11"/>
  <c r="AI99" i="11"/>
  <c r="AX99" i="11"/>
  <c r="BM99" i="11"/>
  <c r="CB99" i="11"/>
  <c r="CL115" i="11"/>
  <c r="BW115" i="11"/>
  <c r="BI115" i="11"/>
  <c r="AU115" i="11"/>
  <c r="AG115" i="11"/>
  <c r="S115" i="11"/>
  <c r="E115" i="11"/>
  <c r="CW115" i="11"/>
  <c r="CH115" i="11"/>
  <c r="BT115" i="11"/>
  <c r="BF115" i="11"/>
  <c r="AR115" i="11"/>
  <c r="I115" i="11"/>
  <c r="X115" i="11"/>
  <c r="AM115" i="11"/>
  <c r="BE115" i="11"/>
  <c r="BV115" i="11"/>
  <c r="CN115" i="11"/>
  <c r="CP99" i="11"/>
  <c r="CD99" i="11"/>
  <c r="BR99" i="11"/>
  <c r="BF99" i="11"/>
  <c r="AT99" i="11"/>
  <c r="AH99" i="11"/>
  <c r="V99" i="11"/>
  <c r="J99" i="11"/>
  <c r="CS99" i="11"/>
  <c r="CF99" i="11"/>
  <c r="BS99" i="11"/>
  <c r="BE99" i="11"/>
  <c r="AR99" i="11"/>
  <c r="AE99" i="11"/>
  <c r="R99" i="11"/>
  <c r="E99" i="11"/>
  <c r="CX99" i="11"/>
  <c r="CJ99" i="11"/>
  <c r="BV99" i="11"/>
  <c r="BH99" i="11"/>
  <c r="AS99" i="11"/>
  <c r="AD99" i="11"/>
  <c r="P99" i="11"/>
  <c r="G99" i="11"/>
  <c r="W99" i="11"/>
  <c r="AL99" i="11"/>
  <c r="BA99" i="11"/>
  <c r="BP99" i="11"/>
  <c r="CG99" i="11"/>
  <c r="CV99" i="11"/>
  <c r="L115" i="11"/>
  <c r="AA115" i="11"/>
  <c r="AS115" i="11"/>
  <c r="BJ115" i="11"/>
  <c r="CA115" i="11"/>
  <c r="CV115" i="11"/>
  <c r="CJ115" i="11"/>
  <c r="BX115" i="11"/>
  <c r="BL115" i="11"/>
  <c r="AZ115" i="11"/>
  <c r="AN115" i="11"/>
  <c r="AB115" i="11"/>
  <c r="P115" i="11"/>
  <c r="D115" i="11"/>
  <c r="C115" i="11"/>
  <c r="Q115" i="11"/>
  <c r="AD115" i="11"/>
  <c r="AQ115" i="11"/>
  <c r="BD115" i="11"/>
  <c r="BQ115" i="11"/>
  <c r="CD115" i="11"/>
  <c r="CQ115" i="11"/>
  <c r="BD120" i="21" l="1"/>
  <c r="BU120" i="19"/>
  <c r="BD120" i="19"/>
  <c r="CN120" i="19"/>
  <c r="W120" i="19"/>
  <c r="BO120" i="19"/>
  <c r="E120" i="19"/>
  <c r="CC120" i="19"/>
  <c r="AS120" i="19"/>
  <c r="BV120" i="19"/>
  <c r="U120" i="19"/>
  <c r="T120" i="19"/>
  <c r="AG120" i="18"/>
  <c r="L120" i="18"/>
  <c r="BA120" i="18"/>
  <c r="BY120" i="21"/>
  <c r="AK120" i="21"/>
  <c r="AU120" i="21"/>
  <c r="AV120" i="21"/>
  <c r="BK120" i="21"/>
  <c r="BJ120" i="21"/>
  <c r="E120" i="21"/>
  <c r="CU120" i="21"/>
  <c r="T120" i="21"/>
  <c r="CF120" i="21"/>
  <c r="CE120" i="21"/>
  <c r="BR120" i="21"/>
  <c r="AH120" i="21"/>
  <c r="BQ120" i="21"/>
  <c r="BX120" i="21"/>
  <c r="D120" i="21"/>
  <c r="R120" i="21"/>
  <c r="CZ120" i="21"/>
  <c r="BB120" i="21"/>
  <c r="AN120" i="21"/>
  <c r="CL120" i="21"/>
  <c r="AG120" i="21"/>
  <c r="CN120" i="21"/>
  <c r="L120" i="21"/>
  <c r="Z120" i="21"/>
  <c r="AO120" i="21"/>
  <c r="AA120" i="21"/>
  <c r="CT120" i="21"/>
  <c r="AF120" i="20"/>
  <c r="BR120" i="20"/>
  <c r="D120" i="20"/>
  <c r="CA120" i="20"/>
  <c r="AB120" i="20"/>
  <c r="CP120" i="20"/>
  <c r="BQ120" i="20"/>
  <c r="CQ120" i="20"/>
  <c r="BT120" i="19"/>
  <c r="AC120" i="19"/>
  <c r="CJ120" i="19"/>
  <c r="BY120" i="19"/>
  <c r="AW120" i="19"/>
  <c r="M120" i="19"/>
  <c r="CU120" i="19"/>
  <c r="AX120" i="19"/>
  <c r="AR120" i="19"/>
  <c r="BH120" i="19"/>
  <c r="CI120" i="19"/>
  <c r="CD120" i="18"/>
  <c r="CY120" i="18"/>
  <c r="CC120" i="18"/>
  <c r="BH120" i="18"/>
  <c r="AP120" i="18"/>
  <c r="BB120" i="18"/>
  <c r="F120" i="18"/>
  <c r="T120" i="13"/>
  <c r="BG120" i="17"/>
  <c r="CE120" i="17"/>
  <c r="AI120" i="17"/>
  <c r="BJ120" i="17"/>
  <c r="CY120" i="17"/>
  <c r="AD120" i="17"/>
  <c r="BT120" i="17"/>
  <c r="CB120" i="17"/>
  <c r="CU120" i="17"/>
  <c r="M120" i="17"/>
  <c r="L120" i="17"/>
  <c r="AK120" i="17"/>
  <c r="CF120" i="17"/>
  <c r="AH120" i="16"/>
  <c r="CM120" i="16"/>
  <c r="BC120" i="16"/>
  <c r="AE120" i="16"/>
  <c r="BB120" i="16"/>
  <c r="BT120" i="16"/>
  <c r="I120" i="16"/>
  <c r="BQ120" i="16"/>
  <c r="CL120" i="16"/>
  <c r="J120" i="16"/>
  <c r="BU120" i="16"/>
  <c r="CP120" i="16"/>
  <c r="CS120" i="16"/>
  <c r="AU120" i="16"/>
  <c r="BS120" i="16"/>
  <c r="AZ120" i="15"/>
  <c r="CT120" i="15"/>
  <c r="CO120" i="15"/>
  <c r="O120" i="15"/>
  <c r="I120" i="15"/>
  <c r="X120" i="15"/>
  <c r="AK120" i="15"/>
  <c r="AI120" i="15"/>
  <c r="BP120" i="15"/>
  <c r="AL120" i="15"/>
  <c r="Y120" i="15"/>
  <c r="AD120" i="13"/>
  <c r="BH120" i="13"/>
  <c r="CK120" i="13"/>
  <c r="J120" i="15"/>
  <c r="AJ120" i="15"/>
  <c r="AW120" i="15"/>
  <c r="CN120" i="15"/>
  <c r="CB120" i="15"/>
  <c r="CR120" i="15"/>
  <c r="Z120" i="15"/>
  <c r="M120" i="15"/>
  <c r="BT120" i="15"/>
  <c r="BN120" i="15"/>
  <c r="W120" i="15"/>
  <c r="BW120" i="15"/>
  <c r="CJ120" i="15"/>
  <c r="AX120" i="15"/>
  <c r="AM120" i="15"/>
  <c r="K120" i="14"/>
  <c r="AO120" i="14"/>
  <c r="AH120" i="14"/>
  <c r="BO120" i="14"/>
  <c r="S120" i="14"/>
  <c r="CY120" i="13"/>
  <c r="CZ120" i="13"/>
  <c r="BS120" i="13"/>
  <c r="V120" i="13"/>
  <c r="CW120" i="13"/>
  <c r="AY120" i="13"/>
  <c r="F120" i="13"/>
  <c r="CU120" i="13"/>
  <c r="CC120" i="13"/>
  <c r="BC120" i="13"/>
  <c r="U120" i="13"/>
  <c r="AA120" i="13"/>
  <c r="BW120" i="13"/>
  <c r="I120" i="13"/>
  <c r="W120" i="13"/>
  <c r="X120" i="13"/>
  <c r="BE120" i="13"/>
  <c r="D120" i="13"/>
  <c r="CG120" i="13"/>
  <c r="CL120" i="13"/>
  <c r="CX120" i="13"/>
  <c r="BU120" i="13"/>
  <c r="BT120" i="13"/>
  <c r="AP120" i="13"/>
  <c r="AB120" i="12"/>
  <c r="CD120" i="12"/>
  <c r="AR120" i="12"/>
  <c r="CM120" i="12"/>
  <c r="AF120" i="12"/>
  <c r="CF120" i="12"/>
  <c r="Q120" i="12"/>
  <c r="AO120" i="11"/>
  <c r="AN120" i="11"/>
  <c r="CW120" i="11"/>
  <c r="AP120" i="11"/>
  <c r="CE120" i="11"/>
  <c r="AY120" i="11"/>
  <c r="AZ120" i="11"/>
  <c r="CF120" i="11"/>
  <c r="CD120" i="11"/>
  <c r="K120" i="11"/>
  <c r="BA120" i="11"/>
  <c r="L120" i="11"/>
  <c r="W120" i="11"/>
  <c r="J120" i="11"/>
  <c r="M120" i="11"/>
  <c r="CQ120" i="11"/>
  <c r="CR120" i="11"/>
  <c r="AF120" i="11"/>
  <c r="BT120" i="18"/>
  <c r="CL120" i="18"/>
  <c r="BV120" i="21"/>
  <c r="CI120" i="21"/>
  <c r="J120" i="21"/>
  <c r="CO120" i="21"/>
  <c r="BU120" i="21"/>
  <c r="BG120" i="21"/>
  <c r="BT120" i="21"/>
  <c r="BZ120" i="21"/>
  <c r="CG120" i="21"/>
  <c r="CK120" i="21"/>
  <c r="AS120" i="21"/>
  <c r="BF120" i="21"/>
  <c r="CP120" i="21"/>
  <c r="BL120" i="21"/>
  <c r="CS120" i="21"/>
  <c r="AL120" i="21"/>
  <c r="CA120" i="21"/>
  <c r="CX120" i="21"/>
  <c r="W120" i="21"/>
  <c r="CM120" i="21"/>
  <c r="I120" i="21"/>
  <c r="BI120" i="21"/>
  <c r="CY120" i="21"/>
  <c r="CV120" i="21"/>
  <c r="CB120" i="21"/>
  <c r="G120" i="21"/>
  <c r="AC120" i="21"/>
  <c r="AI120" i="21"/>
  <c r="AT120" i="21"/>
  <c r="O120" i="21"/>
  <c r="BS120" i="21"/>
  <c r="CQ120" i="21"/>
  <c r="U120" i="21"/>
  <c r="AF120" i="21"/>
  <c r="BE120" i="21"/>
  <c r="CR120" i="21"/>
  <c r="CC120" i="21"/>
  <c r="AJ120" i="21"/>
  <c r="F120" i="21"/>
  <c r="AQ120" i="21"/>
  <c r="N120" i="21"/>
  <c r="BA120" i="21"/>
  <c r="AM120" i="21"/>
  <c r="AW120" i="21"/>
  <c r="CJ120" i="21"/>
  <c r="X120" i="21"/>
  <c r="BW120" i="21"/>
  <c r="AD120" i="21"/>
  <c r="AR120" i="21"/>
  <c r="AX120" i="21"/>
  <c r="BH120" i="21"/>
  <c r="P120" i="21"/>
  <c r="CH120" i="21"/>
  <c r="BM120" i="21"/>
  <c r="S120" i="21"/>
  <c r="AY120" i="21"/>
  <c r="AE120" i="21"/>
  <c r="Q120" i="21"/>
  <c r="AP120" i="21"/>
  <c r="CD120" i="21"/>
  <c r="BN120" i="21"/>
  <c r="V120" i="21"/>
  <c r="M120" i="21"/>
  <c r="BC120" i="21"/>
  <c r="K120" i="21"/>
  <c r="CW120" i="21"/>
  <c r="C120" i="21"/>
  <c r="AB120" i="21"/>
  <c r="BP120" i="21"/>
  <c r="AZ120" i="21"/>
  <c r="H120" i="21"/>
  <c r="Y120" i="21"/>
  <c r="BO120" i="21"/>
  <c r="BD120" i="20"/>
  <c r="BO120" i="20"/>
  <c r="BZ120" i="20"/>
  <c r="CD120" i="20"/>
  <c r="CF120" i="20"/>
  <c r="AL120" i="20"/>
  <c r="AQ120" i="20"/>
  <c r="AY120" i="20"/>
  <c r="O120" i="20"/>
  <c r="CO120" i="20"/>
  <c r="CN120" i="20"/>
  <c r="BK120" i="20"/>
  <c r="AG120" i="20"/>
  <c r="T120" i="20"/>
  <c r="P120" i="20"/>
  <c r="CM120" i="20"/>
  <c r="AX120" i="20"/>
  <c r="CB120" i="20"/>
  <c r="BY120" i="20"/>
  <c r="N120" i="20"/>
  <c r="CY120" i="20"/>
  <c r="BP120" i="20"/>
  <c r="Z120" i="20"/>
  <c r="X120" i="20"/>
  <c r="BX120" i="20"/>
  <c r="BM120" i="20"/>
  <c r="BL120" i="20"/>
  <c r="AH120" i="20"/>
  <c r="G120" i="20"/>
  <c r="AN120" i="20"/>
  <c r="AD120" i="20"/>
  <c r="M120" i="20"/>
  <c r="BJ120" i="20"/>
  <c r="AZ120" i="20"/>
  <c r="CZ120" i="20"/>
  <c r="AS120" i="20"/>
  <c r="CC120" i="20"/>
  <c r="BG120" i="20"/>
  <c r="U120" i="20"/>
  <c r="AP120" i="20"/>
  <c r="CR120" i="20"/>
  <c r="CS120" i="20"/>
  <c r="CK120" i="20"/>
  <c r="AO120" i="20"/>
  <c r="AI120" i="20"/>
  <c r="J120" i="20"/>
  <c r="H120" i="20"/>
  <c r="BE120" i="20"/>
  <c r="AR120" i="20"/>
  <c r="Y120" i="20"/>
  <c r="BV120" i="20"/>
  <c r="BB120" i="20"/>
  <c r="AA120" i="20"/>
  <c r="AV120" i="20"/>
  <c r="K120" i="20"/>
  <c r="BF120" i="20"/>
  <c r="CJ120" i="20"/>
  <c r="AU120" i="20"/>
  <c r="BT120" i="20"/>
  <c r="AW120" i="20"/>
  <c r="CE120" i="20"/>
  <c r="BN120" i="20"/>
  <c r="CL120" i="20"/>
  <c r="BW120" i="20"/>
  <c r="BS120" i="20"/>
  <c r="CG120" i="20"/>
  <c r="C120" i="20"/>
  <c r="BU120" i="20"/>
  <c r="BC120" i="20"/>
  <c r="BH120" i="20"/>
  <c r="S120" i="20"/>
  <c r="AM120" i="20"/>
  <c r="Q120" i="20"/>
  <c r="CH120" i="20"/>
  <c r="CU120" i="20"/>
  <c r="F120" i="20"/>
  <c r="L120" i="20"/>
  <c r="AK120" i="20"/>
  <c r="AC120" i="20"/>
  <c r="CT120" i="20"/>
  <c r="CW120" i="20"/>
  <c r="E120" i="20"/>
  <c r="I120" i="20"/>
  <c r="BI120" i="20"/>
  <c r="W120" i="20"/>
  <c r="CI120" i="20"/>
  <c r="AJ120" i="20"/>
  <c r="BA120" i="20"/>
  <c r="AE120" i="20"/>
  <c r="CV120" i="20"/>
  <c r="AT120" i="20"/>
  <c r="V120" i="20"/>
  <c r="BE120" i="19"/>
  <c r="CX120" i="19"/>
  <c r="BQ120" i="19"/>
  <c r="S120" i="19"/>
  <c r="CB120" i="19"/>
  <c r="BM120" i="19"/>
  <c r="CG120" i="19"/>
  <c r="BZ120" i="19"/>
  <c r="K120" i="19"/>
  <c r="CF120" i="19"/>
  <c r="AG120" i="19"/>
  <c r="CO120" i="19"/>
  <c r="AI120" i="19"/>
  <c r="CH120" i="19"/>
  <c r="AY120" i="19"/>
  <c r="CV120" i="19"/>
  <c r="Y120" i="19"/>
  <c r="CT120" i="19"/>
  <c r="AV120" i="19"/>
  <c r="J120" i="19"/>
  <c r="G120" i="19"/>
  <c r="AZ120" i="19"/>
  <c r="X120" i="19"/>
  <c r="P120" i="19"/>
  <c r="AM120" i="19"/>
  <c r="D120" i="19"/>
  <c r="BJ120" i="19"/>
  <c r="V120" i="19"/>
  <c r="AA120" i="19"/>
  <c r="N120" i="19"/>
  <c r="CY120" i="19"/>
  <c r="AJ120" i="19"/>
  <c r="BA120" i="19"/>
  <c r="BX120" i="19"/>
  <c r="AN120" i="19"/>
  <c r="BB120" i="19"/>
  <c r="BC120" i="19"/>
  <c r="AK120" i="19"/>
  <c r="R120" i="19"/>
  <c r="AH120" i="19"/>
  <c r="CM120" i="19"/>
  <c r="CR120" i="19"/>
  <c r="BG120" i="19"/>
  <c r="BP120" i="19"/>
  <c r="AF120" i="19"/>
  <c r="CL120" i="19"/>
  <c r="AT120" i="19"/>
  <c r="BL120" i="19"/>
  <c r="BK120" i="19"/>
  <c r="BS120" i="19"/>
  <c r="CQ120" i="19"/>
  <c r="CA120" i="19"/>
  <c r="CE120" i="19"/>
  <c r="AU120" i="19"/>
  <c r="CZ120" i="19"/>
  <c r="BF120" i="19"/>
  <c r="AE120" i="19"/>
  <c r="AD120" i="19"/>
  <c r="AQ120" i="19"/>
  <c r="BN120" i="19"/>
  <c r="CW120" i="19"/>
  <c r="CS120" i="19"/>
  <c r="BI120" i="19"/>
  <c r="O120" i="19"/>
  <c r="BR120" i="19"/>
  <c r="F120" i="19"/>
  <c r="C120" i="19"/>
  <c r="I120" i="19"/>
  <c r="AP120" i="19"/>
  <c r="Q120" i="19"/>
  <c r="L120" i="19"/>
  <c r="BW120" i="19"/>
  <c r="AB120" i="19"/>
  <c r="CD120" i="19"/>
  <c r="H120" i="19"/>
  <c r="AL120" i="19"/>
  <c r="Z120" i="19"/>
  <c r="CK120" i="19"/>
  <c r="AO120" i="19"/>
  <c r="CP120" i="19"/>
  <c r="AZ120" i="18"/>
  <c r="AH120" i="18"/>
  <c r="CM120" i="18"/>
  <c r="X120" i="18"/>
  <c r="BR120" i="18"/>
  <c r="CA120" i="18"/>
  <c r="BV120" i="18"/>
  <c r="CW120" i="18"/>
  <c r="Q120" i="18"/>
  <c r="U120" i="18"/>
  <c r="AV120" i="18"/>
  <c r="CK120" i="18"/>
  <c r="CQ120" i="18"/>
  <c r="AK120" i="18"/>
  <c r="CH120" i="18"/>
  <c r="W120" i="18"/>
  <c r="R120" i="18"/>
  <c r="AN120" i="18"/>
  <c r="BM120" i="18"/>
  <c r="BO120" i="18"/>
  <c r="O120" i="18"/>
  <c r="H120" i="18"/>
  <c r="AW120" i="18"/>
  <c r="CT120" i="18"/>
  <c r="M120" i="18"/>
  <c r="C120" i="18"/>
  <c r="AB120" i="18"/>
  <c r="Y120" i="18"/>
  <c r="AQ120" i="18"/>
  <c r="AJ120" i="18"/>
  <c r="BF120" i="18"/>
  <c r="CE120" i="18"/>
  <c r="CI120" i="18"/>
  <c r="AD120" i="18"/>
  <c r="T120" i="18"/>
  <c r="BI120" i="18"/>
  <c r="BX120" i="18"/>
  <c r="AU120" i="18"/>
  <c r="AX120" i="18"/>
  <c r="CR120" i="18"/>
  <c r="I120" i="18"/>
  <c r="BJ120" i="18"/>
  <c r="BC120" i="18"/>
  <c r="CX120" i="18"/>
  <c r="J120" i="18"/>
  <c r="BU120" i="18"/>
  <c r="CU120" i="18"/>
  <c r="AC120" i="18"/>
  <c r="AR120" i="18"/>
  <c r="CO120" i="18"/>
  <c r="AA120" i="18"/>
  <c r="AY120" i="18"/>
  <c r="BD120" i="18"/>
  <c r="S120" i="18"/>
  <c r="V120" i="18"/>
  <c r="AS120" i="18"/>
  <c r="BQ120" i="18"/>
  <c r="CP120" i="18"/>
  <c r="BP120" i="18"/>
  <c r="N120" i="18"/>
  <c r="CZ120" i="18"/>
  <c r="CV120" i="18"/>
  <c r="BL120" i="18"/>
  <c r="BY120" i="18"/>
  <c r="AT120" i="18"/>
  <c r="AF120" i="18"/>
  <c r="BS120" i="18"/>
  <c r="BW120" i="18"/>
  <c r="G120" i="18"/>
  <c r="BK120" i="18"/>
  <c r="CG120" i="18"/>
  <c r="AI120" i="18"/>
  <c r="D120" i="18"/>
  <c r="BZ120" i="18"/>
  <c r="CS120" i="18"/>
  <c r="AM120" i="18"/>
  <c r="AO120" i="18"/>
  <c r="BN120" i="18"/>
  <c r="CJ120" i="18"/>
  <c r="P120" i="18"/>
  <c r="CB120" i="18"/>
  <c r="Z120" i="18"/>
  <c r="E120" i="18"/>
  <c r="BE120" i="18"/>
  <c r="BG120" i="18"/>
  <c r="CF120" i="18"/>
  <c r="K120" i="18"/>
  <c r="AE120" i="18"/>
  <c r="CN120" i="18"/>
  <c r="AL120" i="18"/>
  <c r="CW120" i="17"/>
  <c r="BX120" i="17"/>
  <c r="T120" i="17"/>
  <c r="W120" i="17"/>
  <c r="S120" i="17"/>
  <c r="BQ120" i="17"/>
  <c r="BB120" i="17"/>
  <c r="CV120" i="17"/>
  <c r="AW120" i="17"/>
  <c r="AJ120" i="17"/>
  <c r="AM120" i="17"/>
  <c r="AG120" i="17"/>
  <c r="CD120" i="17"/>
  <c r="AE120" i="17"/>
  <c r="CA120" i="17"/>
  <c r="CO120" i="17"/>
  <c r="Z120" i="17"/>
  <c r="AP120" i="17"/>
  <c r="AZ120" i="17"/>
  <c r="BE120" i="17"/>
  <c r="AU120" i="17"/>
  <c r="CQ120" i="17"/>
  <c r="J120" i="17"/>
  <c r="AY120" i="17"/>
  <c r="BL120" i="17"/>
  <c r="AS120" i="17"/>
  <c r="CN120" i="17"/>
  <c r="AR120" i="17"/>
  <c r="CI120" i="17"/>
  <c r="CC120" i="17"/>
  <c r="F120" i="17"/>
  <c r="R120" i="17"/>
  <c r="CL120" i="17"/>
  <c r="AC120" i="17"/>
  <c r="BK120" i="17"/>
  <c r="CS120" i="17"/>
  <c r="BP120" i="17"/>
  <c r="BV120" i="17"/>
  <c r="BY120" i="17"/>
  <c r="CM120" i="17"/>
  <c r="AQ120" i="17"/>
  <c r="CT120" i="17"/>
  <c r="G120" i="17"/>
  <c r="BD120" i="17"/>
  <c r="BU120" i="17"/>
  <c r="E120" i="17"/>
  <c r="BN120" i="17"/>
  <c r="O120" i="17"/>
  <c r="CH120" i="17"/>
  <c r="BW120" i="17"/>
  <c r="I120" i="17"/>
  <c r="V120" i="17"/>
  <c r="CZ120" i="17"/>
  <c r="BO120" i="17"/>
  <c r="BS120" i="17"/>
  <c r="N120" i="17"/>
  <c r="AH120" i="17"/>
  <c r="AL120" i="17"/>
  <c r="AT120" i="17"/>
  <c r="C120" i="17"/>
  <c r="BA120" i="17"/>
  <c r="X120" i="17"/>
  <c r="AX120" i="17"/>
  <c r="AV120" i="17"/>
  <c r="U120" i="17"/>
  <c r="H120" i="17"/>
  <c r="CG120" i="17"/>
  <c r="CJ120" i="17"/>
  <c r="CK120" i="17"/>
  <c r="CX120" i="17"/>
  <c r="D120" i="17"/>
  <c r="BR120" i="17"/>
  <c r="BI120" i="17"/>
  <c r="AB120" i="17"/>
  <c r="Q120" i="17"/>
  <c r="BF120" i="17"/>
  <c r="AF120" i="17"/>
  <c r="AO120" i="17"/>
  <c r="AN120" i="17"/>
  <c r="BZ120" i="17"/>
  <c r="CP120" i="17"/>
  <c r="K120" i="17"/>
  <c r="BC120" i="17"/>
  <c r="BH120" i="17"/>
  <c r="P120" i="17"/>
  <c r="BM120" i="17"/>
  <c r="AA120" i="17"/>
  <c r="Y120" i="17"/>
  <c r="CR120" i="17"/>
  <c r="CQ120" i="16"/>
  <c r="F120" i="16"/>
  <c r="BE120" i="16"/>
  <c r="L120" i="16"/>
  <c r="R120" i="16"/>
  <c r="CH120" i="16"/>
  <c r="P120" i="16"/>
  <c r="CG120" i="16"/>
  <c r="BY120" i="16"/>
  <c r="CK120" i="16"/>
  <c r="AD120" i="16"/>
  <c r="AG120" i="16"/>
  <c r="CT120" i="16"/>
  <c r="AB120" i="16"/>
  <c r="BG120" i="16"/>
  <c r="BD120" i="16"/>
  <c r="BP120" i="16"/>
  <c r="AV120" i="16"/>
  <c r="BH120" i="16"/>
  <c r="BN120" i="16"/>
  <c r="O120" i="16"/>
  <c r="AZ120" i="16"/>
  <c r="W120" i="16"/>
  <c r="CZ120" i="16"/>
  <c r="BZ120" i="16"/>
  <c r="CC120" i="16"/>
  <c r="AA120" i="16"/>
  <c r="BL120" i="16"/>
  <c r="BR120" i="16"/>
  <c r="E120" i="16"/>
  <c r="T120" i="16"/>
  <c r="BW120" i="16"/>
  <c r="BF120" i="16"/>
  <c r="BM120" i="16"/>
  <c r="CI120" i="16"/>
  <c r="AT120" i="16"/>
  <c r="CB120" i="16"/>
  <c r="CU120" i="16"/>
  <c r="X120" i="16"/>
  <c r="H120" i="16"/>
  <c r="D120" i="16"/>
  <c r="CW120" i="16"/>
  <c r="AS120" i="16"/>
  <c r="AN120" i="16"/>
  <c r="CR120" i="16"/>
  <c r="BX120" i="16"/>
  <c r="Q120" i="16"/>
  <c r="N120" i="16"/>
  <c r="AY120" i="16"/>
  <c r="CJ120" i="16"/>
  <c r="AP120" i="16"/>
  <c r="Y120" i="16"/>
  <c r="BO120" i="16"/>
  <c r="U120" i="16"/>
  <c r="AO120" i="16"/>
  <c r="CY120" i="16"/>
  <c r="CA120" i="16"/>
  <c r="AL120" i="16"/>
  <c r="AK120" i="16"/>
  <c r="BA120" i="16"/>
  <c r="AX120" i="16"/>
  <c r="AQ120" i="16"/>
  <c r="AC120" i="16"/>
  <c r="BJ120" i="16"/>
  <c r="CX120" i="16"/>
  <c r="BV120" i="16"/>
  <c r="M120" i="16"/>
  <c r="C120" i="16"/>
  <c r="K120" i="16"/>
  <c r="AR120" i="16"/>
  <c r="AI120" i="16"/>
  <c r="CO120" i="16"/>
  <c r="AM120" i="16"/>
  <c r="AW120" i="16"/>
  <c r="BI120" i="16"/>
  <c r="CE120" i="16"/>
  <c r="CF120" i="16"/>
  <c r="CN120" i="16"/>
  <c r="AF120" i="16"/>
  <c r="Z120" i="16"/>
  <c r="BK120" i="16"/>
  <c r="CV120" i="16"/>
  <c r="S120" i="16"/>
  <c r="G120" i="16"/>
  <c r="V120" i="16"/>
  <c r="CD120" i="16"/>
  <c r="AJ120" i="16"/>
  <c r="BY120" i="15"/>
  <c r="BG120" i="15"/>
  <c r="BR120" i="15"/>
  <c r="BE120" i="15"/>
  <c r="AB120" i="15"/>
  <c r="CY120" i="15"/>
  <c r="BD120" i="15"/>
  <c r="CS120" i="15"/>
  <c r="T120" i="15"/>
  <c r="CL120" i="15"/>
  <c r="AR120" i="15"/>
  <c r="BV120" i="15"/>
  <c r="AQ120" i="15"/>
  <c r="P120" i="15"/>
  <c r="G120" i="15"/>
  <c r="CX120" i="15"/>
  <c r="AE120" i="15"/>
  <c r="AV120" i="15"/>
  <c r="CE120" i="15"/>
  <c r="BQ120" i="15"/>
  <c r="BC120" i="15"/>
  <c r="U120" i="15"/>
  <c r="BU120" i="15"/>
  <c r="AC120" i="15"/>
  <c r="AA120" i="15"/>
  <c r="AF120" i="15"/>
  <c r="CC120" i="15"/>
  <c r="CG120" i="15"/>
  <c r="CF120" i="15"/>
  <c r="CD120" i="15"/>
  <c r="CQ120" i="15"/>
  <c r="CU120" i="15"/>
  <c r="AT120" i="15"/>
  <c r="C120" i="15"/>
  <c r="AD120" i="15"/>
  <c r="AG120" i="15"/>
  <c r="BZ120" i="15"/>
  <c r="R120" i="15"/>
  <c r="V120" i="15"/>
  <c r="F120" i="15"/>
  <c r="H120" i="15"/>
  <c r="Q120" i="15"/>
  <c r="N120" i="15"/>
  <c r="BH120" i="15"/>
  <c r="AO120" i="15"/>
  <c r="AN120" i="15"/>
  <c r="AS120" i="15"/>
  <c r="CM120" i="15"/>
  <c r="CW120" i="15"/>
  <c r="E120" i="15"/>
  <c r="D120" i="15"/>
  <c r="AU120" i="15"/>
  <c r="CV120" i="15"/>
  <c r="BA120" i="15"/>
  <c r="CA120" i="15"/>
  <c r="BB120" i="15"/>
  <c r="BF120" i="15"/>
  <c r="CZ120" i="15"/>
  <c r="CI120" i="15"/>
  <c r="S120" i="15"/>
  <c r="AH120" i="15"/>
  <c r="CH120" i="15"/>
  <c r="BM120" i="15"/>
  <c r="AY120" i="15"/>
  <c r="BO120" i="15"/>
  <c r="BS120" i="15"/>
  <c r="BC120" i="14"/>
  <c r="CV120" i="14"/>
  <c r="CK120" i="14"/>
  <c r="X120" i="14"/>
  <c r="AC120" i="14"/>
  <c r="CR120" i="14"/>
  <c r="CA120" i="14"/>
  <c r="Q120" i="14"/>
  <c r="AJ120" i="14"/>
  <c r="BR120" i="14"/>
  <c r="AK120" i="14"/>
  <c r="F120" i="14"/>
  <c r="AR120" i="14"/>
  <c r="AU120" i="14"/>
  <c r="CI120" i="14"/>
  <c r="CZ120" i="14"/>
  <c r="BN120" i="14"/>
  <c r="AA120" i="14"/>
  <c r="AT120" i="14"/>
  <c r="D120" i="14"/>
  <c r="I120" i="14"/>
  <c r="BL120" i="14"/>
  <c r="N120" i="14"/>
  <c r="M120" i="14"/>
  <c r="BP120" i="14"/>
  <c r="BZ120" i="14"/>
  <c r="CU120" i="14"/>
  <c r="BU120" i="14"/>
  <c r="CM120" i="14"/>
  <c r="BX120" i="14"/>
  <c r="CO120" i="14"/>
  <c r="AY120" i="14"/>
  <c r="CD120" i="14"/>
  <c r="O120" i="14"/>
  <c r="W120" i="14"/>
  <c r="CE120" i="14"/>
  <c r="T120" i="14"/>
  <c r="V120" i="14"/>
  <c r="BY120" i="14"/>
  <c r="Z120" i="14"/>
  <c r="BB120" i="14"/>
  <c r="BF120" i="14"/>
  <c r="BH120" i="14"/>
  <c r="CF120" i="14"/>
  <c r="AE120" i="14"/>
  <c r="AN120" i="14"/>
  <c r="AI120" i="14"/>
  <c r="CL120" i="14"/>
  <c r="AL120" i="14"/>
  <c r="AD120" i="14"/>
  <c r="CX120" i="14"/>
  <c r="J120" i="14"/>
  <c r="AF120" i="14"/>
  <c r="AG120" i="14"/>
  <c r="BD120" i="14"/>
  <c r="AV120" i="14"/>
  <c r="CY120" i="14"/>
  <c r="AX120" i="14"/>
  <c r="G120" i="14"/>
  <c r="CB120" i="14"/>
  <c r="CP120" i="14"/>
  <c r="BA120" i="14"/>
  <c r="BT120" i="14"/>
  <c r="BI120" i="14"/>
  <c r="L120" i="14"/>
  <c r="BJ120" i="14"/>
  <c r="CC120" i="14"/>
  <c r="P120" i="14"/>
  <c r="BK120" i="14"/>
  <c r="BM120" i="14"/>
  <c r="BE120" i="14"/>
  <c r="AW120" i="14"/>
  <c r="AP120" i="14"/>
  <c r="BQ120" i="14"/>
  <c r="CN120" i="14"/>
  <c r="BW120" i="14"/>
  <c r="Y120" i="14"/>
  <c r="BV120" i="14"/>
  <c r="AB120" i="14"/>
  <c r="CS120" i="14"/>
  <c r="CQ120" i="14"/>
  <c r="BG120" i="14"/>
  <c r="CG120" i="14"/>
  <c r="E120" i="14"/>
  <c r="CJ120" i="14"/>
  <c r="AM120" i="14"/>
  <c r="CH120" i="14"/>
  <c r="C120" i="14"/>
  <c r="BS120" i="14"/>
  <c r="AQ120" i="14"/>
  <c r="H120" i="14"/>
  <c r="AS120" i="14"/>
  <c r="R120" i="14"/>
  <c r="U120" i="14"/>
  <c r="CW120" i="14"/>
  <c r="AZ120" i="14"/>
  <c r="CT120" i="14"/>
  <c r="AC120" i="13"/>
  <c r="Q120" i="13"/>
  <c r="CE120" i="13"/>
  <c r="AN120" i="13"/>
  <c r="AQ120" i="13"/>
  <c r="BZ120" i="13"/>
  <c r="N120" i="13"/>
  <c r="BF120" i="13"/>
  <c r="CF120" i="13"/>
  <c r="CP120" i="13"/>
  <c r="Z120" i="13"/>
  <c r="AB120" i="13"/>
  <c r="CM120" i="13"/>
  <c r="S120" i="13"/>
  <c r="CD120" i="13"/>
  <c r="AL120" i="13"/>
  <c r="Y120" i="13"/>
  <c r="BX120" i="13"/>
  <c r="AT120" i="13"/>
  <c r="AH120" i="13"/>
  <c r="CQ120" i="13"/>
  <c r="AX120" i="13"/>
  <c r="G120" i="13"/>
  <c r="C120" i="13"/>
  <c r="AV120" i="13"/>
  <c r="AF120" i="13"/>
  <c r="M120" i="13"/>
  <c r="CN120" i="13"/>
  <c r="AW120" i="13"/>
  <c r="E120" i="13"/>
  <c r="BJ120" i="13"/>
  <c r="BA120" i="13"/>
  <c r="P120" i="13"/>
  <c r="BO120" i="13"/>
  <c r="AG120" i="13"/>
  <c r="BR120" i="13"/>
  <c r="BP120" i="13"/>
  <c r="AM120" i="13"/>
  <c r="BG120" i="13"/>
  <c r="AZ120" i="13"/>
  <c r="J120" i="13"/>
  <c r="CR120" i="13"/>
  <c r="CJ120" i="13"/>
  <c r="BD120" i="13"/>
  <c r="H120" i="13"/>
  <c r="BQ120" i="13"/>
  <c r="AJ120" i="13"/>
  <c r="BB120" i="13"/>
  <c r="BI120" i="13"/>
  <c r="O120" i="13"/>
  <c r="BM120" i="13"/>
  <c r="R120" i="13"/>
  <c r="BV120" i="13"/>
  <c r="CI120" i="13"/>
  <c r="BY120" i="13"/>
  <c r="BL120" i="13"/>
  <c r="K120" i="13"/>
  <c r="AS120" i="13"/>
  <c r="BK120" i="13"/>
  <c r="AU120" i="13"/>
  <c r="CB120" i="13"/>
  <c r="AE120" i="13"/>
  <c r="CH120" i="13"/>
  <c r="AI120" i="13"/>
  <c r="BN120" i="13"/>
  <c r="CA120" i="13"/>
  <c r="L120" i="13"/>
  <c r="CO120" i="13"/>
  <c r="CS120" i="13"/>
  <c r="AR120" i="13"/>
  <c r="CT120" i="13"/>
  <c r="AK120" i="13"/>
  <c r="CC120" i="12"/>
  <c r="CO120" i="12"/>
  <c r="CG120" i="12"/>
  <c r="CU120" i="12"/>
  <c r="M120" i="12"/>
  <c r="AI120" i="12"/>
  <c r="K120" i="12"/>
  <c r="BL120" i="12"/>
  <c r="D120" i="12"/>
  <c r="AL120" i="12"/>
  <c r="AA120" i="12"/>
  <c r="AO120" i="12"/>
  <c r="S120" i="12"/>
  <c r="AY120" i="12"/>
  <c r="E120" i="12"/>
  <c r="CS120" i="12"/>
  <c r="BZ120" i="12"/>
  <c r="AQ120" i="12"/>
  <c r="AZ120" i="12"/>
  <c r="X120" i="12"/>
  <c r="BY120" i="12"/>
  <c r="BH120" i="12"/>
  <c r="CH120" i="12"/>
  <c r="BU120" i="12"/>
  <c r="CR120" i="12"/>
  <c r="CW120" i="12"/>
  <c r="BM120" i="12"/>
  <c r="F120" i="12"/>
  <c r="BD120" i="12"/>
  <c r="BF120" i="12"/>
  <c r="BW120" i="12"/>
  <c r="BN120" i="12"/>
  <c r="BO120" i="12"/>
  <c r="AK120" i="12"/>
  <c r="CL120" i="12"/>
  <c r="T120" i="12"/>
  <c r="BI120" i="12"/>
  <c r="AT120" i="12"/>
  <c r="AW120" i="12"/>
  <c r="N120" i="12"/>
  <c r="P120" i="12"/>
  <c r="CV120" i="12"/>
  <c r="AC120" i="12"/>
  <c r="AE120" i="12"/>
  <c r="G120" i="12"/>
  <c r="BX120" i="12"/>
  <c r="U120" i="12"/>
  <c r="Z120" i="12"/>
  <c r="CZ120" i="12"/>
  <c r="C120" i="12"/>
  <c r="AX120" i="12"/>
  <c r="CB120" i="12"/>
  <c r="CK120" i="12"/>
  <c r="J120" i="12"/>
  <c r="CQ120" i="12"/>
  <c r="BS120" i="12"/>
  <c r="Y120" i="12"/>
  <c r="BQ120" i="12"/>
  <c r="AV120" i="12"/>
  <c r="AJ120" i="12"/>
  <c r="AH120" i="12"/>
  <c r="CY120" i="12"/>
  <c r="O120" i="12"/>
  <c r="BT120" i="12"/>
  <c r="CT120" i="12"/>
  <c r="BK120" i="12"/>
  <c r="I120" i="12"/>
  <c r="CI120" i="12"/>
  <c r="BV120" i="12"/>
  <c r="V120" i="12"/>
  <c r="AP120" i="12"/>
  <c r="AU120" i="12"/>
  <c r="W120" i="12"/>
  <c r="AG120" i="12"/>
  <c r="R120" i="12"/>
  <c r="BG120" i="12"/>
  <c r="CN120" i="12"/>
  <c r="CP120" i="12"/>
  <c r="BJ120" i="12"/>
  <c r="AN120" i="12"/>
  <c r="CX120" i="12"/>
  <c r="AS120" i="12"/>
  <c r="CJ120" i="12"/>
  <c r="CE120" i="12"/>
  <c r="AM120" i="12"/>
  <c r="H120" i="12"/>
  <c r="BB120" i="12"/>
  <c r="BA120" i="12"/>
  <c r="AD120" i="12"/>
  <c r="CA120" i="12"/>
  <c r="BC120" i="12"/>
  <c r="L120" i="12"/>
  <c r="BE120" i="12"/>
  <c r="BR120" i="12"/>
  <c r="BP120" i="12"/>
  <c r="AK120" i="11"/>
  <c r="CH120" i="11"/>
  <c r="BH120" i="11"/>
  <c r="R120" i="11"/>
  <c r="CO120" i="11"/>
  <c r="BC120" i="11"/>
  <c r="CN120" i="11"/>
  <c r="BR120" i="11"/>
  <c r="BM120" i="11"/>
  <c r="CS120" i="11"/>
  <c r="CV120" i="11"/>
  <c r="BV120" i="11"/>
  <c r="AH120" i="11"/>
  <c r="F120" i="11"/>
  <c r="AB120" i="11"/>
  <c r="BI120" i="11"/>
  <c r="AI120" i="11"/>
  <c r="G120" i="11"/>
  <c r="CT120" i="11"/>
  <c r="P120" i="11"/>
  <c r="AW120" i="11"/>
  <c r="S120" i="11"/>
  <c r="BF120" i="11"/>
  <c r="BK120" i="11"/>
  <c r="AE120" i="11"/>
  <c r="BP120" i="11"/>
  <c r="BT120" i="11"/>
  <c r="AQ120" i="11"/>
  <c r="CP120" i="11"/>
  <c r="I120" i="11"/>
  <c r="BS120" i="11"/>
  <c r="AS120" i="11"/>
  <c r="C120" i="11"/>
  <c r="BX120" i="11"/>
  <c r="BQ120" i="11"/>
  <c r="AT120" i="11"/>
  <c r="BY120" i="11"/>
  <c r="CB120" i="11"/>
  <c r="BO120" i="11"/>
  <c r="CZ120" i="11"/>
  <c r="CC120" i="11"/>
  <c r="AL120" i="11"/>
  <c r="Z120" i="11"/>
  <c r="BB120" i="11"/>
  <c r="O120" i="11"/>
  <c r="CJ120" i="11"/>
  <c r="AV120" i="11"/>
  <c r="BZ120" i="11"/>
  <c r="CA120" i="11"/>
  <c r="AM120" i="11"/>
  <c r="X120" i="11"/>
  <c r="AC120" i="11"/>
  <c r="CX120" i="11"/>
  <c r="BJ120" i="11"/>
  <c r="BL120" i="11"/>
  <c r="CY120" i="11"/>
  <c r="AJ120" i="11"/>
  <c r="H120" i="11"/>
  <c r="CU120" i="11"/>
  <c r="BU120" i="11"/>
  <c r="AG120" i="11"/>
  <c r="E120" i="11"/>
  <c r="AR120" i="11"/>
  <c r="BN120" i="11"/>
  <c r="BW120" i="11"/>
  <c r="BD120" i="11"/>
  <c r="AA120" i="11"/>
  <c r="BE120" i="11"/>
  <c r="AD120" i="11"/>
  <c r="CK120" i="11"/>
  <c r="Y120" i="11"/>
  <c r="D120" i="11"/>
  <c r="CM120" i="11"/>
  <c r="AX120" i="11"/>
  <c r="CG120" i="11"/>
  <c r="BG120" i="11"/>
  <c r="Q120" i="11"/>
  <c r="CL120" i="11"/>
  <c r="V120" i="11"/>
  <c r="T120" i="11"/>
  <c r="N120" i="11"/>
  <c r="CI120" i="11"/>
  <c r="AU120" i="11"/>
  <c r="U120" i="11"/>
  <c r="B109" i="1" l="1"/>
  <c r="B108" i="1"/>
  <c r="B105" i="1"/>
  <c r="B76" i="1"/>
  <c r="CY96" i="1"/>
  <c r="CZ96" i="1"/>
  <c r="CY97" i="1"/>
  <c r="CZ97" i="1"/>
  <c r="CY98" i="1"/>
  <c r="CZ98" i="1"/>
  <c r="CY11" i="1"/>
  <c r="CZ11" i="1"/>
  <c r="CY12" i="1"/>
  <c r="CZ12" i="1"/>
  <c r="CY13" i="1"/>
  <c r="CZ13" i="1"/>
  <c r="CY14" i="1"/>
  <c r="CZ14" i="1"/>
  <c r="CY15" i="1"/>
  <c r="CZ15" i="1"/>
  <c r="CY16" i="1"/>
  <c r="CZ16" i="1"/>
  <c r="CY17" i="1"/>
  <c r="CZ17" i="1"/>
  <c r="CY18" i="1"/>
  <c r="CZ18" i="1"/>
  <c r="CY19" i="1"/>
  <c r="CZ19" i="1"/>
  <c r="B98" i="1"/>
  <c r="B11" i="1"/>
  <c r="B12" i="1"/>
  <c r="B13" i="1"/>
  <c r="B14" i="1"/>
  <c r="B78" i="1"/>
  <c r="CZ114" i="1"/>
  <c r="CY114" i="1"/>
  <c r="B114" i="1"/>
  <c r="CZ111" i="1"/>
  <c r="CY111" i="1"/>
  <c r="B111" i="1"/>
  <c r="B97" i="1"/>
  <c r="B96" i="1"/>
  <c r="B18" i="1"/>
  <c r="B17" i="1"/>
  <c r="B16" i="1"/>
  <c r="B15" i="1"/>
  <c r="B3" i="1"/>
  <c r="B53" i="3"/>
  <c r="B52" i="3"/>
  <c r="B51" i="3"/>
  <c r="B50" i="3"/>
  <c r="B49" i="3"/>
  <c r="B48" i="3"/>
  <c r="B47" i="3"/>
  <c r="B46" i="3"/>
  <c r="B45" i="3"/>
  <c r="CW1" i="21"/>
  <c r="CU1" i="21"/>
  <c r="CS1" i="21"/>
  <c r="CQ1" i="21"/>
  <c r="CO1" i="21"/>
  <c r="CM1" i="21"/>
  <c r="CK1" i="21"/>
  <c r="CI1" i="21"/>
  <c r="CG1" i="21"/>
  <c r="CE1" i="21"/>
  <c r="CC1" i="21"/>
  <c r="CA1" i="21"/>
  <c r="BY1" i="21"/>
  <c r="BW1" i="21"/>
  <c r="BU1" i="21"/>
  <c r="BS1" i="21"/>
  <c r="BQ1" i="21"/>
  <c r="BO1" i="21"/>
  <c r="BM1" i="21"/>
  <c r="BK1" i="21"/>
  <c r="BI1" i="21"/>
  <c r="BG1" i="21"/>
  <c r="BE1" i="21"/>
  <c r="BC1" i="21"/>
  <c r="BA1" i="21"/>
  <c r="AY1" i="21"/>
  <c r="AW1" i="21"/>
  <c r="AU1" i="21"/>
  <c r="AS1" i="21"/>
  <c r="AQ1" i="21"/>
  <c r="AO1" i="21"/>
  <c r="AM1" i="21"/>
  <c r="AK1" i="21"/>
  <c r="AI1" i="21"/>
  <c r="AG1" i="21"/>
  <c r="AE1" i="21"/>
  <c r="AC1" i="21"/>
  <c r="AA1" i="21"/>
  <c r="Y1" i="21"/>
  <c r="W1" i="21"/>
  <c r="U1" i="21"/>
  <c r="S1" i="21"/>
  <c r="Q1" i="21"/>
  <c r="O1" i="21"/>
  <c r="M1" i="21"/>
  <c r="K1" i="21"/>
  <c r="I1" i="21"/>
  <c r="G1" i="21"/>
  <c r="E1" i="21"/>
  <c r="C1" i="21"/>
  <c r="CW1" i="20"/>
  <c r="CU1" i="20"/>
  <c r="CS1" i="20"/>
  <c r="CQ1" i="20"/>
  <c r="CO1" i="20"/>
  <c r="CM1" i="20"/>
  <c r="CK1" i="20"/>
  <c r="CI1" i="20"/>
  <c r="CG1" i="20"/>
  <c r="CE1" i="20"/>
  <c r="CC1" i="20"/>
  <c r="CA1" i="20"/>
  <c r="BY1" i="20"/>
  <c r="BW1" i="20"/>
  <c r="BU1" i="20"/>
  <c r="BS1" i="20"/>
  <c r="BQ1" i="20"/>
  <c r="BO1" i="20"/>
  <c r="BM1" i="20"/>
  <c r="BK1" i="20"/>
  <c r="BI1" i="20"/>
  <c r="BG1" i="20"/>
  <c r="BE1" i="20"/>
  <c r="BC1" i="20"/>
  <c r="BA1" i="20"/>
  <c r="AY1" i="20"/>
  <c r="AW1" i="20"/>
  <c r="AU1" i="20"/>
  <c r="AS1" i="20"/>
  <c r="AQ1" i="20"/>
  <c r="AO1" i="20"/>
  <c r="AM1" i="20"/>
  <c r="AK1" i="20"/>
  <c r="AI1" i="20"/>
  <c r="AG1" i="20"/>
  <c r="AE1" i="20"/>
  <c r="AC1" i="20"/>
  <c r="AA1" i="20"/>
  <c r="Y1" i="20"/>
  <c r="W1" i="20"/>
  <c r="U1" i="20"/>
  <c r="S1" i="20"/>
  <c r="Q1" i="20"/>
  <c r="O1" i="20"/>
  <c r="M1" i="20"/>
  <c r="K1" i="20"/>
  <c r="I1" i="20"/>
  <c r="G1" i="20"/>
  <c r="E1" i="20"/>
  <c r="C1" i="20"/>
  <c r="CW1" i="19"/>
  <c r="CU1" i="19"/>
  <c r="CS1" i="19"/>
  <c r="CQ1" i="19"/>
  <c r="CO1" i="19"/>
  <c r="CM1" i="19"/>
  <c r="CK1" i="19"/>
  <c r="CI1" i="19"/>
  <c r="CG1" i="19"/>
  <c r="CE1" i="19"/>
  <c r="CC1" i="19"/>
  <c r="CA1" i="19"/>
  <c r="BY1" i="19"/>
  <c r="BW1" i="19"/>
  <c r="BU1" i="19"/>
  <c r="BS1" i="19"/>
  <c r="BQ1" i="19"/>
  <c r="BO1" i="19"/>
  <c r="BM1" i="19"/>
  <c r="BK1" i="19"/>
  <c r="BI1" i="19"/>
  <c r="BG1" i="19"/>
  <c r="BE1" i="19"/>
  <c r="BC1" i="19"/>
  <c r="BA1" i="19"/>
  <c r="AY1" i="19"/>
  <c r="AW1" i="19"/>
  <c r="AU1" i="19"/>
  <c r="AS1" i="19"/>
  <c r="AQ1" i="19"/>
  <c r="AO1" i="19"/>
  <c r="AM1" i="19"/>
  <c r="AK1" i="19"/>
  <c r="AI1" i="19"/>
  <c r="AG1" i="19"/>
  <c r="AE1" i="19"/>
  <c r="AC1" i="19"/>
  <c r="AA1" i="19"/>
  <c r="Y1" i="19"/>
  <c r="W1" i="19"/>
  <c r="U1" i="19"/>
  <c r="S1" i="19"/>
  <c r="Q1" i="19"/>
  <c r="O1" i="19"/>
  <c r="M1" i="19"/>
  <c r="K1" i="19"/>
  <c r="I1" i="19"/>
  <c r="G1" i="19"/>
  <c r="E1" i="19"/>
  <c r="C1" i="19"/>
  <c r="CW1" i="18"/>
  <c r="CU1" i="18"/>
  <c r="CS1" i="18"/>
  <c r="CQ1" i="18"/>
  <c r="CO1" i="18"/>
  <c r="CM1" i="18"/>
  <c r="CK1" i="18"/>
  <c r="CI1" i="18"/>
  <c r="CG1" i="18"/>
  <c r="CE1" i="18"/>
  <c r="CC1" i="18"/>
  <c r="CA1" i="18"/>
  <c r="BY1" i="18"/>
  <c r="BW1" i="18"/>
  <c r="BU1" i="18"/>
  <c r="BS1" i="18"/>
  <c r="BQ1" i="18"/>
  <c r="BO1" i="18"/>
  <c r="BM1" i="18"/>
  <c r="BK1" i="18"/>
  <c r="BI1" i="18"/>
  <c r="BG1" i="18"/>
  <c r="BE1" i="18"/>
  <c r="BC1" i="18"/>
  <c r="BA1" i="18"/>
  <c r="AY1" i="18"/>
  <c r="AW1" i="18"/>
  <c r="AU1" i="18"/>
  <c r="AS1" i="18"/>
  <c r="AQ1" i="18"/>
  <c r="AO1" i="18"/>
  <c r="AM1" i="18"/>
  <c r="AK1" i="18"/>
  <c r="AI1" i="18"/>
  <c r="AG1" i="18"/>
  <c r="AE1" i="18"/>
  <c r="AC1" i="18"/>
  <c r="AA1" i="18"/>
  <c r="Y1" i="18"/>
  <c r="W1" i="18"/>
  <c r="U1" i="18"/>
  <c r="S1" i="18"/>
  <c r="Q1" i="18"/>
  <c r="O1" i="18"/>
  <c r="M1" i="18"/>
  <c r="K1" i="18"/>
  <c r="I1" i="18"/>
  <c r="G1" i="18"/>
  <c r="E1" i="18"/>
  <c r="C1" i="18"/>
  <c r="CW1" i="17"/>
  <c r="CU1" i="17"/>
  <c r="CS1" i="17"/>
  <c r="CQ1" i="17"/>
  <c r="CO1" i="17"/>
  <c r="CM1" i="17"/>
  <c r="CK1" i="17"/>
  <c r="CI1" i="17"/>
  <c r="CG1" i="17"/>
  <c r="CE1" i="17"/>
  <c r="CC1" i="17"/>
  <c r="CA1" i="17"/>
  <c r="BY1" i="17"/>
  <c r="BW1" i="17"/>
  <c r="BU1" i="17"/>
  <c r="BS1" i="17"/>
  <c r="BQ1" i="17"/>
  <c r="BO1" i="17"/>
  <c r="BM1" i="17"/>
  <c r="BK1" i="17"/>
  <c r="BI1" i="17"/>
  <c r="BG1" i="17"/>
  <c r="BE1" i="17"/>
  <c r="BC1" i="17"/>
  <c r="BA1" i="17"/>
  <c r="AY1" i="17"/>
  <c r="AW1" i="17"/>
  <c r="AU1" i="17"/>
  <c r="AS1" i="17"/>
  <c r="AQ1" i="17"/>
  <c r="AO1" i="17"/>
  <c r="AM1" i="17"/>
  <c r="AK1" i="17"/>
  <c r="AI1" i="17"/>
  <c r="AG1" i="17"/>
  <c r="AE1" i="17"/>
  <c r="AC1" i="17"/>
  <c r="AA1" i="17"/>
  <c r="Y1" i="17"/>
  <c r="W1" i="17"/>
  <c r="U1" i="17"/>
  <c r="S1" i="17"/>
  <c r="Q1" i="17"/>
  <c r="O1" i="17"/>
  <c r="M1" i="17"/>
  <c r="K1" i="17"/>
  <c r="I1" i="17"/>
  <c r="G1" i="17"/>
  <c r="E1" i="17"/>
  <c r="C1" i="17"/>
  <c r="CW1" i="16"/>
  <c r="CU1" i="16"/>
  <c r="CS1" i="16"/>
  <c r="CQ1" i="16"/>
  <c r="CO1" i="16"/>
  <c r="CM1" i="16"/>
  <c r="CK1" i="16"/>
  <c r="CI1" i="16"/>
  <c r="CG1" i="16"/>
  <c r="CE1" i="16"/>
  <c r="CC1" i="16"/>
  <c r="CA1" i="16"/>
  <c r="BY1" i="16"/>
  <c r="BW1" i="16"/>
  <c r="BU1" i="16"/>
  <c r="BS1" i="16"/>
  <c r="BQ1" i="16"/>
  <c r="BO1" i="16"/>
  <c r="BM1" i="16"/>
  <c r="BK1" i="16"/>
  <c r="BI1" i="16"/>
  <c r="BG1" i="16"/>
  <c r="BE1" i="16"/>
  <c r="BC1" i="16"/>
  <c r="BA1" i="16"/>
  <c r="AY1" i="16"/>
  <c r="AW1" i="16"/>
  <c r="AU1" i="16"/>
  <c r="AS1" i="16"/>
  <c r="AQ1" i="16"/>
  <c r="AO1" i="16"/>
  <c r="AM1" i="16"/>
  <c r="AK1" i="16"/>
  <c r="AI1" i="16"/>
  <c r="AG1" i="16"/>
  <c r="AE1" i="16"/>
  <c r="AC1" i="16"/>
  <c r="AA1" i="16"/>
  <c r="Y1" i="16"/>
  <c r="W1" i="16"/>
  <c r="U1" i="16"/>
  <c r="S1" i="16"/>
  <c r="Q1" i="16"/>
  <c r="O1" i="16"/>
  <c r="M1" i="16"/>
  <c r="K1" i="16"/>
  <c r="I1" i="16"/>
  <c r="G1" i="16"/>
  <c r="E1" i="16"/>
  <c r="C1" i="16"/>
  <c r="CW1" i="15"/>
  <c r="CU1" i="15"/>
  <c r="CS1" i="15"/>
  <c r="CQ1" i="15"/>
  <c r="CO1" i="15"/>
  <c r="CM1" i="15"/>
  <c r="CK1" i="15"/>
  <c r="CI1" i="15"/>
  <c r="CG1" i="15"/>
  <c r="CE1" i="15"/>
  <c r="CC1" i="15"/>
  <c r="CA1" i="15"/>
  <c r="BY1" i="15"/>
  <c r="BW1" i="15"/>
  <c r="BU1" i="15"/>
  <c r="BS1" i="15"/>
  <c r="BQ1" i="15"/>
  <c r="BO1" i="15"/>
  <c r="BM1" i="15"/>
  <c r="BK1" i="15"/>
  <c r="BI1" i="15"/>
  <c r="BG1" i="15"/>
  <c r="BE1" i="15"/>
  <c r="BC1" i="15"/>
  <c r="BA1" i="15"/>
  <c r="AY1" i="15"/>
  <c r="AW1" i="15"/>
  <c r="AU1" i="15"/>
  <c r="AS1" i="15"/>
  <c r="AQ1" i="15"/>
  <c r="AO1" i="15"/>
  <c r="AM1" i="15"/>
  <c r="AK1" i="15"/>
  <c r="AI1" i="15"/>
  <c r="AG1" i="15"/>
  <c r="AE1" i="15"/>
  <c r="AC1" i="15"/>
  <c r="AA1" i="15"/>
  <c r="Y1" i="15"/>
  <c r="W1" i="15"/>
  <c r="U1" i="15"/>
  <c r="S1" i="15"/>
  <c r="Q1" i="15"/>
  <c r="O1" i="15"/>
  <c r="M1" i="15"/>
  <c r="K1" i="15"/>
  <c r="I1" i="15"/>
  <c r="G1" i="15"/>
  <c r="E1" i="15"/>
  <c r="C1" i="15"/>
  <c r="CW1" i="14"/>
  <c r="CU1" i="14"/>
  <c r="CS1" i="14"/>
  <c r="CQ1" i="14"/>
  <c r="CO1" i="14"/>
  <c r="CM1" i="14"/>
  <c r="CK1" i="14"/>
  <c r="CI1" i="14"/>
  <c r="CG1" i="14"/>
  <c r="CE1" i="14"/>
  <c r="CC1" i="14"/>
  <c r="CA1" i="14"/>
  <c r="BY1" i="14"/>
  <c r="BW1" i="14"/>
  <c r="BU1" i="14"/>
  <c r="BS1" i="14"/>
  <c r="BQ1" i="14"/>
  <c r="BO1" i="14"/>
  <c r="BM1" i="14"/>
  <c r="BK1" i="14"/>
  <c r="BI1" i="14"/>
  <c r="BG1" i="14"/>
  <c r="BE1" i="14"/>
  <c r="BC1" i="14"/>
  <c r="BA1" i="14"/>
  <c r="AY1" i="14"/>
  <c r="AW1" i="14"/>
  <c r="AU1" i="14"/>
  <c r="AS1" i="14"/>
  <c r="AQ1" i="14"/>
  <c r="AO1" i="14"/>
  <c r="AM1" i="14"/>
  <c r="AK1" i="14"/>
  <c r="AI1" i="14"/>
  <c r="AG1" i="14"/>
  <c r="AE1" i="14"/>
  <c r="AC1" i="14"/>
  <c r="AA1" i="14"/>
  <c r="Y1" i="14"/>
  <c r="W1" i="14"/>
  <c r="U1" i="14"/>
  <c r="S1" i="14"/>
  <c r="Q1" i="14"/>
  <c r="O1" i="14"/>
  <c r="M1" i="14"/>
  <c r="K1" i="14"/>
  <c r="I1" i="14"/>
  <c r="G1" i="14"/>
  <c r="E1" i="14"/>
  <c r="C1" i="14"/>
  <c r="CW1" i="13"/>
  <c r="CU1" i="13"/>
  <c r="CS1" i="13"/>
  <c r="CQ1" i="13"/>
  <c r="CO1" i="13"/>
  <c r="CM1" i="13"/>
  <c r="CK1" i="13"/>
  <c r="CI1" i="13"/>
  <c r="CG1" i="13"/>
  <c r="CE1" i="13"/>
  <c r="CC1" i="13"/>
  <c r="CA1" i="13"/>
  <c r="BY1" i="13"/>
  <c r="BW1" i="13"/>
  <c r="BU1" i="13"/>
  <c r="BS1" i="13"/>
  <c r="BQ1" i="13"/>
  <c r="BO1" i="13"/>
  <c r="BM1" i="13"/>
  <c r="BK1" i="13"/>
  <c r="BI1" i="13"/>
  <c r="BG1" i="13"/>
  <c r="BE1" i="13"/>
  <c r="BC1" i="13"/>
  <c r="BA1" i="13"/>
  <c r="AY1" i="13"/>
  <c r="AW1" i="13"/>
  <c r="AU1" i="13"/>
  <c r="AS1" i="13"/>
  <c r="AQ1" i="13"/>
  <c r="AO1" i="13"/>
  <c r="AM1" i="13"/>
  <c r="AK1" i="13"/>
  <c r="AI1" i="13"/>
  <c r="AG1" i="13"/>
  <c r="AE1" i="13"/>
  <c r="AC1" i="13"/>
  <c r="AA1" i="13"/>
  <c r="Y1" i="13"/>
  <c r="W1" i="13"/>
  <c r="U1" i="13"/>
  <c r="S1" i="13"/>
  <c r="Q1" i="13"/>
  <c r="O1" i="13"/>
  <c r="M1" i="13"/>
  <c r="K1" i="13"/>
  <c r="I1" i="13"/>
  <c r="G1" i="13"/>
  <c r="E1" i="13"/>
  <c r="C1" i="13"/>
  <c r="CW1" i="12"/>
  <c r="CU1" i="12"/>
  <c r="CS1" i="12"/>
  <c r="CQ1" i="12"/>
  <c r="CO1" i="12"/>
  <c r="CM1" i="12"/>
  <c r="CK1" i="12"/>
  <c r="CI1" i="12"/>
  <c r="CG1" i="12"/>
  <c r="CE1" i="12"/>
  <c r="CC1" i="12"/>
  <c r="CA1" i="12"/>
  <c r="BY1" i="12"/>
  <c r="BW1" i="12"/>
  <c r="BU1" i="12"/>
  <c r="BS1" i="12"/>
  <c r="BQ1" i="12"/>
  <c r="BO1" i="12"/>
  <c r="BM1" i="12"/>
  <c r="BK1" i="12"/>
  <c r="BI1" i="12"/>
  <c r="BG1" i="12"/>
  <c r="BE1" i="12"/>
  <c r="BC1" i="12"/>
  <c r="BA1" i="12"/>
  <c r="AY1" i="12"/>
  <c r="AW1" i="12"/>
  <c r="AU1" i="12"/>
  <c r="AS1" i="12"/>
  <c r="AQ1" i="12"/>
  <c r="AO1" i="12"/>
  <c r="AM1" i="12"/>
  <c r="AK1" i="12"/>
  <c r="AI1" i="12"/>
  <c r="AG1" i="12"/>
  <c r="AE1" i="12"/>
  <c r="AC1" i="12"/>
  <c r="AA1" i="12"/>
  <c r="Y1" i="12"/>
  <c r="W1" i="12"/>
  <c r="U1" i="12"/>
  <c r="S1" i="12"/>
  <c r="Q1" i="12"/>
  <c r="O1" i="12"/>
  <c r="M1" i="12"/>
  <c r="K1" i="12"/>
  <c r="I1" i="12"/>
  <c r="G1" i="12"/>
  <c r="E1" i="12"/>
  <c r="C1" i="12"/>
  <c r="CW1" i="11"/>
  <c r="CU1" i="11"/>
  <c r="CS1" i="11"/>
  <c r="CQ1" i="11"/>
  <c r="CO1" i="11"/>
  <c r="CM1" i="11"/>
  <c r="CK1" i="11"/>
  <c r="CI1" i="11"/>
  <c r="CG1" i="11"/>
  <c r="CE1" i="11"/>
  <c r="CC1" i="11"/>
  <c r="CA1" i="11"/>
  <c r="BY1" i="11"/>
  <c r="BW1" i="11"/>
  <c r="BU1" i="11"/>
  <c r="BS1" i="11"/>
  <c r="BQ1" i="11"/>
  <c r="BO1" i="11"/>
  <c r="BM1" i="11"/>
  <c r="BK1" i="11"/>
  <c r="BI1" i="11"/>
  <c r="BG1" i="11"/>
  <c r="BE1" i="11"/>
  <c r="BC1" i="11"/>
  <c r="BA1" i="11"/>
  <c r="AY1" i="11"/>
  <c r="AW1" i="11"/>
  <c r="AU1" i="11"/>
  <c r="AS1" i="11"/>
  <c r="AQ1" i="11"/>
  <c r="AO1" i="11"/>
  <c r="AM1" i="11"/>
  <c r="AK1" i="11"/>
  <c r="AI1" i="11"/>
  <c r="AG1" i="11"/>
  <c r="AE1" i="11"/>
  <c r="AC1" i="11"/>
  <c r="AA1" i="11"/>
  <c r="Y1" i="11"/>
  <c r="W1" i="11"/>
  <c r="U1" i="11"/>
  <c r="S1" i="11"/>
  <c r="Q1" i="11"/>
  <c r="O1" i="11"/>
  <c r="M1" i="11"/>
  <c r="K1" i="11"/>
  <c r="I1" i="11"/>
  <c r="G1" i="11"/>
  <c r="E1" i="11"/>
  <c r="C1" i="11"/>
  <c r="B4" i="1"/>
  <c r="B5" i="1"/>
  <c r="B6" i="1"/>
  <c r="B7" i="1"/>
  <c r="B8" i="1"/>
  <c r="B9" i="1"/>
  <c r="B19" i="1"/>
  <c r="B21" i="1"/>
  <c r="B22" i="1"/>
  <c r="B23" i="1"/>
  <c r="B25" i="1"/>
  <c r="B26" i="1"/>
  <c r="B28" i="1"/>
  <c r="B29" i="1"/>
  <c r="B30" i="1"/>
  <c r="B31" i="1"/>
  <c r="B32" i="1"/>
  <c r="B33" i="1"/>
  <c r="B35" i="1"/>
  <c r="B36" i="1"/>
  <c r="B38" i="1"/>
  <c r="B39" i="1"/>
  <c r="B41" i="1"/>
  <c r="B42" i="1"/>
  <c r="B43" i="1"/>
  <c r="B44" i="1"/>
  <c r="B45" i="1"/>
  <c r="B46" i="1"/>
  <c r="B48" i="1"/>
  <c r="B50" i="1"/>
  <c r="B51" i="1"/>
  <c r="B52" i="1"/>
  <c r="B54" i="1"/>
  <c r="B55" i="1"/>
  <c r="B56" i="1"/>
  <c r="B57" i="1"/>
  <c r="B58" i="1"/>
  <c r="B61" i="1"/>
  <c r="B62" i="1"/>
  <c r="B63" i="1"/>
  <c r="B64" i="1"/>
  <c r="B65" i="1"/>
  <c r="B66" i="1"/>
  <c r="B67" i="1"/>
  <c r="B68" i="1"/>
  <c r="B69" i="1"/>
  <c r="B70" i="1"/>
  <c r="B72" i="1"/>
  <c r="B73" i="1"/>
  <c r="B74" i="1"/>
  <c r="B75" i="1"/>
  <c r="B77" i="1"/>
  <c r="B80" i="1"/>
  <c r="B82" i="1"/>
  <c r="B83" i="1"/>
  <c r="B84" i="1"/>
  <c r="B85" i="1"/>
  <c r="B86" i="1"/>
  <c r="B87" i="1"/>
  <c r="B89" i="1"/>
  <c r="B90" i="1"/>
  <c r="B91" i="1"/>
  <c r="B93" i="1"/>
  <c r="B94" i="1"/>
  <c r="B100" i="1"/>
  <c r="B101" i="1"/>
  <c r="B102" i="1"/>
  <c r="B103" i="1"/>
  <c r="B106" i="1"/>
  <c r="B107" i="1"/>
  <c r="B104" i="1"/>
  <c r="B116" i="1"/>
  <c r="B117" i="1"/>
  <c r="B118" i="1"/>
  <c r="CZ87" i="1"/>
  <c r="CY87" i="1"/>
  <c r="CZ51" i="1"/>
  <c r="CY51" i="1"/>
  <c r="CZ7" i="1"/>
  <c r="CY7" i="1"/>
  <c r="CZ48" i="1"/>
  <c r="CY48" i="1"/>
  <c r="CY77" i="1"/>
  <c r="CZ77" i="1"/>
  <c r="CZ86" i="1"/>
  <c r="CY86" i="1"/>
  <c r="AL20" i="1" l="1"/>
  <c r="AI20" i="1"/>
  <c r="AJ20" i="1"/>
  <c r="J20" i="1"/>
  <c r="G20" i="1"/>
  <c r="I20" i="1"/>
  <c r="AR20" i="1"/>
  <c r="M20" i="1"/>
  <c r="N20" i="1"/>
  <c r="O20" i="1"/>
  <c r="P20" i="1"/>
  <c r="BJ20" i="1"/>
  <c r="BV20" i="1"/>
  <c r="BI20" i="1"/>
  <c r="AK20" i="1"/>
  <c r="AU20" i="1"/>
  <c r="AM20" i="1"/>
  <c r="AN20" i="1"/>
  <c r="AO20" i="1"/>
  <c r="AP20" i="1"/>
  <c r="AQ20" i="1"/>
  <c r="AS20" i="1"/>
  <c r="AT20" i="1"/>
  <c r="AV20" i="1"/>
  <c r="H20" i="1"/>
  <c r="AD20" i="1"/>
  <c r="CB20" i="1"/>
  <c r="CA20" i="1"/>
  <c r="AB20" i="1"/>
  <c r="AA20" i="1"/>
  <c r="Y20" i="1"/>
  <c r="BU20" i="1"/>
  <c r="AC20" i="1"/>
  <c r="Z20" i="1"/>
  <c r="AJ115" i="1"/>
  <c r="J115" i="1"/>
  <c r="CA115" i="1"/>
  <c r="Y115" i="1"/>
  <c r="P115" i="1"/>
  <c r="O115" i="1"/>
  <c r="N115" i="1"/>
  <c r="CB115" i="1"/>
  <c r="I115" i="1"/>
  <c r="BV115" i="1"/>
  <c r="BU115" i="1"/>
  <c r="G115" i="1"/>
  <c r="H115" i="1"/>
  <c r="M115" i="1"/>
  <c r="AI115" i="1"/>
  <c r="Z115" i="1"/>
  <c r="AA115" i="1"/>
  <c r="AB115" i="1"/>
  <c r="AC115" i="1"/>
  <c r="AD115" i="1"/>
  <c r="M99" i="1"/>
  <c r="G99" i="1"/>
  <c r="BV99" i="1"/>
  <c r="BU99" i="1"/>
  <c r="H99" i="1"/>
  <c r="AL99" i="1"/>
  <c r="AO99" i="1"/>
  <c r="AQ99" i="1"/>
  <c r="AS99" i="1"/>
  <c r="AT99" i="1"/>
  <c r="BJ99" i="1"/>
  <c r="AU99" i="1"/>
  <c r="BI99" i="1"/>
  <c r="I99" i="1"/>
  <c r="AV99" i="1"/>
  <c r="AJ99" i="1"/>
  <c r="AI99" i="1"/>
  <c r="AP99" i="1"/>
  <c r="AM99" i="1"/>
  <c r="AK99" i="1"/>
  <c r="Y99" i="1"/>
  <c r="Z99" i="1"/>
  <c r="AA99" i="1"/>
  <c r="AB99" i="1"/>
  <c r="AC99" i="1"/>
  <c r="AD99" i="1"/>
  <c r="J99" i="1"/>
  <c r="CB99" i="1"/>
  <c r="CA99" i="1"/>
  <c r="P99" i="1"/>
  <c r="O99" i="1"/>
  <c r="N99" i="1"/>
  <c r="AN99" i="1"/>
  <c r="AT10" i="1"/>
  <c r="AB10" i="1"/>
  <c r="BI10" i="1"/>
  <c r="AC10" i="1"/>
  <c r="AD10" i="1"/>
  <c r="BV10" i="1"/>
  <c r="M10" i="1"/>
  <c r="CA10" i="1"/>
  <c r="CB10" i="1"/>
  <c r="BU10" i="1"/>
  <c r="G10" i="1"/>
  <c r="H10" i="1"/>
  <c r="AS10" i="1"/>
  <c r="AR10" i="1"/>
  <c r="AQ10" i="1"/>
  <c r="AP10" i="1"/>
  <c r="P10" i="1"/>
  <c r="O10" i="1"/>
  <c r="N10" i="1"/>
  <c r="Y10" i="1"/>
  <c r="AO10" i="1"/>
  <c r="AN10" i="1"/>
  <c r="Z10" i="1"/>
  <c r="I10" i="1"/>
  <c r="AM10" i="1"/>
  <c r="AI10" i="1"/>
  <c r="J10" i="1"/>
  <c r="AV10" i="1"/>
  <c r="AA10" i="1"/>
  <c r="BJ10" i="1"/>
  <c r="AJ10" i="1"/>
  <c r="AU10" i="1"/>
  <c r="AK10" i="1"/>
  <c r="AL10" i="1"/>
  <c r="AC24" i="1"/>
  <c r="AB24" i="1"/>
  <c r="AA24" i="1"/>
  <c r="Z24" i="1"/>
  <c r="Y24" i="1"/>
  <c r="G24" i="1"/>
  <c r="BV24" i="1"/>
  <c r="BU24" i="1"/>
  <c r="H24" i="1"/>
  <c r="AV24" i="1"/>
  <c r="AT24" i="1"/>
  <c r="P24" i="1"/>
  <c r="O24" i="1"/>
  <c r="N24" i="1"/>
  <c r="M24" i="1"/>
  <c r="AS24" i="1"/>
  <c r="AR24" i="1"/>
  <c r="AQ24" i="1"/>
  <c r="AP24" i="1"/>
  <c r="AO24" i="1"/>
  <c r="AN24" i="1"/>
  <c r="AM24" i="1"/>
  <c r="AL24" i="1"/>
  <c r="AK24" i="1"/>
  <c r="J24" i="1"/>
  <c r="I24" i="1"/>
  <c r="AU24" i="1"/>
  <c r="AJ24" i="1"/>
  <c r="CB24" i="1"/>
  <c r="CA24" i="1"/>
  <c r="AI24" i="1"/>
  <c r="BI24" i="1"/>
  <c r="BJ24" i="1"/>
  <c r="AD24" i="1"/>
  <c r="AQ27" i="1"/>
  <c r="AR27" i="1"/>
  <c r="AS27" i="1"/>
  <c r="AU27" i="1"/>
  <c r="AA27" i="1"/>
  <c r="BU27" i="1"/>
  <c r="P27" i="1"/>
  <c r="AT27" i="1"/>
  <c r="H27" i="1"/>
  <c r="AP27" i="1"/>
  <c r="AB27" i="1"/>
  <c r="BI27" i="1"/>
  <c r="BJ27" i="1"/>
  <c r="AK27" i="1"/>
  <c r="AC27" i="1"/>
  <c r="AO27" i="1"/>
  <c r="AN27" i="1"/>
  <c r="M27" i="1"/>
  <c r="N27" i="1"/>
  <c r="AD27" i="1"/>
  <c r="AM27" i="1"/>
  <c r="AI27" i="1"/>
  <c r="BV27" i="1"/>
  <c r="AL27" i="1"/>
  <c r="O27" i="1"/>
  <c r="I27" i="1"/>
  <c r="CB27" i="1"/>
  <c r="CA27" i="1"/>
  <c r="AJ27" i="1"/>
  <c r="J27" i="1"/>
  <c r="Y27" i="1"/>
  <c r="Z27" i="1"/>
  <c r="G27" i="1"/>
  <c r="AV27" i="1"/>
  <c r="AU34" i="1"/>
  <c r="AJ34" i="1"/>
  <c r="BI34" i="1"/>
  <c r="BJ34" i="1"/>
  <c r="BV34" i="1"/>
  <c r="CB34" i="1"/>
  <c r="CA34" i="1"/>
  <c r="AI34" i="1"/>
  <c r="AK34" i="1"/>
  <c r="BU34" i="1"/>
  <c r="Z34" i="1"/>
  <c r="AN34" i="1"/>
  <c r="AT34" i="1"/>
  <c r="AP34" i="1"/>
  <c r="AR34" i="1"/>
  <c r="AV34" i="1"/>
  <c r="AA34" i="1"/>
  <c r="Y34" i="1"/>
  <c r="AC34" i="1"/>
  <c r="AD34" i="1"/>
  <c r="P34" i="1"/>
  <c r="O34" i="1"/>
  <c r="N34" i="1"/>
  <c r="M34" i="1"/>
  <c r="AB34" i="1"/>
  <c r="I34" i="1"/>
  <c r="J34" i="1"/>
  <c r="H34" i="1"/>
  <c r="AL34" i="1"/>
  <c r="AM34" i="1"/>
  <c r="G34" i="1"/>
  <c r="AS34" i="1"/>
  <c r="AO34" i="1"/>
  <c r="AQ34" i="1"/>
  <c r="AN37" i="1"/>
  <c r="AL37" i="1"/>
  <c r="CA37" i="1"/>
  <c r="CB37" i="1"/>
  <c r="AJ37" i="1"/>
  <c r="AD37" i="1"/>
  <c r="AC37" i="1"/>
  <c r="BJ37" i="1"/>
  <c r="BI37" i="1"/>
  <c r="AU37" i="1"/>
  <c r="N37" i="1"/>
  <c r="H37" i="1"/>
  <c r="M37" i="1"/>
  <c r="AQ37" i="1"/>
  <c r="AM37" i="1"/>
  <c r="J37" i="1"/>
  <c r="AS37" i="1"/>
  <c r="P37" i="1"/>
  <c r="I37" i="1"/>
  <c r="Y37" i="1"/>
  <c r="Z37" i="1"/>
  <c r="AA37" i="1"/>
  <c r="AV37" i="1"/>
  <c r="AR37" i="1"/>
  <c r="AO37" i="1"/>
  <c r="G37" i="1"/>
  <c r="AK37" i="1"/>
  <c r="O37" i="1"/>
  <c r="AT37" i="1"/>
  <c r="AP37" i="1"/>
  <c r="AB37" i="1"/>
  <c r="BV37" i="1"/>
  <c r="BU37" i="1"/>
  <c r="AI37" i="1"/>
  <c r="AL40" i="1"/>
  <c r="AO40" i="1"/>
  <c r="AB40" i="1"/>
  <c r="AA40" i="1"/>
  <c r="Z40" i="1"/>
  <c r="AS40" i="1"/>
  <c r="Y40" i="1"/>
  <c r="AI40" i="1"/>
  <c r="BU40" i="1"/>
  <c r="BV40" i="1"/>
  <c r="CB40" i="1"/>
  <c r="CA40" i="1"/>
  <c r="G40" i="1"/>
  <c r="AJ40" i="1"/>
  <c r="AU40" i="1"/>
  <c r="AQ40" i="1"/>
  <c r="AK40" i="1"/>
  <c r="AD40" i="1"/>
  <c r="I40" i="1"/>
  <c r="J40" i="1"/>
  <c r="AT40" i="1"/>
  <c r="AP40" i="1"/>
  <c r="AM40" i="1"/>
  <c r="H40" i="1"/>
  <c r="P40" i="1"/>
  <c r="O40" i="1"/>
  <c r="N40" i="1"/>
  <c r="M40" i="1"/>
  <c r="AV40" i="1"/>
  <c r="AR40" i="1"/>
  <c r="AN40" i="1"/>
  <c r="AC40" i="1"/>
  <c r="BI40" i="1"/>
  <c r="BJ40" i="1"/>
  <c r="BV47" i="1"/>
  <c r="AQ47" i="1"/>
  <c r="AN47" i="1"/>
  <c r="AK47" i="1"/>
  <c r="AR47" i="1"/>
  <c r="AV47" i="1"/>
  <c r="CA47" i="1"/>
  <c r="BI47" i="1"/>
  <c r="H47" i="1"/>
  <c r="AJ47" i="1"/>
  <c r="G47" i="1"/>
  <c r="AB47" i="1"/>
  <c r="M47" i="1"/>
  <c r="I47" i="1"/>
  <c r="AA47" i="1"/>
  <c r="CB47" i="1"/>
  <c r="J47" i="1"/>
  <c r="AU47" i="1"/>
  <c r="AC47" i="1"/>
  <c r="N47" i="1"/>
  <c r="AS47" i="1"/>
  <c r="O47" i="1"/>
  <c r="AO47" i="1"/>
  <c r="P47" i="1"/>
  <c r="AT47" i="1"/>
  <c r="Z47" i="1"/>
  <c r="BJ47" i="1"/>
  <c r="AI47" i="1"/>
  <c r="AP47" i="1"/>
  <c r="AM47" i="1"/>
  <c r="AD47" i="1"/>
  <c r="Y47" i="1"/>
  <c r="AL47" i="1"/>
  <c r="BU47" i="1"/>
  <c r="CQ49" i="1"/>
  <c r="AI49" i="1"/>
  <c r="CA49" i="1"/>
  <c r="AM49" i="1"/>
  <c r="AU49" i="1"/>
  <c r="AS49" i="1"/>
  <c r="AB49" i="1"/>
  <c r="CB49" i="1"/>
  <c r="AQ49" i="1"/>
  <c r="AL49" i="1"/>
  <c r="AA49" i="1"/>
  <c r="BJ49" i="1"/>
  <c r="BI49" i="1"/>
  <c r="AN49" i="1"/>
  <c r="AD49" i="1"/>
  <c r="Y49" i="1"/>
  <c r="AC49" i="1"/>
  <c r="BV49" i="1"/>
  <c r="I49" i="1"/>
  <c r="J49" i="1"/>
  <c r="AP49" i="1"/>
  <c r="AT49" i="1"/>
  <c r="G49" i="1"/>
  <c r="AV49" i="1"/>
  <c r="AR49" i="1"/>
  <c r="AO49" i="1"/>
  <c r="AK49" i="1"/>
  <c r="AJ49" i="1"/>
  <c r="Z49" i="1"/>
  <c r="H49" i="1"/>
  <c r="BU49" i="1"/>
  <c r="M49" i="1"/>
  <c r="N49" i="1"/>
  <c r="O49" i="1"/>
  <c r="P49" i="1"/>
  <c r="AI53" i="1"/>
  <c r="H53" i="1"/>
  <c r="G53" i="1"/>
  <c r="AT53" i="1"/>
  <c r="AJ53" i="1"/>
  <c r="CA53" i="1"/>
  <c r="CB53" i="1"/>
  <c r="AV53" i="1"/>
  <c r="AK53" i="1"/>
  <c r="AP53" i="1"/>
  <c r="AR53" i="1"/>
  <c r="AU53" i="1"/>
  <c r="P53" i="1"/>
  <c r="I53" i="1"/>
  <c r="J53" i="1"/>
  <c r="O53" i="1"/>
  <c r="N53" i="1"/>
  <c r="BJ53" i="1"/>
  <c r="AS53" i="1"/>
  <c r="AN53" i="1"/>
  <c r="BI53" i="1"/>
  <c r="Y53" i="1"/>
  <c r="BU53" i="1"/>
  <c r="BV53" i="1"/>
  <c r="AA53" i="1"/>
  <c r="AO53" i="1"/>
  <c r="AL53" i="1"/>
  <c r="AM53" i="1"/>
  <c r="Z53" i="1"/>
  <c r="AB53" i="1"/>
  <c r="AC53" i="1"/>
  <c r="AD53" i="1"/>
  <c r="M53" i="1"/>
  <c r="AQ53" i="1"/>
  <c r="AR59" i="1"/>
  <c r="AQ59" i="1"/>
  <c r="AA59" i="1"/>
  <c r="AB59" i="1"/>
  <c r="G59" i="1"/>
  <c r="N59" i="1"/>
  <c r="AP59" i="1"/>
  <c r="AO59" i="1"/>
  <c r="AV59" i="1"/>
  <c r="Y59" i="1"/>
  <c r="I59" i="1"/>
  <c r="J59" i="1"/>
  <c r="Z59" i="1"/>
  <c r="BV59" i="1"/>
  <c r="H59" i="1"/>
  <c r="P59" i="1"/>
  <c r="AS59" i="1"/>
  <c r="AI59" i="1"/>
  <c r="AJ59" i="1"/>
  <c r="BU59" i="1"/>
  <c r="CB59" i="1"/>
  <c r="BI59" i="1"/>
  <c r="BJ59" i="1"/>
  <c r="AN59" i="1"/>
  <c r="M59" i="1"/>
  <c r="AC59" i="1"/>
  <c r="AD59" i="1"/>
  <c r="O59" i="1"/>
  <c r="AT59" i="1"/>
  <c r="CA59" i="1"/>
  <c r="AM59" i="1"/>
  <c r="AL59" i="1"/>
  <c r="AK59" i="1"/>
  <c r="AU59" i="1"/>
  <c r="CP71" i="1"/>
  <c r="CX71" i="1"/>
  <c r="CW71" i="1"/>
  <c r="CV71" i="1"/>
  <c r="CU71" i="1"/>
  <c r="CT71" i="1"/>
  <c r="CS71" i="1"/>
  <c r="CR71" i="1"/>
  <c r="CQ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BZ71" i="1"/>
  <c r="BY71" i="1"/>
  <c r="BX71" i="1"/>
  <c r="BW71" i="1"/>
  <c r="BT71" i="1"/>
  <c r="BS71" i="1"/>
  <c r="BR71" i="1"/>
  <c r="BQ71" i="1"/>
  <c r="BP71" i="1"/>
  <c r="BO71" i="1"/>
  <c r="BN71" i="1"/>
  <c r="BM71" i="1"/>
  <c r="BL71" i="1"/>
  <c r="BK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H71" i="1"/>
  <c r="AG71" i="1"/>
  <c r="AF71" i="1"/>
  <c r="AE71" i="1"/>
  <c r="X71" i="1"/>
  <c r="W71" i="1"/>
  <c r="V71" i="1"/>
  <c r="U71" i="1"/>
  <c r="T71" i="1"/>
  <c r="S71" i="1"/>
  <c r="R71" i="1"/>
  <c r="Q71" i="1"/>
  <c r="L71" i="1"/>
  <c r="K71" i="1"/>
  <c r="F71" i="1"/>
  <c r="E71" i="1"/>
  <c r="D71" i="1"/>
  <c r="C71" i="1"/>
  <c r="CB71" i="1"/>
  <c r="CA71" i="1"/>
  <c r="M71" i="1"/>
  <c r="P71" i="1"/>
  <c r="O71" i="1"/>
  <c r="J71" i="1"/>
  <c r="I71" i="1"/>
  <c r="N71" i="1"/>
  <c r="BV71" i="1"/>
  <c r="BU71" i="1"/>
  <c r="AJ71" i="1"/>
  <c r="AI71" i="1"/>
  <c r="AD71" i="1"/>
  <c r="AC71" i="1"/>
  <c r="AB71" i="1"/>
  <c r="AA71" i="1"/>
  <c r="Z71" i="1"/>
  <c r="Y71" i="1"/>
  <c r="H71" i="1"/>
  <c r="G71" i="1"/>
  <c r="BJ71" i="1"/>
  <c r="BI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B79" i="1"/>
  <c r="G79" i="1"/>
  <c r="H79" i="1"/>
  <c r="I79" i="1"/>
  <c r="AK79" i="1"/>
  <c r="BV79" i="1"/>
  <c r="AL79" i="1"/>
  <c r="AC79" i="1"/>
  <c r="M79" i="1"/>
  <c r="AA79" i="1"/>
  <c r="AM79" i="1"/>
  <c r="BI79" i="1"/>
  <c r="BJ79" i="1"/>
  <c r="N79" i="1"/>
  <c r="AN79" i="1"/>
  <c r="AO79" i="1"/>
  <c r="AP79" i="1"/>
  <c r="AQ79" i="1"/>
  <c r="O79" i="1"/>
  <c r="Z79" i="1"/>
  <c r="AR79" i="1"/>
  <c r="AS79" i="1"/>
  <c r="CA79" i="1"/>
  <c r="CB79" i="1"/>
  <c r="J79" i="1"/>
  <c r="Y79" i="1"/>
  <c r="AT79" i="1"/>
  <c r="AU79" i="1"/>
  <c r="AJ79" i="1"/>
  <c r="AI79" i="1"/>
  <c r="AV79" i="1"/>
  <c r="P79" i="1"/>
  <c r="BU79" i="1"/>
  <c r="AD79" i="1"/>
  <c r="BT81" i="1"/>
  <c r="AQ81" i="1"/>
  <c r="N81" i="1"/>
  <c r="P81" i="1"/>
  <c r="J81" i="1"/>
  <c r="AJ81" i="1"/>
  <c r="AR81" i="1"/>
  <c r="AS81" i="1"/>
  <c r="AI81" i="1"/>
  <c r="AU81" i="1"/>
  <c r="AV81" i="1"/>
  <c r="O81" i="1"/>
  <c r="CA81" i="1"/>
  <c r="CB81" i="1"/>
  <c r="G81" i="1"/>
  <c r="H81" i="1"/>
  <c r="I81" i="1"/>
  <c r="M81" i="1"/>
  <c r="Y81" i="1"/>
  <c r="AT81" i="1"/>
  <c r="BU81" i="1"/>
  <c r="BJ81" i="1"/>
  <c r="BI81" i="1"/>
  <c r="Z81" i="1"/>
  <c r="AA81" i="1"/>
  <c r="AB81" i="1"/>
  <c r="AC81" i="1"/>
  <c r="AD81" i="1"/>
  <c r="BV81" i="1"/>
  <c r="AP81" i="1"/>
  <c r="AO81" i="1"/>
  <c r="AN81" i="1"/>
  <c r="AM81" i="1"/>
  <c r="AL81" i="1"/>
  <c r="AK81" i="1"/>
  <c r="AT88" i="1"/>
  <c r="Y88" i="1"/>
  <c r="Z88" i="1"/>
  <c r="AA88" i="1"/>
  <c r="AB88" i="1"/>
  <c r="AC88" i="1"/>
  <c r="AD88" i="1"/>
  <c r="AR88" i="1"/>
  <c r="AQ88" i="1"/>
  <c r="AP88" i="1"/>
  <c r="AU88" i="1"/>
  <c r="BU88" i="1"/>
  <c r="G88" i="1"/>
  <c r="AJ88" i="1"/>
  <c r="AI88" i="1"/>
  <c r="AS88" i="1"/>
  <c r="H88" i="1"/>
  <c r="BI88" i="1"/>
  <c r="M88" i="1"/>
  <c r="BJ88" i="1"/>
  <c r="N88" i="1"/>
  <c r="BV88" i="1"/>
  <c r="CB88" i="1"/>
  <c r="CA88" i="1"/>
  <c r="AO88" i="1"/>
  <c r="AV88" i="1"/>
  <c r="AN88" i="1"/>
  <c r="AM88" i="1"/>
  <c r="AL88" i="1"/>
  <c r="AK88" i="1"/>
  <c r="P88" i="1"/>
  <c r="J88" i="1"/>
  <c r="O88" i="1"/>
  <c r="I88" i="1"/>
  <c r="BV92" i="1"/>
  <c r="AT92" i="1"/>
  <c r="AQ92" i="1"/>
  <c r="AN92" i="1"/>
  <c r="AK92" i="1"/>
  <c r="AI92" i="1"/>
  <c r="AJ92" i="1"/>
  <c r="AU92" i="1"/>
  <c r="AS92" i="1"/>
  <c r="AP92" i="1"/>
  <c r="AM92" i="1"/>
  <c r="BU92" i="1"/>
  <c r="M92" i="1"/>
  <c r="J92" i="1"/>
  <c r="N92" i="1"/>
  <c r="O92" i="1"/>
  <c r="CA92" i="1"/>
  <c r="CB92" i="1"/>
  <c r="G92" i="1"/>
  <c r="H92" i="1"/>
  <c r="BJ92" i="1"/>
  <c r="BI92" i="1"/>
  <c r="Y92" i="1"/>
  <c r="Z92" i="1"/>
  <c r="AV92" i="1"/>
  <c r="AR92" i="1"/>
  <c r="AO92" i="1"/>
  <c r="AL92" i="1"/>
  <c r="AA92" i="1"/>
  <c r="AB92" i="1"/>
  <c r="AC92" i="1"/>
  <c r="P92" i="1"/>
  <c r="AD92" i="1"/>
  <c r="I92" i="1"/>
  <c r="AQ95" i="1"/>
  <c r="CA95" i="1"/>
  <c r="N95" i="1"/>
  <c r="Z95" i="1"/>
  <c r="Y95" i="1"/>
  <c r="AM95" i="1"/>
  <c r="AP95" i="1"/>
  <c r="AU95" i="1"/>
  <c r="AV95" i="1"/>
  <c r="AN95" i="1"/>
  <c r="AL95" i="1"/>
  <c r="AO95" i="1"/>
  <c r="AT95" i="1"/>
  <c r="AD95" i="1"/>
  <c r="O95" i="1"/>
  <c r="AS95" i="1"/>
  <c r="AR95" i="1"/>
  <c r="AC95" i="1"/>
  <c r="BI95" i="1"/>
  <c r="BU95" i="1"/>
  <c r="BV95" i="1"/>
  <c r="P95" i="1"/>
  <c r="AB95" i="1"/>
  <c r="BJ95" i="1"/>
  <c r="J95" i="1"/>
  <c r="AA95" i="1"/>
  <c r="CB95" i="1"/>
  <c r="D95" i="1"/>
  <c r="AK95" i="1"/>
  <c r="AI95" i="1"/>
  <c r="H95" i="1"/>
  <c r="G95" i="1"/>
  <c r="AJ95" i="1"/>
  <c r="I95" i="1"/>
  <c r="M95" i="1"/>
  <c r="AU110" i="1"/>
  <c r="AV110" i="1"/>
  <c r="Y110" i="1"/>
  <c r="AJ110" i="1"/>
  <c r="BU110" i="1"/>
  <c r="BV110" i="1"/>
  <c r="BI110" i="1"/>
  <c r="BJ110" i="1"/>
  <c r="H110" i="1"/>
  <c r="G110" i="1"/>
  <c r="CB110" i="1"/>
  <c r="CA110" i="1"/>
  <c r="AA110" i="1"/>
  <c r="AB110" i="1"/>
  <c r="AC110" i="1"/>
  <c r="AD110" i="1"/>
  <c r="M110" i="1"/>
  <c r="P110" i="1"/>
  <c r="AQ110" i="1"/>
  <c r="AR110" i="1"/>
  <c r="AS110" i="1"/>
  <c r="AT110" i="1"/>
  <c r="Z110" i="1"/>
  <c r="O110" i="1"/>
  <c r="N110" i="1"/>
  <c r="I110" i="1"/>
  <c r="AI110" i="1"/>
  <c r="AP110" i="1"/>
  <c r="AO110" i="1"/>
  <c r="AN110" i="1"/>
  <c r="AM110" i="1"/>
  <c r="AL110" i="1"/>
  <c r="AK110" i="1"/>
  <c r="J110" i="1"/>
  <c r="D14" i="22"/>
  <c r="C9" i="22"/>
  <c r="D9" i="22"/>
  <c r="E14" i="22"/>
  <c r="E9" i="22"/>
  <c r="H9" i="22"/>
  <c r="H14" i="22"/>
  <c r="H20" i="22"/>
  <c r="I9" i="22"/>
  <c r="K20" i="22"/>
  <c r="M9" i="22"/>
  <c r="M20" i="22"/>
  <c r="M14" i="22"/>
  <c r="M7" i="22"/>
  <c r="L14" i="22"/>
  <c r="L20" i="22"/>
  <c r="L7" i="22"/>
  <c r="K14" i="22"/>
  <c r="K9" i="22"/>
  <c r="K7" i="22"/>
  <c r="J14" i="22"/>
  <c r="J7" i="22"/>
  <c r="J20" i="22"/>
  <c r="I20" i="22"/>
  <c r="I14" i="22"/>
  <c r="I7" i="22"/>
  <c r="H7" i="22"/>
  <c r="G9" i="22"/>
  <c r="G20" i="22"/>
  <c r="G14" i="22"/>
  <c r="G7" i="22"/>
  <c r="F9" i="22"/>
  <c r="F20" i="22"/>
  <c r="F14" i="22"/>
  <c r="F7" i="22"/>
  <c r="E20" i="22"/>
  <c r="E7" i="22"/>
  <c r="D20" i="22"/>
  <c r="D7" i="22"/>
  <c r="C14" i="22"/>
  <c r="C20" i="22"/>
  <c r="C7" i="22"/>
  <c r="E5" i="22"/>
  <c r="J6" i="22"/>
  <c r="L22" i="22"/>
  <c r="F21" i="22"/>
  <c r="K8" i="22"/>
  <c r="M5" i="22"/>
  <c r="K6" i="22"/>
  <c r="I22" i="22"/>
  <c r="K22" i="22"/>
  <c r="L3" i="22"/>
  <c r="J21" i="22"/>
  <c r="G5" i="22"/>
  <c r="E6" i="22"/>
  <c r="I10" i="22"/>
  <c r="C5" i="22"/>
  <c r="C12" i="22"/>
  <c r="C22" i="22"/>
  <c r="D21" i="22"/>
  <c r="H4" i="22"/>
  <c r="H19" i="22"/>
  <c r="H6" i="22"/>
  <c r="G15" i="22"/>
  <c r="E4" i="22"/>
  <c r="G10" i="22"/>
  <c r="I21" i="22"/>
  <c r="F10" i="22"/>
  <c r="J22" i="22"/>
  <c r="F19" i="22"/>
  <c r="M4" i="22"/>
  <c r="L11" i="22"/>
  <c r="C8" i="22"/>
  <c r="M10" i="22"/>
  <c r="M11" i="22"/>
  <c r="M6" i="22"/>
  <c r="M15" i="22"/>
  <c r="M18" i="22"/>
  <c r="M19" i="22"/>
  <c r="M21" i="22"/>
  <c r="M17" i="22"/>
  <c r="M8" i="22"/>
  <c r="M3" i="22"/>
  <c r="M12" i="22"/>
  <c r="M16" i="22"/>
  <c r="M22" i="22"/>
  <c r="M13" i="22"/>
  <c r="L5" i="22"/>
  <c r="L6" i="22"/>
  <c r="L17" i="22"/>
  <c r="L10" i="22"/>
  <c r="L21" i="22"/>
  <c r="L4" i="22"/>
  <c r="L13" i="22"/>
  <c r="L19" i="22"/>
  <c r="L12" i="22"/>
  <c r="L15" i="22"/>
  <c r="L8" i="22"/>
  <c r="L16" i="22"/>
  <c r="L18" i="22"/>
  <c r="K19" i="22"/>
  <c r="K4" i="22"/>
  <c r="K17" i="22"/>
  <c r="K11" i="22"/>
  <c r="K21" i="22"/>
  <c r="K15" i="22"/>
  <c r="K16" i="22"/>
  <c r="K5" i="22"/>
  <c r="K12" i="22"/>
  <c r="K18" i="22"/>
  <c r="K10" i="22"/>
  <c r="K3" i="22"/>
  <c r="K13" i="22"/>
  <c r="J3" i="22"/>
  <c r="J10" i="22"/>
  <c r="J15" i="22"/>
  <c r="J5" i="22"/>
  <c r="J12" i="22"/>
  <c r="J4" i="22"/>
  <c r="J8" i="22"/>
  <c r="J18" i="22"/>
  <c r="J17" i="22"/>
  <c r="J11" i="22"/>
  <c r="J19" i="22"/>
  <c r="J13" i="22"/>
  <c r="J16" i="22"/>
  <c r="I3" i="22"/>
  <c r="I11" i="22"/>
  <c r="I12" i="22"/>
  <c r="I19" i="22"/>
  <c r="I15" i="22"/>
  <c r="I6" i="22"/>
  <c r="I17" i="22"/>
  <c r="I5" i="22"/>
  <c r="I13" i="22"/>
  <c r="I8" i="22"/>
  <c r="I16" i="22"/>
  <c r="I18" i="22"/>
  <c r="H10" i="22"/>
  <c r="H21" i="22"/>
  <c r="H11" i="22"/>
  <c r="H12" i="22"/>
  <c r="H8" i="22"/>
  <c r="H5" i="22"/>
  <c r="H16" i="22"/>
  <c r="H22" i="22"/>
  <c r="H17" i="22"/>
  <c r="H18" i="22"/>
  <c r="H13" i="22"/>
  <c r="H3" i="22"/>
  <c r="G12" i="22"/>
  <c r="G8" i="22"/>
  <c r="G4" i="22"/>
  <c r="G19" i="22"/>
  <c r="G11" i="22"/>
  <c r="G21" i="22"/>
  <c r="G6" i="22"/>
  <c r="G17" i="22"/>
  <c r="G13" i="22"/>
  <c r="G22" i="22"/>
  <c r="G18" i="22"/>
  <c r="G16" i="22"/>
  <c r="G3" i="22"/>
  <c r="F4" i="22"/>
  <c r="F6" i="22"/>
  <c r="F12" i="22"/>
  <c r="F17" i="22"/>
  <c r="F11" i="22"/>
  <c r="F15" i="22"/>
  <c r="F5" i="22"/>
  <c r="F3" i="22"/>
  <c r="F16" i="22"/>
  <c r="F8" i="22"/>
  <c r="F22" i="22"/>
  <c r="F13" i="22"/>
  <c r="F18" i="22"/>
  <c r="E12" i="22"/>
  <c r="E17" i="22"/>
  <c r="E10" i="22"/>
  <c r="E16" i="22"/>
  <c r="E21" i="22"/>
  <c r="E19" i="22"/>
  <c r="E15" i="22"/>
  <c r="E11" i="22"/>
  <c r="E8" i="22"/>
  <c r="E3" i="22"/>
  <c r="E22" i="22"/>
  <c r="E18" i="22"/>
  <c r="E13" i="22"/>
  <c r="D10" i="22"/>
  <c r="D6" i="22"/>
  <c r="D5" i="22"/>
  <c r="D18" i="22"/>
  <c r="D15" i="22"/>
  <c r="D4" i="22"/>
  <c r="D12" i="22"/>
  <c r="D19" i="22"/>
  <c r="D11" i="22"/>
  <c r="D17" i="22"/>
  <c r="D8" i="22"/>
  <c r="D16" i="22"/>
  <c r="D13" i="22"/>
  <c r="D22" i="22"/>
  <c r="D3" i="22"/>
  <c r="C15" i="22"/>
  <c r="C17" i="22"/>
  <c r="C19" i="22"/>
  <c r="C6" i="22"/>
  <c r="C4" i="22"/>
  <c r="C11" i="22"/>
  <c r="C21" i="22"/>
  <c r="C16" i="22"/>
  <c r="C18" i="22"/>
  <c r="C10" i="22"/>
  <c r="C13" i="22"/>
  <c r="C3" i="22"/>
  <c r="CZ115" i="1"/>
  <c r="U115" i="1"/>
  <c r="AG115" i="1"/>
  <c r="AS115" i="1"/>
  <c r="BE115" i="1"/>
  <c r="CO115" i="1"/>
  <c r="V115" i="1"/>
  <c r="AH115" i="1"/>
  <c r="AT115" i="1"/>
  <c r="BF115" i="1"/>
  <c r="BR115" i="1"/>
  <c r="CD115" i="1"/>
  <c r="CP115" i="1"/>
  <c r="CC115" i="1"/>
  <c r="K115" i="1"/>
  <c r="W115" i="1"/>
  <c r="AU115" i="1"/>
  <c r="BG115" i="1"/>
  <c r="BS115" i="1"/>
  <c r="CE115" i="1"/>
  <c r="CQ115" i="1"/>
  <c r="BQ115" i="1"/>
  <c r="L115" i="1"/>
  <c r="X115" i="1"/>
  <c r="AV115" i="1"/>
  <c r="BH115" i="1"/>
  <c r="BT115" i="1"/>
  <c r="CF115" i="1"/>
  <c r="CR115" i="1"/>
  <c r="AK115" i="1"/>
  <c r="AW115" i="1"/>
  <c r="BI115" i="1"/>
  <c r="CG115" i="1"/>
  <c r="CS115" i="1"/>
  <c r="AL115" i="1"/>
  <c r="AX115" i="1"/>
  <c r="BJ115" i="1"/>
  <c r="CH115" i="1"/>
  <c r="CT115" i="1"/>
  <c r="C115" i="1"/>
  <c r="AM115" i="1"/>
  <c r="AY115" i="1"/>
  <c r="BK115" i="1"/>
  <c r="BW115" i="1"/>
  <c r="CI115" i="1"/>
  <c r="CU115" i="1"/>
  <c r="D115" i="1"/>
  <c r="AN115" i="1"/>
  <c r="AZ115" i="1"/>
  <c r="BL115" i="1"/>
  <c r="BX115" i="1"/>
  <c r="CJ115" i="1"/>
  <c r="CV115" i="1"/>
  <c r="E115" i="1"/>
  <c r="Q115" i="1"/>
  <c r="AO115" i="1"/>
  <c r="BA115" i="1"/>
  <c r="BM115" i="1"/>
  <c r="BY115" i="1"/>
  <c r="CK115" i="1"/>
  <c r="CW115" i="1"/>
  <c r="F115" i="1"/>
  <c r="R115" i="1"/>
  <c r="AP115" i="1"/>
  <c r="BB115" i="1"/>
  <c r="BN115" i="1"/>
  <c r="BZ115" i="1"/>
  <c r="CL115" i="1"/>
  <c r="CX115" i="1"/>
  <c r="S115" i="1"/>
  <c r="AE115" i="1"/>
  <c r="AQ115" i="1"/>
  <c r="BC115" i="1"/>
  <c r="BO115" i="1"/>
  <c r="CM115" i="1"/>
  <c r="CY115" i="1"/>
  <c r="B7" i="22" s="1"/>
  <c r="T115" i="1"/>
  <c r="AF115" i="1"/>
  <c r="AR115" i="1"/>
  <c r="BD115" i="1"/>
  <c r="BP115" i="1"/>
  <c r="CN115" i="1"/>
  <c r="CV37" i="1"/>
  <c r="CV27" i="1"/>
  <c r="Q40" i="1"/>
  <c r="AG40" i="1"/>
  <c r="AW40" i="1"/>
  <c r="BS49" i="1"/>
  <c r="W49" i="1"/>
  <c r="C10" i="1"/>
  <c r="BM40" i="1"/>
  <c r="CI49" i="1"/>
  <c r="BQ40" i="1"/>
  <c r="CZ49" i="1"/>
  <c r="CI53" i="1"/>
  <c r="CV20" i="1"/>
  <c r="E40" i="1"/>
  <c r="U40" i="1"/>
  <c r="BA40" i="1"/>
  <c r="CI59" i="1"/>
  <c r="CI40" i="1"/>
  <c r="CV34" i="1"/>
  <c r="BE40" i="1"/>
  <c r="BD81" i="1"/>
  <c r="CF88" i="1"/>
  <c r="BO79" i="1"/>
  <c r="CE53" i="1"/>
  <c r="BW47" i="1"/>
  <c r="CO37" i="1"/>
  <c r="CO34" i="1"/>
  <c r="CS27" i="1"/>
  <c r="CV24" i="1"/>
  <c r="CS20" i="1"/>
  <c r="L10" i="1"/>
  <c r="CQ40" i="1"/>
  <c r="BC49" i="1"/>
  <c r="CY49" i="1"/>
  <c r="B5" i="22" s="1"/>
  <c r="CW95" i="1"/>
  <c r="CS95" i="1"/>
  <c r="CO95" i="1"/>
  <c r="CK95" i="1"/>
  <c r="CG95" i="1"/>
  <c r="CC95" i="1"/>
  <c r="BY95" i="1"/>
  <c r="BQ95" i="1"/>
  <c r="BM95" i="1"/>
  <c r="BE95" i="1"/>
  <c r="BA95" i="1"/>
  <c r="AW95" i="1"/>
  <c r="AG95" i="1"/>
  <c r="U95" i="1"/>
  <c r="Q95" i="1"/>
  <c r="E95" i="1"/>
  <c r="CV95" i="1"/>
  <c r="CR95" i="1"/>
  <c r="CN95" i="1"/>
  <c r="CJ95" i="1"/>
  <c r="CF95" i="1"/>
  <c r="BX95" i="1"/>
  <c r="BT95" i="1"/>
  <c r="BP95" i="1"/>
  <c r="BL95" i="1"/>
  <c r="BH95" i="1"/>
  <c r="BD95" i="1"/>
  <c r="AZ95" i="1"/>
  <c r="AF95" i="1"/>
  <c r="X95" i="1"/>
  <c r="T95" i="1"/>
  <c r="L95" i="1"/>
  <c r="CU95" i="1"/>
  <c r="CQ95" i="1"/>
  <c r="CM95" i="1"/>
  <c r="CI95" i="1"/>
  <c r="CE95" i="1"/>
  <c r="BW95" i="1"/>
  <c r="BS95" i="1"/>
  <c r="BO95" i="1"/>
  <c r="BK95" i="1"/>
  <c r="BG95" i="1"/>
  <c r="BC95" i="1"/>
  <c r="AY95" i="1"/>
  <c r="AE95" i="1"/>
  <c r="W95" i="1"/>
  <c r="S95" i="1"/>
  <c r="K95" i="1"/>
  <c r="C95" i="1"/>
  <c r="CX95" i="1"/>
  <c r="CH95" i="1"/>
  <c r="BR95" i="1"/>
  <c r="BB95" i="1"/>
  <c r="V95" i="1"/>
  <c r="F95" i="1"/>
  <c r="CT95" i="1"/>
  <c r="CD95" i="1"/>
  <c r="BN95" i="1"/>
  <c r="AX95" i="1"/>
  <c r="AH95" i="1"/>
  <c r="R95" i="1"/>
  <c r="CP95" i="1"/>
  <c r="BZ95" i="1"/>
  <c r="BF95" i="1"/>
  <c r="CL95" i="1"/>
  <c r="AG10" i="1"/>
  <c r="BA10" i="1"/>
  <c r="BM10" i="1"/>
  <c r="BY10" i="1"/>
  <c r="CK10" i="1"/>
  <c r="CW10" i="1"/>
  <c r="Q20" i="1"/>
  <c r="BA20" i="1"/>
  <c r="BM20" i="1"/>
  <c r="BY20" i="1"/>
  <c r="CK20" i="1"/>
  <c r="CW20" i="1"/>
  <c r="AW24" i="1"/>
  <c r="BA24" i="1"/>
  <c r="BM24" i="1"/>
  <c r="BY24" i="1"/>
  <c r="CK24" i="1"/>
  <c r="CW24" i="1"/>
  <c r="AW27" i="1"/>
  <c r="BA27" i="1"/>
  <c r="BM27" i="1"/>
  <c r="BY27" i="1"/>
  <c r="CK27" i="1"/>
  <c r="CW27" i="1"/>
  <c r="BA34" i="1"/>
  <c r="BM34" i="1"/>
  <c r="BY34" i="1"/>
  <c r="CK34" i="1"/>
  <c r="CW34" i="1"/>
  <c r="U37" i="1"/>
  <c r="BA37" i="1"/>
  <c r="BM37" i="1"/>
  <c r="BY37" i="1"/>
  <c r="CK37" i="1"/>
  <c r="CW37" i="1"/>
  <c r="K47" i="1"/>
  <c r="BG47" i="1"/>
  <c r="C53" i="1"/>
  <c r="AY53" i="1"/>
  <c r="CU53" i="1"/>
  <c r="CQ59" i="1"/>
  <c r="W79" i="1"/>
  <c r="CN79" i="1"/>
  <c r="T88" i="1"/>
  <c r="CX119" i="1"/>
  <c r="CT119" i="1"/>
  <c r="CP119" i="1"/>
  <c r="CL119" i="1"/>
  <c r="CH119" i="1"/>
  <c r="CD119" i="1"/>
  <c r="BZ119" i="1"/>
  <c r="BV119" i="1"/>
  <c r="BR119" i="1"/>
  <c r="BN119" i="1"/>
  <c r="BJ119" i="1"/>
  <c r="BF119" i="1"/>
  <c r="BB119" i="1"/>
  <c r="AX119" i="1"/>
  <c r="AT119" i="1"/>
  <c r="AP119" i="1"/>
  <c r="AL119" i="1"/>
  <c r="AH119" i="1"/>
  <c r="AD119" i="1"/>
  <c r="Z119" i="1"/>
  <c r="V119" i="1"/>
  <c r="R119" i="1"/>
  <c r="N119" i="1"/>
  <c r="J119" i="1"/>
  <c r="F119" i="1"/>
  <c r="CW119" i="1"/>
  <c r="CS119" i="1"/>
  <c r="CO119" i="1"/>
  <c r="CK119" i="1"/>
  <c r="CG119" i="1"/>
  <c r="CC119" i="1"/>
  <c r="BY119" i="1"/>
  <c r="BU119" i="1"/>
  <c r="BQ119" i="1"/>
  <c r="BM119" i="1"/>
  <c r="BI119" i="1"/>
  <c r="BE119" i="1"/>
  <c r="BA119" i="1"/>
  <c r="AW119" i="1"/>
  <c r="AS119" i="1"/>
  <c r="AO119" i="1"/>
  <c r="AK119" i="1"/>
  <c r="AG119" i="1"/>
  <c r="AC119" i="1"/>
  <c r="Y119" i="1"/>
  <c r="U119" i="1"/>
  <c r="Q119" i="1"/>
  <c r="M119" i="1"/>
  <c r="I119" i="1"/>
  <c r="E119" i="1"/>
  <c r="CV119" i="1"/>
  <c r="CR119" i="1"/>
  <c r="CN119" i="1"/>
  <c r="CJ119" i="1"/>
  <c r="CF119" i="1"/>
  <c r="CB119" i="1"/>
  <c r="BX119" i="1"/>
  <c r="BT119" i="1"/>
  <c r="BP119" i="1"/>
  <c r="BL119" i="1"/>
  <c r="BH119" i="1"/>
  <c r="BD119" i="1"/>
  <c r="AZ119" i="1"/>
  <c r="AV119" i="1"/>
  <c r="AR119" i="1"/>
  <c r="AN119" i="1"/>
  <c r="AJ119" i="1"/>
  <c r="AF119" i="1"/>
  <c r="AB119" i="1"/>
  <c r="X119" i="1"/>
  <c r="T119" i="1"/>
  <c r="P119" i="1"/>
  <c r="L119" i="1"/>
  <c r="H119" i="1"/>
  <c r="D119" i="1"/>
  <c r="CI119" i="1"/>
  <c r="BS119" i="1"/>
  <c r="BC119" i="1"/>
  <c r="AM119" i="1"/>
  <c r="W119" i="1"/>
  <c r="G119" i="1"/>
  <c r="CU119" i="1"/>
  <c r="CE119" i="1"/>
  <c r="BO119" i="1"/>
  <c r="AY119" i="1"/>
  <c r="AI119" i="1"/>
  <c r="S119" i="1"/>
  <c r="C119" i="1"/>
  <c r="CQ119" i="1"/>
  <c r="CA119" i="1"/>
  <c r="BK119" i="1"/>
  <c r="AU119" i="1"/>
  <c r="AE119" i="1"/>
  <c r="O119" i="1"/>
  <c r="BG119" i="1"/>
  <c r="AQ119" i="1"/>
  <c r="CM119" i="1"/>
  <c r="AA119" i="1"/>
  <c r="BW119" i="1"/>
  <c r="K119" i="1"/>
  <c r="CU88" i="1"/>
  <c r="CQ88" i="1"/>
  <c r="CM88" i="1"/>
  <c r="CI88" i="1"/>
  <c r="CE88" i="1"/>
  <c r="BW88" i="1"/>
  <c r="BS88" i="1"/>
  <c r="BO88" i="1"/>
  <c r="BK88" i="1"/>
  <c r="BG88" i="1"/>
  <c r="BC88" i="1"/>
  <c r="AY88" i="1"/>
  <c r="AE88" i="1"/>
  <c r="W88" i="1"/>
  <c r="S88" i="1"/>
  <c r="K88" i="1"/>
  <c r="C88" i="1"/>
  <c r="CX88" i="1"/>
  <c r="CT88" i="1"/>
  <c r="CP88" i="1"/>
  <c r="CL88" i="1"/>
  <c r="CH88" i="1"/>
  <c r="CD88" i="1"/>
  <c r="BZ88" i="1"/>
  <c r="BR88" i="1"/>
  <c r="BN88" i="1"/>
  <c r="BF88" i="1"/>
  <c r="BB88" i="1"/>
  <c r="AX88" i="1"/>
  <c r="AH88" i="1"/>
  <c r="V88" i="1"/>
  <c r="R88" i="1"/>
  <c r="F88" i="1"/>
  <c r="CW88" i="1"/>
  <c r="CS88" i="1"/>
  <c r="CO88" i="1"/>
  <c r="CK88" i="1"/>
  <c r="CG88" i="1"/>
  <c r="CC88" i="1"/>
  <c r="BY88" i="1"/>
  <c r="BQ88" i="1"/>
  <c r="BM88" i="1"/>
  <c r="BE88" i="1"/>
  <c r="BA88" i="1"/>
  <c r="AW88" i="1"/>
  <c r="AG88" i="1"/>
  <c r="U88" i="1"/>
  <c r="Q88" i="1"/>
  <c r="E88" i="1"/>
  <c r="CR88" i="1"/>
  <c r="BL88" i="1"/>
  <c r="AF88" i="1"/>
  <c r="CN88" i="1"/>
  <c r="BX88" i="1"/>
  <c r="BH88" i="1"/>
  <c r="L88" i="1"/>
  <c r="CJ88" i="1"/>
  <c r="BT88" i="1"/>
  <c r="BD88" i="1"/>
  <c r="X88" i="1"/>
  <c r="CX47" i="1"/>
  <c r="CT47" i="1"/>
  <c r="CP47" i="1"/>
  <c r="CL47" i="1"/>
  <c r="CH47" i="1"/>
  <c r="CD47" i="1"/>
  <c r="BZ47" i="1"/>
  <c r="BR47" i="1"/>
  <c r="BN47" i="1"/>
  <c r="BF47" i="1"/>
  <c r="BB47" i="1"/>
  <c r="AX47" i="1"/>
  <c r="AH47" i="1"/>
  <c r="V47" i="1"/>
  <c r="R47" i="1"/>
  <c r="F47" i="1"/>
  <c r="CW47" i="1"/>
  <c r="CS47" i="1"/>
  <c r="CO47" i="1"/>
  <c r="CK47" i="1"/>
  <c r="CG47" i="1"/>
  <c r="CC47" i="1"/>
  <c r="BY47" i="1"/>
  <c r="BQ47" i="1"/>
  <c r="BM47" i="1"/>
  <c r="BE47" i="1"/>
  <c r="BA47" i="1"/>
  <c r="AW47" i="1"/>
  <c r="AG47" i="1"/>
  <c r="U47" i="1"/>
  <c r="Q47" i="1"/>
  <c r="E47" i="1"/>
  <c r="CV47" i="1"/>
  <c r="CR47" i="1"/>
  <c r="CN47" i="1"/>
  <c r="CJ47" i="1"/>
  <c r="CF47" i="1"/>
  <c r="BX47" i="1"/>
  <c r="BT47" i="1"/>
  <c r="BP47" i="1"/>
  <c r="BL47" i="1"/>
  <c r="BH47" i="1"/>
  <c r="BD47" i="1"/>
  <c r="AZ47" i="1"/>
  <c r="AF47" i="1"/>
  <c r="X47" i="1"/>
  <c r="T47" i="1"/>
  <c r="L47" i="1"/>
  <c r="D47" i="1"/>
  <c r="F10" i="1"/>
  <c r="R10" i="1"/>
  <c r="V10" i="1"/>
  <c r="AH10" i="1"/>
  <c r="AX10" i="1"/>
  <c r="BB10" i="1"/>
  <c r="BF10" i="1"/>
  <c r="BN10" i="1"/>
  <c r="BR10" i="1"/>
  <c r="BZ10" i="1"/>
  <c r="CD10" i="1"/>
  <c r="CH10" i="1"/>
  <c r="CL10" i="1"/>
  <c r="CP10" i="1"/>
  <c r="CT10" i="1"/>
  <c r="CX10" i="1"/>
  <c r="F20" i="1"/>
  <c r="R20" i="1"/>
  <c r="V20" i="1"/>
  <c r="AH20" i="1"/>
  <c r="AX20" i="1"/>
  <c r="BB20" i="1"/>
  <c r="BF20" i="1"/>
  <c r="BN20" i="1"/>
  <c r="BR20" i="1"/>
  <c r="BZ20" i="1"/>
  <c r="CD20" i="1"/>
  <c r="CH20" i="1"/>
  <c r="CL20" i="1"/>
  <c r="CP20" i="1"/>
  <c r="CT20" i="1"/>
  <c r="CX20" i="1"/>
  <c r="F24" i="1"/>
  <c r="R24" i="1"/>
  <c r="V24" i="1"/>
  <c r="AH24" i="1"/>
  <c r="AX24" i="1"/>
  <c r="BB24" i="1"/>
  <c r="BF24" i="1"/>
  <c r="BN24" i="1"/>
  <c r="BR24" i="1"/>
  <c r="BZ24" i="1"/>
  <c r="CD24" i="1"/>
  <c r="CH24" i="1"/>
  <c r="CL24" i="1"/>
  <c r="CP24" i="1"/>
  <c r="CT24" i="1"/>
  <c r="CX24" i="1"/>
  <c r="F27" i="1"/>
  <c r="R27" i="1"/>
  <c r="V27" i="1"/>
  <c r="AH27" i="1"/>
  <c r="AX27" i="1"/>
  <c r="BB27" i="1"/>
  <c r="BF27" i="1"/>
  <c r="BN27" i="1"/>
  <c r="BR27" i="1"/>
  <c r="BZ27" i="1"/>
  <c r="CD27" i="1"/>
  <c r="CH27" i="1"/>
  <c r="CL27" i="1"/>
  <c r="CP27" i="1"/>
  <c r="CT27" i="1"/>
  <c r="CX27" i="1"/>
  <c r="F34" i="1"/>
  <c r="R34" i="1"/>
  <c r="V34" i="1"/>
  <c r="AH34" i="1"/>
  <c r="AX34" i="1"/>
  <c r="BB34" i="1"/>
  <c r="BF34" i="1"/>
  <c r="BN34" i="1"/>
  <c r="BR34" i="1"/>
  <c r="BZ34" i="1"/>
  <c r="CD34" i="1"/>
  <c r="CH34" i="1"/>
  <c r="CL34" i="1"/>
  <c r="CP34" i="1"/>
  <c r="CT34" i="1"/>
  <c r="CX34" i="1"/>
  <c r="F37" i="1"/>
  <c r="R37" i="1"/>
  <c r="V37" i="1"/>
  <c r="AH37" i="1"/>
  <c r="AX37" i="1"/>
  <c r="BB37" i="1"/>
  <c r="BF37" i="1"/>
  <c r="BN37" i="1"/>
  <c r="BR37" i="1"/>
  <c r="BZ37" i="1"/>
  <c r="CD37" i="1"/>
  <c r="CH37" i="1"/>
  <c r="CL37" i="1"/>
  <c r="CP37" i="1"/>
  <c r="CT37" i="1"/>
  <c r="CX37" i="1"/>
  <c r="F40" i="1"/>
  <c r="R40" i="1"/>
  <c r="V40" i="1"/>
  <c r="AH40" i="1"/>
  <c r="AX40" i="1"/>
  <c r="BB40" i="1"/>
  <c r="BF40" i="1"/>
  <c r="BN40" i="1"/>
  <c r="BR40" i="1"/>
  <c r="CE40" i="1"/>
  <c r="CU40" i="1"/>
  <c r="AE47" i="1"/>
  <c r="BK47" i="1"/>
  <c r="CQ47" i="1"/>
  <c r="K49" i="1"/>
  <c r="BG49" i="1"/>
  <c r="BW49" i="1"/>
  <c r="CM49" i="1"/>
  <c r="W53" i="1"/>
  <c r="BC53" i="1"/>
  <c r="BS53" i="1"/>
  <c r="C59" i="1"/>
  <c r="S59" i="1"/>
  <c r="AY59" i="1"/>
  <c r="BO59" i="1"/>
  <c r="CE59" i="1"/>
  <c r="CU59" i="1"/>
  <c r="K79" i="1"/>
  <c r="CV88" i="1"/>
  <c r="E10" i="1"/>
  <c r="Q10" i="1"/>
  <c r="BE10" i="1"/>
  <c r="BQ10" i="1"/>
  <c r="CC10" i="1"/>
  <c r="CO10" i="1"/>
  <c r="E20" i="1"/>
  <c r="U20" i="1"/>
  <c r="AG20" i="1"/>
  <c r="BE20" i="1"/>
  <c r="BQ20" i="1"/>
  <c r="CC20" i="1"/>
  <c r="CO20" i="1"/>
  <c r="E24" i="1"/>
  <c r="Q24" i="1"/>
  <c r="AG24" i="1"/>
  <c r="CG24" i="1"/>
  <c r="CO24" i="1"/>
  <c r="E27" i="1"/>
  <c r="Q27" i="1"/>
  <c r="BE27" i="1"/>
  <c r="BQ27" i="1"/>
  <c r="CC27" i="1"/>
  <c r="CO27" i="1"/>
  <c r="E34" i="1"/>
  <c r="Q34" i="1"/>
  <c r="CG34" i="1"/>
  <c r="CS34" i="1"/>
  <c r="AW37" i="1"/>
  <c r="CG37" i="1"/>
  <c r="CS37" i="1"/>
  <c r="CM47" i="1"/>
  <c r="BO53" i="1"/>
  <c r="BK59" i="1"/>
  <c r="BD79" i="1"/>
  <c r="CX99" i="1"/>
  <c r="CW99" i="1"/>
  <c r="CV99" i="1"/>
  <c r="CR99" i="1"/>
  <c r="CN99" i="1"/>
  <c r="CJ99" i="1"/>
  <c r="CF99" i="1"/>
  <c r="BX99" i="1"/>
  <c r="BT99" i="1"/>
  <c r="BP99" i="1"/>
  <c r="BL99" i="1"/>
  <c r="CT99" i="1"/>
  <c r="CO99" i="1"/>
  <c r="CI99" i="1"/>
  <c r="CD99" i="1"/>
  <c r="BY99" i="1"/>
  <c r="BS99" i="1"/>
  <c r="BN99" i="1"/>
  <c r="BE99" i="1"/>
  <c r="BA99" i="1"/>
  <c r="AW99" i="1"/>
  <c r="AG99" i="1"/>
  <c r="U99" i="1"/>
  <c r="Q99" i="1"/>
  <c r="E99" i="1"/>
  <c r="CS99" i="1"/>
  <c r="CM99" i="1"/>
  <c r="CH99" i="1"/>
  <c r="CC99" i="1"/>
  <c r="BW99" i="1"/>
  <c r="BR99" i="1"/>
  <c r="BM99" i="1"/>
  <c r="BH99" i="1"/>
  <c r="BD99" i="1"/>
  <c r="AZ99" i="1"/>
  <c r="AF99" i="1"/>
  <c r="X99" i="1"/>
  <c r="T99" i="1"/>
  <c r="L99" i="1"/>
  <c r="D99" i="1"/>
  <c r="CQ99" i="1"/>
  <c r="CL99" i="1"/>
  <c r="CG99" i="1"/>
  <c r="BQ99" i="1"/>
  <c r="BK99" i="1"/>
  <c r="BG99" i="1"/>
  <c r="BC99" i="1"/>
  <c r="AY99" i="1"/>
  <c r="AE99" i="1"/>
  <c r="W99" i="1"/>
  <c r="S99" i="1"/>
  <c r="K99" i="1"/>
  <c r="C99" i="1"/>
  <c r="CK99" i="1"/>
  <c r="BO99" i="1"/>
  <c r="AX99" i="1"/>
  <c r="AH99" i="1"/>
  <c r="R99" i="1"/>
  <c r="CE99" i="1"/>
  <c r="CU99" i="1"/>
  <c r="BZ99" i="1"/>
  <c r="BF99" i="1"/>
  <c r="CP99" i="1"/>
  <c r="V99" i="1"/>
  <c r="F99" i="1"/>
  <c r="BB99" i="1"/>
  <c r="CU81" i="1"/>
  <c r="CQ81" i="1"/>
  <c r="CM81" i="1"/>
  <c r="CI81" i="1"/>
  <c r="CE81" i="1"/>
  <c r="BW81" i="1"/>
  <c r="BS81" i="1"/>
  <c r="BO81" i="1"/>
  <c r="BK81" i="1"/>
  <c r="BG81" i="1"/>
  <c r="BC81" i="1"/>
  <c r="AY81" i="1"/>
  <c r="AE81" i="1"/>
  <c r="W81" i="1"/>
  <c r="S81" i="1"/>
  <c r="K81" i="1"/>
  <c r="C81" i="1"/>
  <c r="CX81" i="1"/>
  <c r="CT81" i="1"/>
  <c r="CP81" i="1"/>
  <c r="CL81" i="1"/>
  <c r="CH81" i="1"/>
  <c r="CD81" i="1"/>
  <c r="BZ81" i="1"/>
  <c r="BR81" i="1"/>
  <c r="BN81" i="1"/>
  <c r="BF81" i="1"/>
  <c r="BB81" i="1"/>
  <c r="AX81" i="1"/>
  <c r="AH81" i="1"/>
  <c r="V81" i="1"/>
  <c r="R81" i="1"/>
  <c r="F81" i="1"/>
  <c r="CW81" i="1"/>
  <c r="CS81" i="1"/>
  <c r="CO81" i="1"/>
  <c r="CK81" i="1"/>
  <c r="CG81" i="1"/>
  <c r="CC81" i="1"/>
  <c r="BY81" i="1"/>
  <c r="BQ81" i="1"/>
  <c r="BM81" i="1"/>
  <c r="BE81" i="1"/>
  <c r="BA81" i="1"/>
  <c r="AW81" i="1"/>
  <c r="AG81" i="1"/>
  <c r="U81" i="1"/>
  <c r="Q81" i="1"/>
  <c r="E81" i="1"/>
  <c r="CV81" i="1"/>
  <c r="CF81" i="1"/>
  <c r="BP81" i="1"/>
  <c r="AZ81" i="1"/>
  <c r="T81" i="1"/>
  <c r="D81" i="1"/>
  <c r="CR81" i="1"/>
  <c r="BL81" i="1"/>
  <c r="AF81" i="1"/>
  <c r="CN81" i="1"/>
  <c r="BX81" i="1"/>
  <c r="BH81" i="1"/>
  <c r="L81" i="1"/>
  <c r="CX53" i="1"/>
  <c r="CT53" i="1"/>
  <c r="CP53" i="1"/>
  <c r="CL53" i="1"/>
  <c r="CH53" i="1"/>
  <c r="CD53" i="1"/>
  <c r="BZ53" i="1"/>
  <c r="BR53" i="1"/>
  <c r="BN53" i="1"/>
  <c r="BF53" i="1"/>
  <c r="BB53" i="1"/>
  <c r="AX53" i="1"/>
  <c r="AH53" i="1"/>
  <c r="V53" i="1"/>
  <c r="R53" i="1"/>
  <c r="F53" i="1"/>
  <c r="CW53" i="1"/>
  <c r="CS53" i="1"/>
  <c r="CO53" i="1"/>
  <c r="CK53" i="1"/>
  <c r="CG53" i="1"/>
  <c r="CC53" i="1"/>
  <c r="BY53" i="1"/>
  <c r="BQ53" i="1"/>
  <c r="BM53" i="1"/>
  <c r="BE53" i="1"/>
  <c r="BA53" i="1"/>
  <c r="AW53" i="1"/>
  <c r="AG53" i="1"/>
  <c r="U53" i="1"/>
  <c r="Q53" i="1"/>
  <c r="E53" i="1"/>
  <c r="CV53" i="1"/>
  <c r="CR53" i="1"/>
  <c r="CN53" i="1"/>
  <c r="CJ53" i="1"/>
  <c r="CF53" i="1"/>
  <c r="BX53" i="1"/>
  <c r="BT53" i="1"/>
  <c r="BP53" i="1"/>
  <c r="BL53" i="1"/>
  <c r="BH53" i="1"/>
  <c r="BD53" i="1"/>
  <c r="AZ53" i="1"/>
  <c r="AF53" i="1"/>
  <c r="X53" i="1"/>
  <c r="T53" i="1"/>
  <c r="L53" i="1"/>
  <c r="D53" i="1"/>
  <c r="K10" i="1"/>
  <c r="S10" i="1"/>
  <c r="W10" i="1"/>
  <c r="AE10" i="1"/>
  <c r="AY10" i="1"/>
  <c r="BC10" i="1"/>
  <c r="BG10" i="1"/>
  <c r="BK10" i="1"/>
  <c r="BO10" i="1"/>
  <c r="BS10" i="1"/>
  <c r="BW10" i="1"/>
  <c r="CE10" i="1"/>
  <c r="CI10" i="1"/>
  <c r="CM10" i="1"/>
  <c r="CQ10" i="1"/>
  <c r="CU10" i="1"/>
  <c r="C20" i="1"/>
  <c r="K20" i="1"/>
  <c r="S20" i="1"/>
  <c r="W20" i="1"/>
  <c r="AE20" i="1"/>
  <c r="AY20" i="1"/>
  <c r="BC20" i="1"/>
  <c r="BG20" i="1"/>
  <c r="BK20" i="1"/>
  <c r="BO20" i="1"/>
  <c r="BS20" i="1"/>
  <c r="BW20" i="1"/>
  <c r="CE20" i="1"/>
  <c r="CI20" i="1"/>
  <c r="CM20" i="1"/>
  <c r="CQ20" i="1"/>
  <c r="CU20" i="1"/>
  <c r="C24" i="1"/>
  <c r="K24" i="1"/>
  <c r="S24" i="1"/>
  <c r="W24" i="1"/>
  <c r="AE24" i="1"/>
  <c r="AY24" i="1"/>
  <c r="BC24" i="1"/>
  <c r="BG24" i="1"/>
  <c r="BK24" i="1"/>
  <c r="BO24" i="1"/>
  <c r="BS24" i="1"/>
  <c r="BW24" i="1"/>
  <c r="CE24" i="1"/>
  <c r="CI24" i="1"/>
  <c r="CM24" i="1"/>
  <c r="CQ24" i="1"/>
  <c r="CU24" i="1"/>
  <c r="C27" i="1"/>
  <c r="K27" i="1"/>
  <c r="S27" i="1"/>
  <c r="W27" i="1"/>
  <c r="AE27" i="1"/>
  <c r="AY27" i="1"/>
  <c r="BC27" i="1"/>
  <c r="BG27" i="1"/>
  <c r="BK27" i="1"/>
  <c r="BO27" i="1"/>
  <c r="BS27" i="1"/>
  <c r="BW27" i="1"/>
  <c r="CE27" i="1"/>
  <c r="CI27" i="1"/>
  <c r="CM27" i="1"/>
  <c r="CQ27" i="1"/>
  <c r="CU27" i="1"/>
  <c r="C34" i="1"/>
  <c r="K34" i="1"/>
  <c r="S34" i="1"/>
  <c r="W34" i="1"/>
  <c r="AE34" i="1"/>
  <c r="AY34" i="1"/>
  <c r="BC34" i="1"/>
  <c r="BG34" i="1"/>
  <c r="BK34" i="1"/>
  <c r="BO34" i="1"/>
  <c r="BS34" i="1"/>
  <c r="BW34" i="1"/>
  <c r="CE34" i="1"/>
  <c r="CI34" i="1"/>
  <c r="CM34" i="1"/>
  <c r="CQ34" i="1"/>
  <c r="CU34" i="1"/>
  <c r="C37" i="1"/>
  <c r="K37" i="1"/>
  <c r="S37" i="1"/>
  <c r="W37" i="1"/>
  <c r="AE37" i="1"/>
  <c r="AY37" i="1"/>
  <c r="BC37" i="1"/>
  <c r="BG37" i="1"/>
  <c r="BK37" i="1"/>
  <c r="BO37" i="1"/>
  <c r="BS37" i="1"/>
  <c r="BW37" i="1"/>
  <c r="CE37" i="1"/>
  <c r="CI37" i="1"/>
  <c r="CM37" i="1"/>
  <c r="CQ37" i="1"/>
  <c r="CU37" i="1"/>
  <c r="C40" i="1"/>
  <c r="K40" i="1"/>
  <c r="S40" i="1"/>
  <c r="W40" i="1"/>
  <c r="AE40" i="1"/>
  <c r="AY40" i="1"/>
  <c r="BC40" i="1"/>
  <c r="BG40" i="1"/>
  <c r="BK40" i="1"/>
  <c r="BO40" i="1"/>
  <c r="BS40" i="1"/>
  <c r="C47" i="1"/>
  <c r="S47" i="1"/>
  <c r="AY47" i="1"/>
  <c r="BO47" i="1"/>
  <c r="CE47" i="1"/>
  <c r="CU47" i="1"/>
  <c r="AE49" i="1"/>
  <c r="BK49" i="1"/>
  <c r="K53" i="1"/>
  <c r="BG53" i="1"/>
  <c r="BW53" i="1"/>
  <c r="CM53" i="1"/>
  <c r="W59" i="1"/>
  <c r="BC59" i="1"/>
  <c r="BS59" i="1"/>
  <c r="AE79" i="1"/>
  <c r="X81" i="1"/>
  <c r="CJ81" i="1"/>
  <c r="AZ88" i="1"/>
  <c r="CU79" i="1"/>
  <c r="CQ79" i="1"/>
  <c r="CM79" i="1"/>
  <c r="CI79" i="1"/>
  <c r="CE79" i="1"/>
  <c r="BW79" i="1"/>
  <c r="BS79" i="1"/>
  <c r="CX79" i="1"/>
  <c r="CT79" i="1"/>
  <c r="CP79" i="1"/>
  <c r="CL79" i="1"/>
  <c r="CH79" i="1"/>
  <c r="CD79" i="1"/>
  <c r="BZ79" i="1"/>
  <c r="CW79" i="1"/>
  <c r="CS79" i="1"/>
  <c r="CO79" i="1"/>
  <c r="CK79" i="1"/>
  <c r="CG79" i="1"/>
  <c r="CC79" i="1"/>
  <c r="BY79" i="1"/>
  <c r="BQ79" i="1"/>
  <c r="BM79" i="1"/>
  <c r="BE79" i="1"/>
  <c r="BA79" i="1"/>
  <c r="CJ79" i="1"/>
  <c r="BT79" i="1"/>
  <c r="BN79" i="1"/>
  <c r="BH79" i="1"/>
  <c r="BC79" i="1"/>
  <c r="AX79" i="1"/>
  <c r="AH79" i="1"/>
  <c r="V79" i="1"/>
  <c r="R79" i="1"/>
  <c r="F79" i="1"/>
  <c r="CV79" i="1"/>
  <c r="CF79" i="1"/>
  <c r="BR79" i="1"/>
  <c r="BL79" i="1"/>
  <c r="BG79" i="1"/>
  <c r="BB79" i="1"/>
  <c r="AW79" i="1"/>
  <c r="AG79" i="1"/>
  <c r="U79" i="1"/>
  <c r="Q79" i="1"/>
  <c r="E79" i="1"/>
  <c r="CR79" i="1"/>
  <c r="BP79" i="1"/>
  <c r="BK79" i="1"/>
  <c r="BF79" i="1"/>
  <c r="AZ79" i="1"/>
  <c r="AF79" i="1"/>
  <c r="X79" i="1"/>
  <c r="T79" i="1"/>
  <c r="L79" i="1"/>
  <c r="D79" i="1"/>
  <c r="U10" i="1"/>
  <c r="AW10" i="1"/>
  <c r="CG10" i="1"/>
  <c r="CS10" i="1"/>
  <c r="AW20" i="1"/>
  <c r="CG20" i="1"/>
  <c r="U24" i="1"/>
  <c r="BE24" i="1"/>
  <c r="BQ24" i="1"/>
  <c r="CC24" i="1"/>
  <c r="CS24" i="1"/>
  <c r="U27" i="1"/>
  <c r="AG27" i="1"/>
  <c r="CG27" i="1"/>
  <c r="U34" i="1"/>
  <c r="AG34" i="1"/>
  <c r="AW34" i="1"/>
  <c r="BE34" i="1"/>
  <c r="BQ34" i="1"/>
  <c r="CC34" i="1"/>
  <c r="E37" i="1"/>
  <c r="Q37" i="1"/>
  <c r="AG37" i="1"/>
  <c r="BE37" i="1"/>
  <c r="BQ37" i="1"/>
  <c r="CC37" i="1"/>
  <c r="S53" i="1"/>
  <c r="AE59" i="1"/>
  <c r="CX110" i="1"/>
  <c r="CT110" i="1"/>
  <c r="CP110" i="1"/>
  <c r="CL110" i="1"/>
  <c r="CH110" i="1"/>
  <c r="CD110" i="1"/>
  <c r="BZ110" i="1"/>
  <c r="BR110" i="1"/>
  <c r="BN110" i="1"/>
  <c r="BF110" i="1"/>
  <c r="BB110" i="1"/>
  <c r="AX110" i="1"/>
  <c r="AH110" i="1"/>
  <c r="V110" i="1"/>
  <c r="R110" i="1"/>
  <c r="F110" i="1"/>
  <c r="CW110" i="1"/>
  <c r="CS110" i="1"/>
  <c r="CO110" i="1"/>
  <c r="CK110" i="1"/>
  <c r="CG110" i="1"/>
  <c r="CC110" i="1"/>
  <c r="BY110" i="1"/>
  <c r="BQ110" i="1"/>
  <c r="BM110" i="1"/>
  <c r="BE110" i="1"/>
  <c r="BA110" i="1"/>
  <c r="AW110" i="1"/>
  <c r="AG110" i="1"/>
  <c r="U110" i="1"/>
  <c r="Q110" i="1"/>
  <c r="E110" i="1"/>
  <c r="CV110" i="1"/>
  <c r="CR110" i="1"/>
  <c r="CN110" i="1"/>
  <c r="CJ110" i="1"/>
  <c r="CF110" i="1"/>
  <c r="BX110" i="1"/>
  <c r="BT110" i="1"/>
  <c r="BP110" i="1"/>
  <c r="BL110" i="1"/>
  <c r="BH110" i="1"/>
  <c r="BD110" i="1"/>
  <c r="AZ110" i="1"/>
  <c r="AF110" i="1"/>
  <c r="X110" i="1"/>
  <c r="T110" i="1"/>
  <c r="L110" i="1"/>
  <c r="D110" i="1"/>
  <c r="CM110" i="1"/>
  <c r="BW110" i="1"/>
  <c r="BG110" i="1"/>
  <c r="K110" i="1"/>
  <c r="CI110" i="1"/>
  <c r="BS110" i="1"/>
  <c r="BC110" i="1"/>
  <c r="W110" i="1"/>
  <c r="CU110" i="1"/>
  <c r="CE110" i="1"/>
  <c r="BO110" i="1"/>
  <c r="AY110" i="1"/>
  <c r="S110" i="1"/>
  <c r="C110" i="1"/>
  <c r="CQ110" i="1"/>
  <c r="AE110" i="1"/>
  <c r="BK110" i="1"/>
  <c r="CW92" i="1"/>
  <c r="CS92" i="1"/>
  <c r="CO92" i="1"/>
  <c r="CK92" i="1"/>
  <c r="CG92" i="1"/>
  <c r="CC92" i="1"/>
  <c r="BY92" i="1"/>
  <c r="BQ92" i="1"/>
  <c r="BM92" i="1"/>
  <c r="BE92" i="1"/>
  <c r="BA92" i="1"/>
  <c r="AW92" i="1"/>
  <c r="AG92" i="1"/>
  <c r="CV92" i="1"/>
  <c r="CR92" i="1"/>
  <c r="CN92" i="1"/>
  <c r="CJ92" i="1"/>
  <c r="CF92" i="1"/>
  <c r="BX92" i="1"/>
  <c r="BT92" i="1"/>
  <c r="BP92" i="1"/>
  <c r="BL92" i="1"/>
  <c r="BH92" i="1"/>
  <c r="BD92" i="1"/>
  <c r="AZ92" i="1"/>
  <c r="AF92" i="1"/>
  <c r="CU92" i="1"/>
  <c r="CQ92" i="1"/>
  <c r="CM92" i="1"/>
  <c r="CI92" i="1"/>
  <c r="CE92" i="1"/>
  <c r="BW92" i="1"/>
  <c r="BS92" i="1"/>
  <c r="BO92" i="1"/>
  <c r="BK92" i="1"/>
  <c r="BG92" i="1"/>
  <c r="BC92" i="1"/>
  <c r="AY92" i="1"/>
  <c r="AE92" i="1"/>
  <c r="CL92" i="1"/>
  <c r="BF92" i="1"/>
  <c r="W92" i="1"/>
  <c r="S92" i="1"/>
  <c r="K92" i="1"/>
  <c r="C92" i="1"/>
  <c r="CX92" i="1"/>
  <c r="CH92" i="1"/>
  <c r="BR92" i="1"/>
  <c r="BB92" i="1"/>
  <c r="V92" i="1"/>
  <c r="R92" i="1"/>
  <c r="F92" i="1"/>
  <c r="CT92" i="1"/>
  <c r="CD92" i="1"/>
  <c r="BN92" i="1"/>
  <c r="AX92" i="1"/>
  <c r="AH92" i="1"/>
  <c r="U92" i="1"/>
  <c r="Q92" i="1"/>
  <c r="E92" i="1"/>
  <c r="CP92" i="1"/>
  <c r="L92" i="1"/>
  <c r="BZ92" i="1"/>
  <c r="X92" i="1"/>
  <c r="T92" i="1"/>
  <c r="D92" i="1"/>
  <c r="CX59" i="1"/>
  <c r="CT59" i="1"/>
  <c r="CP59" i="1"/>
  <c r="CL59" i="1"/>
  <c r="CH59" i="1"/>
  <c r="CD59" i="1"/>
  <c r="BZ59" i="1"/>
  <c r="BR59" i="1"/>
  <c r="BN59" i="1"/>
  <c r="BF59" i="1"/>
  <c r="BB59" i="1"/>
  <c r="AX59" i="1"/>
  <c r="AH59" i="1"/>
  <c r="V59" i="1"/>
  <c r="R59" i="1"/>
  <c r="F59" i="1"/>
  <c r="CW59" i="1"/>
  <c r="CS59" i="1"/>
  <c r="CO59" i="1"/>
  <c r="CK59" i="1"/>
  <c r="CG59" i="1"/>
  <c r="CC59" i="1"/>
  <c r="BY59" i="1"/>
  <c r="BQ59" i="1"/>
  <c r="BM59" i="1"/>
  <c r="BE59" i="1"/>
  <c r="BA59" i="1"/>
  <c r="AW59" i="1"/>
  <c r="AG59" i="1"/>
  <c r="U59" i="1"/>
  <c r="Q59" i="1"/>
  <c r="E59" i="1"/>
  <c r="CV59" i="1"/>
  <c r="CR59" i="1"/>
  <c r="CN59" i="1"/>
  <c r="CJ59" i="1"/>
  <c r="CF59" i="1"/>
  <c r="BX59" i="1"/>
  <c r="BT59" i="1"/>
  <c r="BP59" i="1"/>
  <c r="BL59" i="1"/>
  <c r="BH59" i="1"/>
  <c r="BD59" i="1"/>
  <c r="AZ59" i="1"/>
  <c r="AF59" i="1"/>
  <c r="X59" i="1"/>
  <c r="T59" i="1"/>
  <c r="L59" i="1"/>
  <c r="D59" i="1"/>
  <c r="CX49" i="1"/>
  <c r="CT49" i="1"/>
  <c r="CP49" i="1"/>
  <c r="CL49" i="1"/>
  <c r="CH49" i="1"/>
  <c r="CD49" i="1"/>
  <c r="BZ49" i="1"/>
  <c r="BR49" i="1"/>
  <c r="BN49" i="1"/>
  <c r="BF49" i="1"/>
  <c r="BB49" i="1"/>
  <c r="AX49" i="1"/>
  <c r="AH49" i="1"/>
  <c r="V49" i="1"/>
  <c r="R49" i="1"/>
  <c r="F49" i="1"/>
  <c r="CW49" i="1"/>
  <c r="CS49" i="1"/>
  <c r="CO49" i="1"/>
  <c r="CK49" i="1"/>
  <c r="CG49" i="1"/>
  <c r="CC49" i="1"/>
  <c r="BY49" i="1"/>
  <c r="BQ49" i="1"/>
  <c r="BM49" i="1"/>
  <c r="BE49" i="1"/>
  <c r="BA49" i="1"/>
  <c r="AW49" i="1"/>
  <c r="AG49" i="1"/>
  <c r="U49" i="1"/>
  <c r="Q49" i="1"/>
  <c r="E49" i="1"/>
  <c r="CV49" i="1"/>
  <c r="CR49" i="1"/>
  <c r="CN49" i="1"/>
  <c r="CJ49" i="1"/>
  <c r="CF49" i="1"/>
  <c r="BX49" i="1"/>
  <c r="BT49" i="1"/>
  <c r="BP49" i="1"/>
  <c r="BL49" i="1"/>
  <c r="BH49" i="1"/>
  <c r="BD49" i="1"/>
  <c r="AZ49" i="1"/>
  <c r="AF49" i="1"/>
  <c r="X49" i="1"/>
  <c r="T49" i="1"/>
  <c r="L49" i="1"/>
  <c r="D49" i="1"/>
  <c r="CX40" i="1"/>
  <c r="CT40" i="1"/>
  <c r="CP40" i="1"/>
  <c r="CL40" i="1"/>
  <c r="CH40" i="1"/>
  <c r="CD40" i="1"/>
  <c r="BZ40" i="1"/>
  <c r="CW40" i="1"/>
  <c r="CS40" i="1"/>
  <c r="CO40" i="1"/>
  <c r="CK40" i="1"/>
  <c r="CG40" i="1"/>
  <c r="CC40" i="1"/>
  <c r="BY40" i="1"/>
  <c r="CV40" i="1"/>
  <c r="CR40" i="1"/>
  <c r="CN40" i="1"/>
  <c r="CJ40" i="1"/>
  <c r="CF40" i="1"/>
  <c r="BX40" i="1"/>
  <c r="BT40" i="1"/>
  <c r="D10" i="1"/>
  <c r="T10" i="1"/>
  <c r="X10" i="1"/>
  <c r="AF10" i="1"/>
  <c r="AZ10" i="1"/>
  <c r="BD10" i="1"/>
  <c r="BH10" i="1"/>
  <c r="BL10" i="1"/>
  <c r="BP10" i="1"/>
  <c r="BT10" i="1"/>
  <c r="BX10" i="1"/>
  <c r="CF10" i="1"/>
  <c r="CJ10" i="1"/>
  <c r="CN10" i="1"/>
  <c r="CR10" i="1"/>
  <c r="CV10" i="1"/>
  <c r="D20" i="1"/>
  <c r="L20" i="1"/>
  <c r="T20" i="1"/>
  <c r="X20" i="1"/>
  <c r="AF20" i="1"/>
  <c r="AZ20" i="1"/>
  <c r="BD20" i="1"/>
  <c r="BH20" i="1"/>
  <c r="BL20" i="1"/>
  <c r="BP20" i="1"/>
  <c r="BT20" i="1"/>
  <c r="BX20" i="1"/>
  <c r="CF20" i="1"/>
  <c r="CJ20" i="1"/>
  <c r="CN20" i="1"/>
  <c r="CR20" i="1"/>
  <c r="D24" i="1"/>
  <c r="L24" i="1"/>
  <c r="T24" i="1"/>
  <c r="X24" i="1"/>
  <c r="AF24" i="1"/>
  <c r="AZ24" i="1"/>
  <c r="BD24" i="1"/>
  <c r="BH24" i="1"/>
  <c r="BL24" i="1"/>
  <c r="BP24" i="1"/>
  <c r="BT24" i="1"/>
  <c r="BX24" i="1"/>
  <c r="CF24" i="1"/>
  <c r="CJ24" i="1"/>
  <c r="CN24" i="1"/>
  <c r="CR24" i="1"/>
  <c r="D27" i="1"/>
  <c r="L27" i="1"/>
  <c r="T27" i="1"/>
  <c r="X27" i="1"/>
  <c r="AF27" i="1"/>
  <c r="AZ27" i="1"/>
  <c r="BD27" i="1"/>
  <c r="BH27" i="1"/>
  <c r="BL27" i="1"/>
  <c r="BP27" i="1"/>
  <c r="BT27" i="1"/>
  <c r="BX27" i="1"/>
  <c r="CF27" i="1"/>
  <c r="CJ27" i="1"/>
  <c r="CN27" i="1"/>
  <c r="CR27" i="1"/>
  <c r="D34" i="1"/>
  <c r="L34" i="1"/>
  <c r="T34" i="1"/>
  <c r="X34" i="1"/>
  <c r="AF34" i="1"/>
  <c r="AZ34" i="1"/>
  <c r="BD34" i="1"/>
  <c r="BH34" i="1"/>
  <c r="BL34" i="1"/>
  <c r="BP34" i="1"/>
  <c r="BT34" i="1"/>
  <c r="BX34" i="1"/>
  <c r="CF34" i="1"/>
  <c r="CJ34" i="1"/>
  <c r="CN34" i="1"/>
  <c r="CR34" i="1"/>
  <c r="D37" i="1"/>
  <c r="L37" i="1"/>
  <c r="T37" i="1"/>
  <c r="X37" i="1"/>
  <c r="AF37" i="1"/>
  <c r="AZ37" i="1"/>
  <c r="BD37" i="1"/>
  <c r="BH37" i="1"/>
  <c r="BL37" i="1"/>
  <c r="BP37" i="1"/>
  <c r="BT37" i="1"/>
  <c r="BX37" i="1"/>
  <c r="CF37" i="1"/>
  <c r="CJ37" i="1"/>
  <c r="CN37" i="1"/>
  <c r="CR37" i="1"/>
  <c r="D40" i="1"/>
  <c r="L40" i="1"/>
  <c r="T40" i="1"/>
  <c r="X40" i="1"/>
  <c r="AF40" i="1"/>
  <c r="AZ40" i="1"/>
  <c r="BD40" i="1"/>
  <c r="BH40" i="1"/>
  <c r="BL40" i="1"/>
  <c r="BP40" i="1"/>
  <c r="BW40" i="1"/>
  <c r="CM40" i="1"/>
  <c r="W47" i="1"/>
  <c r="BC47" i="1"/>
  <c r="BS47" i="1"/>
  <c r="CI47" i="1"/>
  <c r="C49" i="1"/>
  <c r="S49" i="1"/>
  <c r="AY49" i="1"/>
  <c r="BO49" i="1"/>
  <c r="CE49" i="1"/>
  <c r="CU49" i="1"/>
  <c r="AE53" i="1"/>
  <c r="BK53" i="1"/>
  <c r="CQ53" i="1"/>
  <c r="K59" i="1"/>
  <c r="BG59" i="1"/>
  <c r="BW59" i="1"/>
  <c r="CM59" i="1"/>
  <c r="C79" i="1"/>
  <c r="S79" i="1"/>
  <c r="AY79" i="1"/>
  <c r="BX79" i="1"/>
  <c r="D88" i="1"/>
  <c r="BP88" i="1"/>
  <c r="CZ3" i="1"/>
  <c r="CZ4" i="1"/>
  <c r="CZ5" i="1"/>
  <c r="CZ6" i="1"/>
  <c r="CZ8" i="1"/>
  <c r="CZ9" i="1"/>
  <c r="CZ21" i="1"/>
  <c r="CZ22" i="1"/>
  <c r="CZ23" i="1"/>
  <c r="CZ25" i="1"/>
  <c r="CZ26" i="1"/>
  <c r="CZ28" i="1"/>
  <c r="CZ29" i="1"/>
  <c r="CZ30" i="1"/>
  <c r="CZ31" i="1"/>
  <c r="CZ32" i="1"/>
  <c r="CZ33" i="1"/>
  <c r="CZ35" i="1"/>
  <c r="CZ36" i="1"/>
  <c r="CZ38" i="1"/>
  <c r="CZ39" i="1"/>
  <c r="CZ41" i="1"/>
  <c r="CZ42" i="1"/>
  <c r="CZ43" i="1"/>
  <c r="CZ44" i="1"/>
  <c r="CZ45" i="1"/>
  <c r="CZ46" i="1"/>
  <c r="CZ54" i="1"/>
  <c r="CZ55" i="1"/>
  <c r="CZ56" i="1"/>
  <c r="CZ57" i="1"/>
  <c r="CZ58" i="1"/>
  <c r="CZ61" i="1"/>
  <c r="CZ62" i="1"/>
  <c r="CZ63" i="1"/>
  <c r="CZ64" i="1"/>
  <c r="CZ65" i="1"/>
  <c r="CZ66" i="1"/>
  <c r="CZ67" i="1"/>
  <c r="CZ68" i="1"/>
  <c r="CZ69" i="1"/>
  <c r="CZ70" i="1"/>
  <c r="CZ72" i="1"/>
  <c r="CZ73" i="1"/>
  <c r="CZ74" i="1"/>
  <c r="CZ75" i="1"/>
  <c r="CZ78" i="1"/>
  <c r="CZ80" i="1"/>
  <c r="CZ81" i="1" s="1"/>
  <c r="CZ82" i="1"/>
  <c r="CZ83" i="1"/>
  <c r="CZ84" i="1"/>
  <c r="CZ85" i="1"/>
  <c r="CZ89" i="1"/>
  <c r="CZ90" i="1"/>
  <c r="CZ91" i="1"/>
  <c r="CZ93" i="1"/>
  <c r="CZ94" i="1"/>
  <c r="CZ100" i="1"/>
  <c r="CZ101" i="1"/>
  <c r="CZ102" i="1"/>
  <c r="CZ103" i="1"/>
  <c r="CZ106" i="1"/>
  <c r="CZ107" i="1"/>
  <c r="CZ104" i="1"/>
  <c r="CZ108" i="1"/>
  <c r="CZ50" i="1"/>
  <c r="CZ52" i="1"/>
  <c r="CZ116" i="1"/>
  <c r="CZ117" i="1"/>
  <c r="CZ118" i="1"/>
  <c r="CY3" i="1"/>
  <c r="CY4" i="1"/>
  <c r="CY5" i="1"/>
  <c r="CY6" i="1"/>
  <c r="CY8" i="1"/>
  <c r="CY9" i="1"/>
  <c r="CY21" i="1"/>
  <c r="CY22" i="1"/>
  <c r="CY23" i="1"/>
  <c r="CY25" i="1"/>
  <c r="CY26" i="1"/>
  <c r="CY28" i="1"/>
  <c r="CY29" i="1"/>
  <c r="CY30" i="1"/>
  <c r="CY31" i="1"/>
  <c r="CY32" i="1"/>
  <c r="CY33" i="1"/>
  <c r="CY35" i="1"/>
  <c r="CY36" i="1"/>
  <c r="CY38" i="1"/>
  <c r="CY39" i="1"/>
  <c r="CY41" i="1"/>
  <c r="CY42" i="1"/>
  <c r="CY43" i="1"/>
  <c r="CY44" i="1"/>
  <c r="CY45" i="1"/>
  <c r="CY46" i="1"/>
  <c r="CY54" i="1"/>
  <c r="CY55" i="1"/>
  <c r="CY56" i="1"/>
  <c r="CY57" i="1"/>
  <c r="CY58" i="1"/>
  <c r="CY61" i="1"/>
  <c r="CY62" i="1"/>
  <c r="CY63" i="1"/>
  <c r="CY64" i="1"/>
  <c r="CY65" i="1"/>
  <c r="CY66" i="1"/>
  <c r="CY67" i="1"/>
  <c r="CY68" i="1"/>
  <c r="CY69" i="1"/>
  <c r="CY70" i="1"/>
  <c r="CY72" i="1"/>
  <c r="CY73" i="1"/>
  <c r="CY74" i="1"/>
  <c r="CY75" i="1"/>
  <c r="CY78" i="1"/>
  <c r="CY80" i="1"/>
  <c r="CY81" i="1" s="1"/>
  <c r="B22" i="22" s="1"/>
  <c r="CY82" i="1"/>
  <c r="CY83" i="1"/>
  <c r="CY84" i="1"/>
  <c r="CY85" i="1"/>
  <c r="CY89" i="1"/>
  <c r="CY90" i="1"/>
  <c r="CY91" i="1"/>
  <c r="CY93" i="1"/>
  <c r="CY94" i="1"/>
  <c r="CY100" i="1"/>
  <c r="CY101" i="1"/>
  <c r="CY102" i="1"/>
  <c r="CY103" i="1"/>
  <c r="CY106" i="1"/>
  <c r="CY107" i="1"/>
  <c r="CY104" i="1"/>
  <c r="CY108" i="1"/>
  <c r="CY50" i="1"/>
  <c r="CY52" i="1"/>
  <c r="CY116" i="1"/>
  <c r="CY117" i="1"/>
  <c r="CY118" i="1"/>
  <c r="CY71" i="1" l="1"/>
  <c r="B8" i="22" s="1"/>
  <c r="CZ71" i="1"/>
  <c r="F48" i="3"/>
  <c r="X51" i="3"/>
  <c r="G29" i="3"/>
  <c r="Q15" i="3"/>
  <c r="G32" i="3"/>
  <c r="G53" i="3"/>
  <c r="Z18" i="3"/>
  <c r="F30" i="3"/>
  <c r="F39" i="3"/>
  <c r="F24" i="3"/>
  <c r="E28" i="3"/>
  <c r="E7" i="3"/>
  <c r="F36" i="3"/>
  <c r="F42" i="3"/>
  <c r="F12" i="3"/>
  <c r="E48" i="3"/>
  <c r="F28" i="3"/>
  <c r="F53" i="3"/>
  <c r="F6" i="3"/>
  <c r="E42" i="3"/>
  <c r="F18" i="3"/>
  <c r="E36" i="3"/>
  <c r="E12" i="3"/>
  <c r="E47" i="3"/>
  <c r="E30" i="3"/>
  <c r="F23" i="3"/>
  <c r="E18" i="3"/>
  <c r="E6" i="3"/>
  <c r="E24" i="3"/>
  <c r="H22" i="3"/>
  <c r="H10" i="3"/>
  <c r="G11" i="3"/>
  <c r="H35" i="3"/>
  <c r="H50" i="3"/>
  <c r="H25" i="3"/>
  <c r="G5" i="3"/>
  <c r="G20" i="3"/>
  <c r="H45" i="3"/>
  <c r="G52" i="3"/>
  <c r="G26" i="3"/>
  <c r="G38" i="3"/>
  <c r="G44" i="3"/>
  <c r="H19" i="3"/>
  <c r="H16" i="3"/>
  <c r="G8" i="3"/>
  <c r="H53" i="3"/>
  <c r="G14" i="3"/>
  <c r="H43" i="3"/>
  <c r="H13" i="3"/>
  <c r="G50" i="3"/>
  <c r="H4" i="3"/>
  <c r="H37" i="3"/>
  <c r="G12" i="3"/>
  <c r="G41" i="3"/>
  <c r="G35" i="3"/>
  <c r="H52" i="3"/>
  <c r="H49" i="3"/>
  <c r="H46" i="3"/>
  <c r="H31" i="3"/>
  <c r="G23" i="3"/>
  <c r="H40" i="3"/>
  <c r="G47" i="3"/>
  <c r="G17" i="3"/>
  <c r="H34" i="3"/>
  <c r="H28" i="3"/>
  <c r="H7" i="3"/>
  <c r="J37" i="3"/>
  <c r="I45" i="3"/>
  <c r="I47" i="3"/>
  <c r="I6" i="3"/>
  <c r="J8" i="3"/>
  <c r="I36" i="3"/>
  <c r="I48" i="3"/>
  <c r="J13" i="3"/>
  <c r="I30" i="3"/>
  <c r="J5" i="3"/>
  <c r="I21" i="3"/>
  <c r="L43" i="3"/>
  <c r="L19" i="3"/>
  <c r="L23" i="3"/>
  <c r="L51" i="3"/>
  <c r="L17" i="3"/>
  <c r="L12" i="3"/>
  <c r="L27" i="3"/>
  <c r="K51" i="3"/>
  <c r="K31" i="3"/>
  <c r="K4" i="3"/>
  <c r="K44" i="3"/>
  <c r="K20" i="3"/>
  <c r="K27" i="3"/>
  <c r="L36" i="3"/>
  <c r="L10" i="3"/>
  <c r="L48" i="3"/>
  <c r="L39" i="3"/>
  <c r="K33" i="3"/>
  <c r="L34" i="3"/>
  <c r="M34" i="3"/>
  <c r="M41" i="3"/>
  <c r="M27" i="3"/>
  <c r="N4" i="3"/>
  <c r="N33" i="3"/>
  <c r="N12" i="3"/>
  <c r="M5" i="3"/>
  <c r="M19" i="3"/>
  <c r="N18" i="3"/>
  <c r="M11" i="3"/>
  <c r="M12" i="3"/>
  <c r="M26" i="3"/>
  <c r="M10" i="3"/>
  <c r="N11" i="3"/>
  <c r="M49" i="3"/>
  <c r="N48" i="3"/>
  <c r="N40" i="3"/>
  <c r="N30" i="3"/>
  <c r="M17" i="3"/>
  <c r="P4" i="3"/>
  <c r="P33" i="3"/>
  <c r="P27" i="3"/>
  <c r="O32" i="3"/>
  <c r="P26" i="3"/>
  <c r="P24" i="3"/>
  <c r="O18" i="3"/>
  <c r="O35" i="3"/>
  <c r="O5" i="3"/>
  <c r="O11" i="3"/>
  <c r="P47" i="3"/>
  <c r="O15" i="3"/>
  <c r="O40" i="3"/>
  <c r="P15" i="3"/>
  <c r="P40" i="3"/>
  <c r="P53" i="3"/>
  <c r="P18" i="3"/>
  <c r="O33" i="3"/>
  <c r="O52" i="3"/>
  <c r="P52" i="3"/>
  <c r="P25" i="3"/>
  <c r="O47" i="3"/>
  <c r="P38" i="3"/>
  <c r="P11" i="3"/>
  <c r="Q41" i="3"/>
  <c r="Q14" i="3"/>
  <c r="R20" i="3"/>
  <c r="R40" i="3"/>
  <c r="R28" i="3"/>
  <c r="R14" i="3"/>
  <c r="R27" i="3"/>
  <c r="Q27" i="3"/>
  <c r="Q34" i="3"/>
  <c r="Q8" i="3"/>
  <c r="R47" i="3"/>
  <c r="R46" i="3"/>
  <c r="R7" i="3"/>
  <c r="R17" i="3"/>
  <c r="Q21" i="3"/>
  <c r="Q5" i="3"/>
  <c r="R33" i="3"/>
  <c r="Q42" i="3"/>
  <c r="Q40" i="3"/>
  <c r="Q28" i="3"/>
  <c r="R8" i="3"/>
  <c r="Q47" i="3"/>
  <c r="R35" i="3"/>
  <c r="R21" i="3"/>
  <c r="Q51" i="3"/>
  <c r="R34" i="3"/>
  <c r="Q53" i="3"/>
  <c r="R53" i="3"/>
  <c r="S41" i="3"/>
  <c r="T34" i="3"/>
  <c r="S42" i="3"/>
  <c r="S24" i="3"/>
  <c r="S35" i="3"/>
  <c r="T45" i="3"/>
  <c r="S53" i="3"/>
  <c r="U8" i="3"/>
  <c r="V53" i="3"/>
  <c r="V30" i="3"/>
  <c r="U47" i="3"/>
  <c r="V40" i="3"/>
  <c r="V14" i="3"/>
  <c r="V33" i="3"/>
  <c r="V27" i="3"/>
  <c r="U21" i="3"/>
  <c r="V50" i="3"/>
  <c r="U34" i="3"/>
  <c r="W14" i="3"/>
  <c r="W53" i="3"/>
  <c r="X28" i="3"/>
  <c r="X45" i="3"/>
  <c r="W29" i="3"/>
  <c r="W15" i="3"/>
  <c r="W5" i="3"/>
  <c r="X21" i="3"/>
  <c r="W38" i="3"/>
  <c r="Z6" i="3"/>
  <c r="Z12" i="3"/>
  <c r="Z24" i="3"/>
  <c r="Z48" i="3"/>
  <c r="Z42" i="3"/>
  <c r="Y30" i="3"/>
  <c r="Z36" i="3"/>
  <c r="Z27" i="3"/>
  <c r="Y13" i="3"/>
  <c r="Z30" i="3"/>
  <c r="Y11" i="3"/>
  <c r="Y24" i="3"/>
  <c r="Z21" i="3"/>
  <c r="Y27" i="3"/>
  <c r="Y7" i="3"/>
  <c r="Z38" i="3"/>
  <c r="Y18" i="3"/>
  <c r="Z5" i="3"/>
  <c r="Y5" i="3"/>
  <c r="Z46" i="3"/>
  <c r="Y43" i="3"/>
  <c r="Y10" i="3"/>
  <c r="Z15" i="3"/>
  <c r="Y21" i="3"/>
  <c r="Z32" i="3"/>
  <c r="Y50" i="3"/>
  <c r="Z17" i="3"/>
  <c r="Y17" i="3"/>
  <c r="Y22" i="3"/>
  <c r="Y49" i="3"/>
  <c r="Z52" i="3"/>
  <c r="Y12" i="3"/>
  <c r="Z40" i="3"/>
  <c r="Y4" i="3"/>
  <c r="Z9" i="3"/>
  <c r="Y15" i="3"/>
  <c r="Z26" i="3"/>
  <c r="Y44" i="3"/>
  <c r="Y6" i="3"/>
  <c r="Z34" i="3"/>
  <c r="Y9" i="3"/>
  <c r="Z20" i="3"/>
  <c r="Y38" i="3"/>
  <c r="Y25" i="3"/>
  <c r="Z28" i="3"/>
  <c r="Z14" i="3"/>
  <c r="Y32" i="3"/>
  <c r="Z53" i="3"/>
  <c r="Y53" i="3"/>
  <c r="Z22" i="3"/>
  <c r="Z8" i="3"/>
  <c r="Y26" i="3"/>
  <c r="Z49" i="3"/>
  <c r="Z47" i="3"/>
  <c r="Y47" i="3"/>
  <c r="Z16" i="3"/>
  <c r="Y52" i="3"/>
  <c r="Y20" i="3"/>
  <c r="Z43" i="3"/>
  <c r="Y19" i="3"/>
  <c r="Z7" i="3"/>
  <c r="Z41" i="3"/>
  <c r="Y41" i="3"/>
  <c r="Z10" i="3"/>
  <c r="Y46" i="3"/>
  <c r="Z51" i="3"/>
  <c r="Y14" i="3"/>
  <c r="Z37" i="3"/>
  <c r="Y48" i="3"/>
  <c r="Z35" i="3"/>
  <c r="Y35" i="3"/>
  <c r="Z4" i="3"/>
  <c r="Y40" i="3"/>
  <c r="Y37" i="3"/>
  <c r="Z45" i="3"/>
  <c r="Y51" i="3"/>
  <c r="Y8" i="3"/>
  <c r="Z31" i="3"/>
  <c r="Y42" i="3"/>
  <c r="Z29" i="3"/>
  <c r="Y29" i="3"/>
  <c r="Y34" i="3"/>
  <c r="Z39" i="3"/>
  <c r="Y45" i="3"/>
  <c r="Z25" i="3"/>
  <c r="Y33" i="3"/>
  <c r="Z44" i="3"/>
  <c r="Z13" i="3"/>
  <c r="Z11" i="3"/>
  <c r="Y31" i="3"/>
  <c r="Y16" i="3"/>
  <c r="Y36" i="3"/>
  <c r="Z23" i="3"/>
  <c r="Y23" i="3"/>
  <c r="Y28" i="3"/>
  <c r="Z33" i="3"/>
  <c r="Y39" i="3"/>
  <c r="Z50" i="3"/>
  <c r="Z19" i="3"/>
  <c r="W44" i="3"/>
  <c r="W52" i="3"/>
  <c r="X44" i="3"/>
  <c r="W50" i="3"/>
  <c r="X4" i="3"/>
  <c r="X35" i="3"/>
  <c r="W48" i="3"/>
  <c r="W25" i="3"/>
  <c r="W20" i="3"/>
  <c r="W41" i="3"/>
  <c r="W40" i="3"/>
  <c r="W19" i="3"/>
  <c r="W28" i="3"/>
  <c r="X6" i="3"/>
  <c r="W31" i="3"/>
  <c r="W11" i="3"/>
  <c r="W51" i="3"/>
  <c r="X50" i="3"/>
  <c r="X33" i="3"/>
  <c r="X32" i="3"/>
  <c r="W30" i="3"/>
  <c r="X15" i="3"/>
  <c r="L9" i="22"/>
  <c r="L23" i="22" s="1"/>
  <c r="X38" i="3"/>
  <c r="W8" i="3"/>
  <c r="X13" i="3"/>
  <c r="X27" i="3"/>
  <c r="X5" i="3"/>
  <c r="X20" i="3"/>
  <c r="X12" i="3"/>
  <c r="W37" i="3"/>
  <c r="X43" i="3"/>
  <c r="X41" i="3"/>
  <c r="W26" i="3"/>
  <c r="X49" i="3"/>
  <c r="X23" i="3"/>
  <c r="X31" i="3"/>
  <c r="W22" i="3"/>
  <c r="X11" i="3"/>
  <c r="X18" i="3"/>
  <c r="W43" i="3"/>
  <c r="X34" i="3"/>
  <c r="W34" i="3"/>
  <c r="W17" i="3"/>
  <c r="X40" i="3"/>
  <c r="W16" i="3"/>
  <c r="X7" i="3"/>
  <c r="W7" i="3"/>
  <c r="W21" i="3"/>
  <c r="W4" i="3"/>
  <c r="X24" i="3"/>
  <c r="W49" i="3"/>
  <c r="W27" i="3"/>
  <c r="X26" i="3"/>
  <c r="X9" i="3"/>
  <c r="W33" i="3"/>
  <c r="X8" i="3"/>
  <c r="X53" i="3"/>
  <c r="W36" i="3"/>
  <c r="W42" i="3"/>
  <c r="W6" i="3"/>
  <c r="X30" i="3"/>
  <c r="X19" i="3"/>
  <c r="X17" i="3"/>
  <c r="X25" i="3"/>
  <c r="W47" i="3"/>
  <c r="X29" i="3"/>
  <c r="W13" i="3"/>
  <c r="W46" i="3"/>
  <c r="X52" i="3"/>
  <c r="W12" i="3"/>
  <c r="X36" i="3"/>
  <c r="X10" i="3"/>
  <c r="W10" i="3"/>
  <c r="X16" i="3"/>
  <c r="X39" i="3"/>
  <c r="X14" i="3"/>
  <c r="W35" i="3"/>
  <c r="X47" i="3"/>
  <c r="W45" i="3"/>
  <c r="W18" i="3"/>
  <c r="X42" i="3"/>
  <c r="W9" i="3"/>
  <c r="X46" i="3"/>
  <c r="W32" i="3"/>
  <c r="X37" i="3"/>
  <c r="W24" i="3"/>
  <c r="X48" i="3"/>
  <c r="W39" i="3"/>
  <c r="X22" i="3"/>
  <c r="W23" i="3"/>
  <c r="V8" i="3"/>
  <c r="U18" i="3"/>
  <c r="U31" i="3"/>
  <c r="V23" i="3"/>
  <c r="U10" i="3"/>
  <c r="U49" i="3"/>
  <c r="V51" i="3"/>
  <c r="U24" i="3"/>
  <c r="V24" i="3"/>
  <c r="U17" i="3"/>
  <c r="U4" i="3"/>
  <c r="V42" i="3"/>
  <c r="U35" i="3"/>
  <c r="V41" i="3"/>
  <c r="V52" i="3"/>
  <c r="U45" i="3"/>
  <c r="U30" i="3"/>
  <c r="V17" i="3"/>
  <c r="V10" i="3"/>
  <c r="V35" i="3"/>
  <c r="V28" i="3"/>
  <c r="V48" i="3"/>
  <c r="U53" i="3"/>
  <c r="U46" i="3"/>
  <c r="V38" i="3"/>
  <c r="U51" i="3"/>
  <c r="U36" i="3"/>
  <c r="U11" i="3"/>
  <c r="V4" i="3"/>
  <c r="U29" i="3"/>
  <c r="U22" i="3"/>
  <c r="V46" i="3"/>
  <c r="V39" i="3"/>
  <c r="U52" i="3"/>
  <c r="U32" i="3"/>
  <c r="V44" i="3"/>
  <c r="U42" i="3"/>
  <c r="U5" i="3"/>
  <c r="V21" i="3"/>
  <c r="V22" i="3"/>
  <c r="V15" i="3"/>
  <c r="U40" i="3"/>
  <c r="U33" i="3"/>
  <c r="V45" i="3"/>
  <c r="V25" i="3"/>
  <c r="U38" i="3"/>
  <c r="U48" i="3"/>
  <c r="U16" i="3"/>
  <c r="U9" i="3"/>
  <c r="U27" i="3"/>
  <c r="V26" i="3"/>
  <c r="U39" i="3"/>
  <c r="U19" i="3"/>
  <c r="V31" i="3"/>
  <c r="U41" i="3"/>
  <c r="V49" i="3"/>
  <c r="V9" i="3"/>
  <c r="V20" i="3"/>
  <c r="U20" i="3"/>
  <c r="V32" i="3"/>
  <c r="V12" i="3"/>
  <c r="U25" i="3"/>
  <c r="V47" i="3"/>
  <c r="U43" i="3"/>
  <c r="U15" i="3"/>
  <c r="U14" i="3"/>
  <c r="V13" i="3"/>
  <c r="U26" i="3"/>
  <c r="U6" i="3"/>
  <c r="V18" i="3"/>
  <c r="U50" i="3"/>
  <c r="V36" i="3"/>
  <c r="V7" i="3"/>
  <c r="U7" i="3"/>
  <c r="V19" i="3"/>
  <c r="V11" i="3"/>
  <c r="U28" i="3"/>
  <c r="V43" i="3"/>
  <c r="V29" i="3"/>
  <c r="V6" i="3"/>
  <c r="U12" i="3"/>
  <c r="V37" i="3"/>
  <c r="V16" i="3"/>
  <c r="V34" i="3"/>
  <c r="U13" i="3"/>
  <c r="V5" i="3"/>
  <c r="U44" i="3"/>
  <c r="U37" i="3"/>
  <c r="U23" i="3"/>
  <c r="S29" i="3"/>
  <c r="T22" i="3"/>
  <c r="S40" i="3"/>
  <c r="T39" i="3"/>
  <c r="S30" i="3"/>
  <c r="S50" i="3"/>
  <c r="T19" i="3"/>
  <c r="T6" i="3"/>
  <c r="S23" i="3"/>
  <c r="T16" i="3"/>
  <c r="S34" i="3"/>
  <c r="T47" i="3"/>
  <c r="T33" i="3"/>
  <c r="T29" i="3"/>
  <c r="S44" i="3"/>
  <c r="T13" i="3"/>
  <c r="S12" i="3"/>
  <c r="T31" i="3"/>
  <c r="T12" i="3"/>
  <c r="S17" i="3"/>
  <c r="T10" i="3"/>
  <c r="S28" i="3"/>
  <c r="T27" i="3"/>
  <c r="S51" i="3"/>
  <c r="T50" i="3"/>
  <c r="S38" i="3"/>
  <c r="T7" i="3"/>
  <c r="S11" i="3"/>
  <c r="T4" i="3"/>
  <c r="T41" i="3"/>
  <c r="S22" i="3"/>
  <c r="T21" i="3"/>
  <c r="S45" i="3"/>
  <c r="T44" i="3"/>
  <c r="T35" i="3"/>
  <c r="S32" i="3"/>
  <c r="T53" i="3"/>
  <c r="S49" i="3"/>
  <c r="S18" i="3"/>
  <c r="S5" i="3"/>
  <c r="S16" i="3"/>
  <c r="T15" i="3"/>
  <c r="S39" i="3"/>
  <c r="T38" i="3"/>
  <c r="S26" i="3"/>
  <c r="T5" i="3"/>
  <c r="S43" i="3"/>
  <c r="T48" i="3"/>
  <c r="T28" i="3"/>
  <c r="S10" i="3"/>
  <c r="T9" i="3"/>
  <c r="S33" i="3"/>
  <c r="T32" i="3"/>
  <c r="S20" i="3"/>
  <c r="S6" i="3"/>
  <c r="S37" i="3"/>
  <c r="T42" i="3"/>
  <c r="S7" i="3"/>
  <c r="S4" i="3"/>
  <c r="S27" i="3"/>
  <c r="T26" i="3"/>
  <c r="S14" i="3"/>
  <c r="S31" i="3"/>
  <c r="T36" i="3"/>
  <c r="T51" i="3"/>
  <c r="S48" i="3"/>
  <c r="T52" i="3"/>
  <c r="S21" i="3"/>
  <c r="T20" i="3"/>
  <c r="S8" i="3"/>
  <c r="T49" i="3"/>
  <c r="S25" i="3"/>
  <c r="T30" i="3"/>
  <c r="T23" i="3"/>
  <c r="S46" i="3"/>
  <c r="T46" i="3"/>
  <c r="S15" i="3"/>
  <c r="T14" i="3"/>
  <c r="T43" i="3"/>
  <c r="S19" i="3"/>
  <c r="T24" i="3"/>
  <c r="T17" i="3"/>
  <c r="S52" i="3"/>
  <c r="S36" i="3"/>
  <c r="T25" i="3"/>
  <c r="S47" i="3"/>
  <c r="T40" i="3"/>
  <c r="S9" i="3"/>
  <c r="T8" i="3"/>
  <c r="T37" i="3"/>
  <c r="T11" i="3"/>
  <c r="S13" i="3"/>
  <c r="T18" i="3"/>
  <c r="R52" i="3"/>
  <c r="Q25" i="3"/>
  <c r="Q11" i="3"/>
  <c r="Q50" i="3"/>
  <c r="Q23" i="3"/>
  <c r="Q46" i="3"/>
  <c r="Q52" i="3"/>
  <c r="R51" i="3"/>
  <c r="Q31" i="3"/>
  <c r="R4" i="3"/>
  <c r="R43" i="3"/>
  <c r="R16" i="3"/>
  <c r="Q29" i="3"/>
  <c r="R15" i="3"/>
  <c r="Q22" i="3"/>
  <c r="R39" i="3"/>
  <c r="R45" i="3"/>
  <c r="Q45" i="3"/>
  <c r="Q37" i="3"/>
  <c r="R36" i="3"/>
  <c r="Q10" i="3"/>
  <c r="R22" i="3"/>
  <c r="Q9" i="3"/>
  <c r="Q33" i="3"/>
  <c r="Q39" i="3"/>
  <c r="R38" i="3"/>
  <c r="Q43" i="3"/>
  <c r="Q30" i="3"/>
  <c r="Q16" i="3"/>
  <c r="R29" i="3"/>
  <c r="R26" i="3"/>
  <c r="R32" i="3"/>
  <c r="Q32" i="3"/>
  <c r="Q49" i="3"/>
  <c r="R23" i="3"/>
  <c r="R9" i="3"/>
  <c r="Q20" i="3"/>
  <c r="Q26" i="3"/>
  <c r="R25" i="3"/>
  <c r="R44" i="3"/>
  <c r="Q17" i="3"/>
  <c r="R13" i="3"/>
  <c r="R19" i="3"/>
  <c r="R18" i="3"/>
  <c r="Q38" i="3"/>
  <c r="R50" i="3"/>
  <c r="R10" i="3"/>
  <c r="R6" i="3"/>
  <c r="R12" i="3"/>
  <c r="Q12" i="3"/>
  <c r="R31" i="3"/>
  <c r="Q44" i="3"/>
  <c r="Q4" i="3"/>
  <c r="Q19" i="3"/>
  <c r="Q6" i="3"/>
  <c r="R5" i="3"/>
  <c r="R24" i="3"/>
  <c r="R37" i="3"/>
  <c r="R49" i="3"/>
  <c r="Q48" i="3"/>
  <c r="Q7" i="3"/>
  <c r="Q18" i="3"/>
  <c r="R30" i="3"/>
  <c r="R42" i="3"/>
  <c r="R41" i="3"/>
  <c r="Q13" i="3"/>
  <c r="R11" i="3"/>
  <c r="Q24" i="3"/>
  <c r="Q36" i="3"/>
  <c r="R48" i="3"/>
  <c r="Q35" i="3"/>
  <c r="P8" i="3"/>
  <c r="O28" i="3"/>
  <c r="P17" i="3"/>
  <c r="P31" i="3"/>
  <c r="P23" i="3"/>
  <c r="P37" i="3"/>
  <c r="P21" i="3"/>
  <c r="O21" i="3"/>
  <c r="P12" i="3"/>
  <c r="O7" i="3"/>
  <c r="O38" i="3"/>
  <c r="P10" i="3"/>
  <c r="O24" i="3"/>
  <c r="P16" i="3"/>
  <c r="O30" i="3"/>
  <c r="P14" i="3"/>
  <c r="P13" i="3"/>
  <c r="O6" i="3"/>
  <c r="O13" i="3"/>
  <c r="O44" i="3"/>
  <c r="O12" i="3"/>
  <c r="P30" i="3"/>
  <c r="P5" i="3"/>
  <c r="O4" i="3"/>
  <c r="O17" i="3"/>
  <c r="P9" i="3"/>
  <c r="O23" i="3"/>
  <c r="P7" i="3"/>
  <c r="P6" i="3"/>
  <c r="O19" i="3"/>
  <c r="O50" i="3"/>
  <c r="P32" i="3"/>
  <c r="O10" i="3"/>
  <c r="O16" i="3"/>
  <c r="O25" i="3"/>
  <c r="O9" i="3"/>
  <c r="O31" i="3"/>
  <c r="O46" i="3"/>
  <c r="O39" i="3"/>
  <c r="O45" i="3"/>
  <c r="O8" i="3"/>
  <c r="P28" i="3"/>
  <c r="P51" i="3"/>
  <c r="O51" i="3"/>
  <c r="O48" i="3"/>
  <c r="O37" i="3"/>
  <c r="P44" i="3"/>
  <c r="P43" i="3"/>
  <c r="O41" i="3"/>
  <c r="O43" i="3"/>
  <c r="P20" i="3"/>
  <c r="P36" i="3"/>
  <c r="O36" i="3"/>
  <c r="P48" i="3"/>
  <c r="O34" i="3"/>
  <c r="O49" i="3"/>
  <c r="P35" i="3"/>
  <c r="O26" i="3"/>
  <c r="P46" i="3"/>
  <c r="P29" i="3"/>
  <c r="O29" i="3"/>
  <c r="P50" i="3"/>
  <c r="P49" i="3"/>
  <c r="P41" i="3"/>
  <c r="O27" i="3"/>
  <c r="O14" i="3"/>
  <c r="P39" i="3"/>
  <c r="O53" i="3"/>
  <c r="P45" i="3"/>
  <c r="P22" i="3"/>
  <c r="O22" i="3"/>
  <c r="P42" i="3"/>
  <c r="O42" i="3"/>
  <c r="P34" i="3"/>
  <c r="P19" i="3"/>
  <c r="O20" i="3"/>
  <c r="N24" i="3"/>
  <c r="N26" i="3"/>
  <c r="N47" i="3"/>
  <c r="N17" i="3"/>
  <c r="N16" i="3"/>
  <c r="M9" i="3"/>
  <c r="N52" i="3"/>
  <c r="N7" i="3"/>
  <c r="N32" i="3"/>
  <c r="M40" i="3"/>
  <c r="N10" i="3"/>
  <c r="N9" i="3"/>
  <c r="M45" i="3"/>
  <c r="N51" i="3"/>
  <c r="N13" i="3"/>
  <c r="N38" i="3"/>
  <c r="M23" i="3"/>
  <c r="M6" i="3"/>
  <c r="N23" i="3"/>
  <c r="M33" i="3"/>
  <c r="N36" i="3"/>
  <c r="M52" i="3"/>
  <c r="M43" i="3"/>
  <c r="N19" i="3"/>
  <c r="N44" i="3"/>
  <c r="M32" i="3"/>
  <c r="N20" i="3"/>
  <c r="M16" i="3"/>
  <c r="N5" i="3"/>
  <c r="M25" i="3"/>
  <c r="N46" i="3"/>
  <c r="N29" i="3"/>
  <c r="M44" i="3"/>
  <c r="N35" i="3"/>
  <c r="N25" i="3"/>
  <c r="N50" i="3"/>
  <c r="M18" i="3"/>
  <c r="M39" i="3"/>
  <c r="N22" i="3"/>
  <c r="M36" i="3"/>
  <c r="N28" i="3"/>
  <c r="M51" i="3"/>
  <c r="N31" i="3"/>
  <c r="M42" i="3"/>
  <c r="M4" i="3"/>
  <c r="M31" i="3"/>
  <c r="N15" i="3"/>
  <c r="M29" i="3"/>
  <c r="N21" i="3"/>
  <c r="N42" i="3"/>
  <c r="M50" i="3"/>
  <c r="N37" i="3"/>
  <c r="M48" i="3"/>
  <c r="M24" i="3"/>
  <c r="M53" i="3"/>
  <c r="M8" i="3"/>
  <c r="M22" i="3"/>
  <c r="M14" i="3"/>
  <c r="M35" i="3"/>
  <c r="N41" i="3"/>
  <c r="N43" i="3"/>
  <c r="N53" i="3"/>
  <c r="N45" i="3"/>
  <c r="M15" i="3"/>
  <c r="N6" i="3"/>
  <c r="M28" i="3"/>
  <c r="N34" i="3"/>
  <c r="N49" i="3"/>
  <c r="M47" i="3"/>
  <c r="M46" i="3"/>
  <c r="M37" i="3"/>
  <c r="M7" i="3"/>
  <c r="M21" i="3"/>
  <c r="N27" i="3"/>
  <c r="N8" i="3"/>
  <c r="N39" i="3"/>
  <c r="M38" i="3"/>
  <c r="M30" i="3"/>
  <c r="M13" i="3"/>
  <c r="M20" i="3"/>
  <c r="N14" i="3"/>
  <c r="K17" i="3"/>
  <c r="L5" i="3"/>
  <c r="L50" i="3"/>
  <c r="L33" i="3"/>
  <c r="K9" i="3"/>
  <c r="K8" i="3"/>
  <c r="L46" i="3"/>
  <c r="K7" i="3"/>
  <c r="L45" i="3"/>
  <c r="L42" i="3"/>
  <c r="K43" i="3"/>
  <c r="K26" i="3"/>
  <c r="K39" i="3"/>
  <c r="K38" i="3"/>
  <c r="K50" i="3"/>
  <c r="K22" i="3"/>
  <c r="L14" i="3"/>
  <c r="K48" i="3"/>
  <c r="K34" i="3"/>
  <c r="L18" i="3"/>
  <c r="L31" i="3"/>
  <c r="L30" i="3"/>
  <c r="L16" i="3"/>
  <c r="K42" i="3"/>
  <c r="K53" i="3"/>
  <c r="L26" i="3"/>
  <c r="L9" i="3"/>
  <c r="K49" i="3"/>
  <c r="L22" i="3"/>
  <c r="L21" i="3"/>
  <c r="K32" i="3"/>
  <c r="K13" i="3"/>
  <c r="K12" i="3"/>
  <c r="L4" i="3"/>
  <c r="K18" i="3"/>
  <c r="K36" i="3"/>
  <c r="L53" i="3"/>
  <c r="K47" i="3"/>
  <c r="K19" i="3"/>
  <c r="K40" i="3"/>
  <c r="K15" i="3"/>
  <c r="K14" i="3"/>
  <c r="L52" i="3"/>
  <c r="K11" i="3"/>
  <c r="L25" i="3"/>
  <c r="K30" i="3"/>
  <c r="L47" i="3"/>
  <c r="K41" i="3"/>
  <c r="K10" i="3"/>
  <c r="L32" i="3"/>
  <c r="L7" i="3"/>
  <c r="L6" i="3"/>
  <c r="K45" i="3"/>
  <c r="K37" i="3"/>
  <c r="K6" i="3"/>
  <c r="L13" i="3"/>
  <c r="L11" i="3"/>
  <c r="L15" i="3"/>
  <c r="K24" i="3"/>
  <c r="L41" i="3"/>
  <c r="K35" i="3"/>
  <c r="K25" i="3"/>
  <c r="L37" i="3"/>
  <c r="L20" i="3"/>
  <c r="K5" i="3"/>
  <c r="L35" i="3"/>
  <c r="K29" i="3"/>
  <c r="L49" i="3"/>
  <c r="K16" i="3"/>
  <c r="K46" i="3"/>
  <c r="K52" i="3"/>
  <c r="L28" i="3"/>
  <c r="L24" i="3"/>
  <c r="L29" i="3"/>
  <c r="K23" i="3"/>
  <c r="L40" i="3"/>
  <c r="L8" i="3"/>
  <c r="L38" i="3"/>
  <c r="K28" i="3"/>
  <c r="L44" i="3"/>
  <c r="K21" i="3"/>
  <c r="J33" i="3"/>
  <c r="I53" i="3"/>
  <c r="I19" i="3"/>
  <c r="J11" i="3"/>
  <c r="J45" i="3"/>
  <c r="I29" i="3"/>
  <c r="J36" i="3"/>
  <c r="I12" i="3"/>
  <c r="J49" i="3"/>
  <c r="I8" i="3"/>
  <c r="J51" i="3"/>
  <c r="J16" i="3"/>
  <c r="J47" i="3"/>
  <c r="J26" i="3"/>
  <c r="I27" i="3"/>
  <c r="J39" i="3"/>
  <c r="I44" i="3"/>
  <c r="J19" i="3"/>
  <c r="J12" i="3"/>
  <c r="I20" i="3"/>
  <c r="I42" i="3"/>
  <c r="I4" i="3"/>
  <c r="J22" i="3"/>
  <c r="I39" i="3"/>
  <c r="J38" i="3"/>
  <c r="J4" i="3"/>
  <c r="I5" i="3"/>
  <c r="I33" i="3"/>
  <c r="I10" i="3"/>
  <c r="J28" i="3"/>
  <c r="J31" i="3"/>
  <c r="I31" i="3"/>
  <c r="J53" i="3"/>
  <c r="I50" i="3"/>
  <c r="J25" i="3"/>
  <c r="J30" i="3"/>
  <c r="I16" i="3"/>
  <c r="J34" i="3"/>
  <c r="I24" i="3"/>
  <c r="J23" i="3"/>
  <c r="J44" i="3"/>
  <c r="J42" i="3"/>
  <c r="I18" i="3"/>
  <c r="I49" i="3"/>
  <c r="I14" i="3"/>
  <c r="I22" i="3"/>
  <c r="J40" i="3"/>
  <c r="I15" i="3"/>
  <c r="J14" i="3"/>
  <c r="I32" i="3"/>
  <c r="I23" i="3"/>
  <c r="J10" i="3"/>
  <c r="I37" i="3"/>
  <c r="I35" i="3"/>
  <c r="I9" i="3"/>
  <c r="J41" i="3"/>
  <c r="J9" i="3"/>
  <c r="I28" i="3"/>
  <c r="J46" i="3"/>
  <c r="J7" i="3"/>
  <c r="I7" i="3"/>
  <c r="I52" i="3"/>
  <c r="J24" i="3"/>
  <c r="I17" i="3"/>
  <c r="J29" i="3"/>
  <c r="J50" i="3"/>
  <c r="I26" i="3"/>
  <c r="J32" i="3"/>
  <c r="J15" i="3"/>
  <c r="I34" i="3"/>
  <c r="J52" i="3"/>
  <c r="J20" i="3"/>
  <c r="I51" i="3"/>
  <c r="I43" i="3"/>
  <c r="J18" i="3"/>
  <c r="I25" i="3"/>
  <c r="J48" i="3"/>
  <c r="J21" i="3"/>
  <c r="I40" i="3"/>
  <c r="I38" i="3"/>
  <c r="I13" i="3"/>
  <c r="J43" i="3"/>
  <c r="J35" i="3"/>
  <c r="I11" i="3"/>
  <c r="J17" i="3"/>
  <c r="I41" i="3"/>
  <c r="J27" i="3"/>
  <c r="I46" i="3"/>
  <c r="J6" i="3"/>
  <c r="H14" i="3"/>
  <c r="H33" i="3"/>
  <c r="G43" i="3"/>
  <c r="H24" i="3"/>
  <c r="G6" i="3"/>
  <c r="H23" i="3"/>
  <c r="H27" i="3"/>
  <c r="G37" i="3"/>
  <c r="H18" i="3"/>
  <c r="H17" i="3"/>
  <c r="G18" i="3"/>
  <c r="H26" i="3"/>
  <c r="G49" i="3"/>
  <c r="H30" i="3"/>
  <c r="G46" i="3"/>
  <c r="H21" i="3"/>
  <c r="G51" i="3"/>
  <c r="H44" i="3"/>
  <c r="G31" i="3"/>
  <c r="H12" i="3"/>
  <c r="H11" i="3"/>
  <c r="G40" i="3"/>
  <c r="H15" i="3"/>
  <c r="G45" i="3"/>
  <c r="H20" i="3"/>
  <c r="G25" i="3"/>
  <c r="H6" i="3"/>
  <c r="H5" i="3"/>
  <c r="G34" i="3"/>
  <c r="H9" i="3"/>
  <c r="G39" i="3"/>
  <c r="G19" i="3"/>
  <c r="G28" i="3"/>
  <c r="G33" i="3"/>
  <c r="G13" i="3"/>
  <c r="G48" i="3"/>
  <c r="G22" i="3"/>
  <c r="G27" i="3"/>
  <c r="G7" i="3"/>
  <c r="G42" i="3"/>
  <c r="H38" i="3"/>
  <c r="H29" i="3"/>
  <c r="G16" i="3"/>
  <c r="H32" i="3"/>
  <c r="G21" i="3"/>
  <c r="G36" i="3"/>
  <c r="G10" i="3"/>
  <c r="H8" i="3"/>
  <c r="G15" i="3"/>
  <c r="H48" i="3"/>
  <c r="G30" i="3"/>
  <c r="H47" i="3"/>
  <c r="H36" i="3"/>
  <c r="H39" i="3"/>
  <c r="G4" i="3"/>
  <c r="H51" i="3"/>
  <c r="G9" i="3"/>
  <c r="H42" i="3"/>
  <c r="G24" i="3"/>
  <c r="H41" i="3"/>
  <c r="E53" i="3"/>
  <c r="E31" i="3"/>
  <c r="F11" i="3"/>
  <c r="E41" i="3"/>
  <c r="F16" i="3"/>
  <c r="E16" i="3"/>
  <c r="F27" i="3"/>
  <c r="E15" i="3"/>
  <c r="F38" i="3"/>
  <c r="E38" i="3"/>
  <c r="F49" i="3"/>
  <c r="F44" i="3"/>
  <c r="F5" i="3"/>
  <c r="E35" i="3"/>
  <c r="F10" i="3"/>
  <c r="E10" i="3"/>
  <c r="F21" i="3"/>
  <c r="E9" i="3"/>
  <c r="F32" i="3"/>
  <c r="E32" i="3"/>
  <c r="E43" i="3"/>
  <c r="F43" i="3"/>
  <c r="E29" i="3"/>
  <c r="F4" i="3"/>
  <c r="E4" i="3"/>
  <c r="F15" i="3"/>
  <c r="F26" i="3"/>
  <c r="E26" i="3"/>
  <c r="E25" i="3"/>
  <c r="F37" i="3"/>
  <c r="E23" i="3"/>
  <c r="F9" i="3"/>
  <c r="F20" i="3"/>
  <c r="E20" i="3"/>
  <c r="E13" i="3"/>
  <c r="F31" i="3"/>
  <c r="E21" i="3"/>
  <c r="E17" i="3"/>
  <c r="F14" i="3"/>
  <c r="E14" i="3"/>
  <c r="F25" i="3"/>
  <c r="F17" i="3"/>
  <c r="E44" i="3"/>
  <c r="E11" i="3"/>
  <c r="F8" i="3"/>
  <c r="E37" i="3"/>
  <c r="E8" i="3"/>
  <c r="F19" i="3"/>
  <c r="F22" i="3"/>
  <c r="F47" i="3"/>
  <c r="E5" i="3"/>
  <c r="F52" i="3"/>
  <c r="E52" i="3"/>
  <c r="E51" i="3"/>
  <c r="E19" i="3"/>
  <c r="F13" i="3"/>
  <c r="E27" i="3"/>
  <c r="F50" i="3"/>
  <c r="E50" i="3"/>
  <c r="E49" i="3"/>
  <c r="F33" i="3"/>
  <c r="F41" i="3"/>
  <c r="F46" i="3"/>
  <c r="E46" i="3"/>
  <c r="E45" i="3"/>
  <c r="F7" i="3"/>
  <c r="F35" i="3"/>
  <c r="F40" i="3"/>
  <c r="E40" i="3"/>
  <c r="F51" i="3"/>
  <c r="E39" i="3"/>
  <c r="E22" i="3"/>
  <c r="F29" i="3"/>
  <c r="F34" i="3"/>
  <c r="E34" i="3"/>
  <c r="F45" i="3"/>
  <c r="E33" i="3"/>
  <c r="H15" i="22"/>
  <c r="H23" i="22" s="1"/>
  <c r="I4" i="22"/>
  <c r="I23" i="22" s="1"/>
  <c r="G120" i="1"/>
  <c r="C6" i="3" s="1"/>
  <c r="W120" i="1"/>
  <c r="C14" i="3" s="1"/>
  <c r="AQ120" i="1"/>
  <c r="C24" i="3" s="1"/>
  <c r="BO120" i="1"/>
  <c r="C36" i="3" s="1"/>
  <c r="P120" i="1"/>
  <c r="D10" i="3" s="1"/>
  <c r="BL120" i="1"/>
  <c r="D34" i="3" s="1"/>
  <c r="M120" i="1"/>
  <c r="C9" i="3" s="1"/>
  <c r="BI120" i="1"/>
  <c r="C33" i="3" s="1"/>
  <c r="J120" i="1"/>
  <c r="D7" i="3" s="1"/>
  <c r="BF120" i="1"/>
  <c r="D31" i="3" s="1"/>
  <c r="BG120" i="1"/>
  <c r="C32" i="3" s="1"/>
  <c r="CE120" i="1"/>
  <c r="C44" i="3" s="1"/>
  <c r="T120" i="1"/>
  <c r="D12" i="3" s="1"/>
  <c r="BP120" i="1"/>
  <c r="D36" i="3" s="1"/>
  <c r="Q120" i="1"/>
  <c r="C11" i="3" s="1"/>
  <c r="BM120" i="1"/>
  <c r="C35" i="3" s="1"/>
  <c r="N120" i="1"/>
  <c r="D9" i="3" s="1"/>
  <c r="BJ120" i="1"/>
  <c r="D33" i="3" s="1"/>
  <c r="CU120" i="1"/>
  <c r="C52" i="3" s="1"/>
  <c r="BT120" i="1"/>
  <c r="D38" i="3" s="1"/>
  <c r="BQ120" i="1"/>
  <c r="C37" i="3" s="1"/>
  <c r="BN120" i="1"/>
  <c r="D35" i="3" s="1"/>
  <c r="AE120" i="1"/>
  <c r="C18" i="3" s="1"/>
  <c r="AB120" i="1"/>
  <c r="D16" i="3" s="1"/>
  <c r="Y120" i="1"/>
  <c r="C15" i="3" s="1"/>
  <c r="BR120" i="1"/>
  <c r="D37" i="3" s="1"/>
  <c r="AU120" i="1"/>
  <c r="C26" i="3" s="1"/>
  <c r="AF120" i="1"/>
  <c r="D18" i="3" s="1"/>
  <c r="CB120" i="1"/>
  <c r="D42" i="3" s="1"/>
  <c r="AC120" i="1"/>
  <c r="C17" i="3" s="1"/>
  <c r="BY120" i="1"/>
  <c r="C41" i="3" s="1"/>
  <c r="Z120" i="1"/>
  <c r="D15" i="3" s="1"/>
  <c r="BV120" i="1"/>
  <c r="D39" i="3" s="1"/>
  <c r="O120" i="1"/>
  <c r="C10" i="3" s="1"/>
  <c r="X120" i="1"/>
  <c r="D14" i="3" s="1"/>
  <c r="U120" i="1"/>
  <c r="C13" i="3" s="1"/>
  <c r="R120" i="1"/>
  <c r="D11" i="3" s="1"/>
  <c r="BX120" i="1"/>
  <c r="D40" i="3" s="1"/>
  <c r="BU120" i="1"/>
  <c r="C39" i="3" s="1"/>
  <c r="V120" i="1"/>
  <c r="D13" i="3" s="1"/>
  <c r="BK120" i="1"/>
  <c r="C34" i="3" s="1"/>
  <c r="AM120" i="1"/>
  <c r="C22" i="3" s="1"/>
  <c r="AJ120" i="1"/>
  <c r="D20" i="3" s="1"/>
  <c r="CF120" i="1"/>
  <c r="D44" i="3" s="1"/>
  <c r="AG120" i="1"/>
  <c r="C19" i="3" s="1"/>
  <c r="CC120" i="1"/>
  <c r="C43" i="3" s="1"/>
  <c r="AD120" i="1"/>
  <c r="D17" i="3" s="1"/>
  <c r="BZ120" i="1"/>
  <c r="D41" i="3" s="1"/>
  <c r="CA120" i="1"/>
  <c r="C42" i="3" s="1"/>
  <c r="BC120" i="1"/>
  <c r="C30" i="3" s="1"/>
  <c r="AN120" i="1"/>
  <c r="D22" i="3" s="1"/>
  <c r="CJ120" i="1"/>
  <c r="D46" i="3" s="1"/>
  <c r="AK120" i="1"/>
  <c r="C21" i="3" s="1"/>
  <c r="CG120" i="1"/>
  <c r="C45" i="3" s="1"/>
  <c r="AH120" i="1"/>
  <c r="D19" i="3" s="1"/>
  <c r="CD120" i="1"/>
  <c r="D43" i="3" s="1"/>
  <c r="CQ120" i="1"/>
  <c r="C50" i="3" s="1"/>
  <c r="BS120" i="1"/>
  <c r="C38" i="3" s="1"/>
  <c r="AR120" i="1"/>
  <c r="D24" i="3" s="1"/>
  <c r="CN120" i="1"/>
  <c r="D48" i="3" s="1"/>
  <c r="AO120" i="1"/>
  <c r="C23" i="3" s="1"/>
  <c r="CK120" i="1"/>
  <c r="C47" i="3" s="1"/>
  <c r="AL120" i="1"/>
  <c r="D21" i="3" s="1"/>
  <c r="CH120" i="1"/>
  <c r="D45" i="3" s="1"/>
  <c r="K120" i="1"/>
  <c r="C8" i="3" s="1"/>
  <c r="C120" i="1"/>
  <c r="C4" i="3" s="1"/>
  <c r="CI120" i="1"/>
  <c r="C46" i="3" s="1"/>
  <c r="AV120" i="1"/>
  <c r="D26" i="3" s="1"/>
  <c r="CR120" i="1"/>
  <c r="D50" i="3" s="1"/>
  <c r="AS120" i="1"/>
  <c r="C25" i="3" s="1"/>
  <c r="CO120" i="1"/>
  <c r="C49" i="3" s="1"/>
  <c r="AP120" i="1"/>
  <c r="D23" i="3" s="1"/>
  <c r="CL120" i="1"/>
  <c r="D47" i="3" s="1"/>
  <c r="BW120" i="1"/>
  <c r="C40" i="3" s="1"/>
  <c r="S120" i="1"/>
  <c r="C12" i="3" s="1"/>
  <c r="D120" i="1"/>
  <c r="D4" i="3" s="1"/>
  <c r="AZ120" i="1"/>
  <c r="D28" i="3" s="1"/>
  <c r="CV120" i="1"/>
  <c r="D52" i="3" s="1"/>
  <c r="AW120" i="1"/>
  <c r="C27" i="3" s="1"/>
  <c r="CS120" i="1"/>
  <c r="C51" i="3" s="1"/>
  <c r="AT120" i="1"/>
  <c r="D25" i="3" s="1"/>
  <c r="CP120" i="1"/>
  <c r="D49" i="3" s="1"/>
  <c r="AA120" i="1"/>
  <c r="C16" i="3" s="1"/>
  <c r="AI120" i="1"/>
  <c r="C20" i="3" s="1"/>
  <c r="H120" i="1"/>
  <c r="D6" i="3" s="1"/>
  <c r="BD120" i="1"/>
  <c r="D30" i="3" s="1"/>
  <c r="E120" i="1"/>
  <c r="C5" i="3" s="1"/>
  <c r="BA120" i="1"/>
  <c r="C29" i="3" s="1"/>
  <c r="CW120" i="1"/>
  <c r="C53" i="3" s="1"/>
  <c r="AX120" i="1"/>
  <c r="D27" i="3" s="1"/>
  <c r="CT120" i="1"/>
  <c r="D51" i="3" s="1"/>
  <c r="CM120" i="1"/>
  <c r="C48" i="3" s="1"/>
  <c r="AY120" i="1"/>
  <c r="C28" i="3" s="1"/>
  <c r="L120" i="1"/>
  <c r="D8" i="3" s="1"/>
  <c r="BH120" i="1"/>
  <c r="D32" i="3" s="1"/>
  <c r="I120" i="1"/>
  <c r="C7" i="3" s="1"/>
  <c r="BE120" i="1"/>
  <c r="C31" i="3" s="1"/>
  <c r="F120" i="1"/>
  <c r="D5" i="3" s="1"/>
  <c r="BB120" i="1"/>
  <c r="D29" i="3" s="1"/>
  <c r="CX120" i="1"/>
  <c r="D53" i="3" s="1"/>
  <c r="J9" i="22"/>
  <c r="J23" i="22" s="1"/>
  <c r="K23" i="22"/>
  <c r="G23" i="22"/>
  <c r="F23" i="22"/>
  <c r="E23" i="22"/>
  <c r="C23" i="22"/>
  <c r="D23" i="22"/>
  <c r="M23" i="22"/>
  <c r="CY37" i="1"/>
  <c r="B6" i="22" s="1"/>
  <c r="CZ53" i="1"/>
  <c r="CZ59" i="1"/>
  <c r="CY27" i="1"/>
  <c r="B19" i="22" s="1"/>
  <c r="CY24" i="1"/>
  <c r="B21" i="22" s="1"/>
  <c r="CZ99" i="1"/>
  <c r="CZ47" i="1"/>
  <c r="CZ37" i="1"/>
  <c r="CZ27" i="1"/>
  <c r="CZ20" i="1"/>
  <c r="CZ110" i="1"/>
  <c r="CZ92" i="1"/>
  <c r="CZ88" i="1"/>
  <c r="CY92" i="1"/>
  <c r="B18" i="22" s="1"/>
  <c r="CY119" i="1"/>
  <c r="CY20" i="1"/>
  <c r="B4" i="22" s="1"/>
  <c r="CY47" i="1"/>
  <c r="B11" i="22" s="1"/>
  <c r="CY53" i="1"/>
  <c r="B12" i="22" s="1"/>
  <c r="CY95" i="1"/>
  <c r="B20" i="22" s="1"/>
  <c r="CY40" i="1"/>
  <c r="B10" i="22" s="1"/>
  <c r="CY34" i="1"/>
  <c r="B15" i="22" s="1"/>
  <c r="CZ79" i="1"/>
  <c r="CZ24" i="1"/>
  <c r="CY99" i="1"/>
  <c r="B13" i="22" s="1"/>
  <c r="CZ119" i="1"/>
  <c r="CZ10" i="1"/>
  <c r="CZ95" i="1"/>
  <c r="CZ40" i="1"/>
  <c r="CZ34" i="1"/>
  <c r="CY110" i="1"/>
  <c r="B3" i="22" s="1"/>
  <c r="CY88" i="1"/>
  <c r="B14" i="22" s="1"/>
  <c r="CY79" i="1"/>
  <c r="B16" i="22" s="1"/>
  <c r="CY59" i="1"/>
  <c r="B17" i="22" s="1"/>
  <c r="CY10" i="1"/>
  <c r="B9" i="22" s="1"/>
  <c r="CY120" i="1" l="1"/>
  <c r="CZ120" i="1"/>
  <c r="H54" i="3"/>
  <c r="O54" i="3"/>
  <c r="R54" i="3"/>
  <c r="J54" i="3"/>
  <c r="Q54" i="3"/>
  <c r="Z54" i="3"/>
  <c r="G54" i="3"/>
  <c r="F54" i="3"/>
  <c r="E54" i="3"/>
  <c r="N54" i="3"/>
  <c r="P54" i="3"/>
  <c r="T54" i="3"/>
  <c r="S54" i="3"/>
  <c r="W54" i="3"/>
  <c r="X54" i="3"/>
  <c r="Y54" i="3"/>
  <c r="I54" i="3"/>
  <c r="D54" i="3"/>
  <c r="K54" i="3"/>
  <c r="L54" i="3"/>
  <c r="M54" i="3"/>
  <c r="V54" i="3"/>
  <c r="U54" i="3"/>
  <c r="B23" i="22"/>
  <c r="C54" i="3"/>
</calcChain>
</file>

<file path=xl/sharedStrings.xml><?xml version="1.0" encoding="utf-8"?>
<sst xmlns="http://schemas.openxmlformats.org/spreadsheetml/2006/main" count="2848" uniqueCount="191">
  <si>
    <t>BRANDS</t>
  </si>
  <si>
    <t>BE TOTAL</t>
  </si>
  <si>
    <t>PTS</t>
  </si>
  <si>
    <t>ALZIL - SR 23 10 TAB</t>
  </si>
  <si>
    <t>ALZIL- SR 11.5 10 TAB</t>
  </si>
  <si>
    <t>ALZIL-10 10 TAB</t>
  </si>
  <si>
    <t>ALZIL-5 10 TAB</t>
  </si>
  <si>
    <t>ALZIL-M 10 10 TAB</t>
  </si>
  <si>
    <t>ALZIL-M 5 10 TAB</t>
  </si>
  <si>
    <t>ALZIL GROUP</t>
  </si>
  <si>
    <t>CELETOIN 300 30 TAB</t>
  </si>
  <si>
    <t>CELETOIN ER 300 30 TAB</t>
  </si>
  <si>
    <t>CELETOIN GROUP</t>
  </si>
  <si>
    <t>LURASID 40 (10T)</t>
  </si>
  <si>
    <t>LURASID 80 (10T)</t>
  </si>
  <si>
    <t>LURASID GROUP</t>
  </si>
  <si>
    <t>MIRNITE MELTAB-15 10 TAB</t>
  </si>
  <si>
    <t>MIRNITE MELTAB-30 10 TAB</t>
  </si>
  <si>
    <t>MIRNITE MELTAB-7.5 10 TAB</t>
  </si>
  <si>
    <t>MIRNITE-15 10 TAB</t>
  </si>
  <si>
    <t>MIRNITE-30 10 TAB</t>
  </si>
  <si>
    <t>MIRNITE-7.5 10 TAB</t>
  </si>
  <si>
    <t>MIRNITE GROUP</t>
  </si>
  <si>
    <t>NAPRA-D 250 10 TAB</t>
  </si>
  <si>
    <t>NAPRA-D 500 10 TAB</t>
  </si>
  <si>
    <t>NAPRA D GROUP</t>
  </si>
  <si>
    <t>NEMDAA 10 10 TAB</t>
  </si>
  <si>
    <t>NEMDAA 5 10 TAB</t>
  </si>
  <si>
    <t>NEMDAA GROUP</t>
  </si>
  <si>
    <t>OLIMELT 10 10 TAB (D)</t>
  </si>
  <si>
    <t>OLIMELT 15 10 TAB</t>
  </si>
  <si>
    <t>OLIMELT 2.5 10 TAB</t>
  </si>
  <si>
    <t>OLIMELT 20 10 TAB</t>
  </si>
  <si>
    <t>OLIMELT 5 10 TAB (D)</t>
  </si>
  <si>
    <t>OLIMELT 7.5 10 TAB</t>
  </si>
  <si>
    <t>OLIMELT GROUP</t>
  </si>
  <si>
    <t>PREXARON 500MG 10 TAB</t>
  </si>
  <si>
    <t>PREXARON INJ. 2ML</t>
  </si>
  <si>
    <t>PREXARON INJ. 4ML</t>
  </si>
  <si>
    <t>PREXARON PLUS 10 TAB</t>
  </si>
  <si>
    <t>PREXARON SYRUP 60 ML</t>
  </si>
  <si>
    <t>PREXARON GROUP</t>
  </si>
  <si>
    <t>PROVANOL SR -40 10 TAB</t>
  </si>
  <si>
    <t>PROVANOL SR -60 10 TAB</t>
  </si>
  <si>
    <t>PROVANOL SR -80 10 TAB</t>
  </si>
  <si>
    <t>PROVANOL-10 10 TAB (D)</t>
  </si>
  <si>
    <t>PROVANOL-20 10 TAB</t>
  </si>
  <si>
    <t>PROVANOL-40 10 TAB (D)</t>
  </si>
  <si>
    <t>PROVANOL GROUP</t>
  </si>
  <si>
    <t>PROVANOL PLUS 10 10 TAB.</t>
  </si>
  <si>
    <t>PROVANOL PLUS 5 10 TAB</t>
  </si>
  <si>
    <t>PROVANOL FORTE 0.25 10 TAB</t>
  </si>
  <si>
    <t>PROVANOL FORTE 0.5 10 TAB</t>
  </si>
  <si>
    <t>REJUNEX 10 CAP (SOFTGEL)</t>
  </si>
  <si>
    <t>REJUNEX FORTE INJ. 2ML</t>
  </si>
  <si>
    <t>REJUNEX INJ. 1ML</t>
  </si>
  <si>
    <t>REJUNEX GROUP</t>
  </si>
  <si>
    <t>SUNAPRO (2T)</t>
  </si>
  <si>
    <t>SUNAPRO</t>
  </si>
  <si>
    <t>VENTAB DXT 100 10 TAB</t>
  </si>
  <si>
    <t>VENTAB DXT 25 10 TAB</t>
  </si>
  <si>
    <t>VENTAB DXT 50 10 TAB</t>
  </si>
  <si>
    <t>VENTAB PLUS (10T)</t>
  </si>
  <si>
    <t>VENTAB XL 150 10 TAB</t>
  </si>
  <si>
    <t>VENTAB XL 37.5 10 TAB</t>
  </si>
  <si>
    <t>VENTAB XL 75 10 TAB</t>
  </si>
  <si>
    <t>VENTAB XL</t>
  </si>
  <si>
    <t>VILAZINE 20 10 TABLETS</t>
  </si>
  <si>
    <t>VILAZINE 40 10 TABLETS</t>
  </si>
  <si>
    <t>VILAZINE</t>
  </si>
  <si>
    <t>ZAPTRA</t>
  </si>
  <si>
    <t>AVANTA TOTAL</t>
  </si>
  <si>
    <t>MaterialName</t>
  </si>
  <si>
    <t>MRP</t>
  </si>
  <si>
    <t>Price To Retailer</t>
  </si>
  <si>
    <t>Stockiest Rate</t>
  </si>
  <si>
    <t>BRIVAZEN</t>
  </si>
  <si>
    <t>PALMIFLAM</t>
  </si>
  <si>
    <t>ALZIL M FORTE 10 TAB</t>
  </si>
  <si>
    <t>BRIVAZEN INJECTION (5 ML)</t>
  </si>
  <si>
    <t>CELETOIN -100, 100 TABS (D)</t>
  </si>
  <si>
    <t>PALMIFLAM (10C)</t>
  </si>
  <si>
    <t>PAXINTA CR 12.5 10 TAB</t>
  </si>
  <si>
    <t>PAXINTA CR 25 10 TAB</t>
  </si>
  <si>
    <t>PAXINTA CR 37.5 10 TAB</t>
  </si>
  <si>
    <t>REJUNEX OD 10 CAPS</t>
  </si>
  <si>
    <t>REJUNEX PLUS NF (10C)</t>
  </si>
  <si>
    <t>VENTAB PLUS 100 10T SALE</t>
  </si>
  <si>
    <t>VENTAB DXT GROUP</t>
  </si>
  <si>
    <t>PAXINTA CR</t>
  </si>
  <si>
    <t>Sale
(Units)</t>
  </si>
  <si>
    <t>Closing Stock (Units)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</si>
  <si>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</si>
  <si>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</si>
  <si>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</si>
  <si>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</si>
  <si>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</si>
  <si>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</si>
  <si>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</si>
  <si>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</si>
  <si>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</si>
  <si>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APRIL</t>
  </si>
  <si>
    <t>MAY</t>
  </si>
  <si>
    <t>JUN</t>
  </si>
  <si>
    <t>JULY</t>
  </si>
  <si>
    <t>AUG</t>
  </si>
  <si>
    <t>SEPT</t>
  </si>
  <si>
    <t>OCT</t>
  </si>
  <si>
    <t>NOV</t>
  </si>
  <si>
    <t>DEC</t>
  </si>
  <si>
    <t>JAN</t>
  </si>
  <si>
    <t>FEB</t>
  </si>
  <si>
    <t>MAR</t>
  </si>
  <si>
    <t>STOCKIEST WISE SECONDARY SALES TREND</t>
  </si>
  <si>
    <t>HQ TOTAL</t>
  </si>
  <si>
    <t>TOTAL</t>
  </si>
  <si>
    <t>SS</t>
  </si>
  <si>
    <t>CS</t>
  </si>
  <si>
    <t>BRIVAZEN SR 100 (SALE) (10T)</t>
  </si>
  <si>
    <t>BRIVAZEN SR 200 (SALE) (10T)</t>
  </si>
  <si>
    <t>BRIVAZEN SR 50 (SALE) (10T)</t>
  </si>
  <si>
    <t>REJUNEX B (10C)</t>
  </si>
  <si>
    <t>VENTAB LS (10T)</t>
  </si>
  <si>
    <t>ZAPTRA 25 15 TAB</t>
  </si>
  <si>
    <t>BRIVAZEN SOLUTION 200 ML</t>
  </si>
  <si>
    <t>BRIVAZEN GROUP</t>
  </si>
  <si>
    <t>ZAPTRA 12.5 15 TAB</t>
  </si>
  <si>
    <t>BRIVAZEN 100 (15T)</t>
  </si>
  <si>
    <t>BRIVAZEN 25 (15T)</t>
  </si>
  <si>
    <t>BRIVAZEN 50 (15T)</t>
  </si>
  <si>
    <t>BRIVAZEN 75 (15T)</t>
  </si>
  <si>
    <t>ZAPTRA LS 12.5 15 CAP</t>
  </si>
  <si>
    <t>REJUNEX PFS 1ML(SALE)</t>
  </si>
  <si>
    <t>PROVANOL-SR 20 (10T)</t>
  </si>
  <si>
    <t>ETILAAM 0.25 15TAB</t>
  </si>
  <si>
    <t>ETILAAM 0.5 MG 15 TAB</t>
  </si>
  <si>
    <t>ETILAAM 1 MG 10 TAB</t>
  </si>
  <si>
    <t>ETILAAM 1.5 CR 10 TAB</t>
  </si>
  <si>
    <t>ETILAAM PRO-20 15TAB</t>
  </si>
  <si>
    <t>ETILAAM PRO-40 15TAB</t>
  </si>
  <si>
    <t>ETILAAM-MD-0.25 (10T)</t>
  </si>
  <si>
    <t>ETILAAM-MD-0.5 (10T)</t>
  </si>
  <si>
    <t>ETILAAM-S-10 10 TAB</t>
  </si>
  <si>
    <t>ETILAAM-S-5 10 TAB</t>
  </si>
  <si>
    <t>ETILAAM GROUP</t>
  </si>
  <si>
    <t>CLONIL</t>
  </si>
  <si>
    <t>CLONIL-10 15 TAB</t>
  </si>
  <si>
    <t>CLONIL 25 15 TAB</t>
  </si>
  <si>
    <t>CLONIL-50 15 TAB</t>
  </si>
  <si>
    <t>CLONIL 75 SR 15 TAB</t>
  </si>
  <si>
    <t>VASU PHARMA DRUGS PVT LTD</t>
  </si>
  <si>
    <t>PRAKASH PHARMA DISTRIBUTORS</t>
  </si>
  <si>
    <t>Divya Pharma</t>
  </si>
  <si>
    <t>KEIMED PRIVATE LIMITED</t>
  </si>
  <si>
    <t>SAI SRIDHAR PHARMA PVT LTD</t>
  </si>
  <si>
    <t>SRI VENKATARAGHAVA AGENCIES</t>
  </si>
  <si>
    <t>SVS PHARMA</t>
  </si>
  <si>
    <t>PHARMA DISTRIBUTORS</t>
  </si>
  <si>
    <t>SAI PHARMA DISTRIBUTERS PVT LTD</t>
  </si>
  <si>
    <t>ALANKRITA AGENCIES</t>
  </si>
  <si>
    <t>JAYA SURG &amp; PHARMA PVT LTD</t>
  </si>
  <si>
    <t>MANASA MEDICAL AGENCIES</t>
  </si>
  <si>
    <t>KARTHICK AGENCIES</t>
  </si>
  <si>
    <t>NIRMALA AGENCIES</t>
  </si>
  <si>
    <t>HIMALAYA MEDICAL AGENCIES</t>
  </si>
  <si>
    <t xml:space="preserve">Maruthi </t>
  </si>
  <si>
    <t>LAXMI SAI MEDICAL AGENCIES</t>
  </si>
  <si>
    <t>Patwari Pharma</t>
  </si>
  <si>
    <t>Vishnu &amp; Co</t>
  </si>
  <si>
    <t>SUMAN AGENCIES HYD PVT LTD</t>
  </si>
  <si>
    <t>Sri Nirmala</t>
  </si>
  <si>
    <t>SHREE SHARADA PHARMA</t>
  </si>
  <si>
    <t>ALLIED PHARMA</t>
  </si>
  <si>
    <t>GOEL DISTRIBUTER</t>
  </si>
  <si>
    <t>KAMALESH PHARMA</t>
  </si>
  <si>
    <t>ARVIND PHARMA DISTRIBUTER</t>
  </si>
  <si>
    <t>GOEL PHARMA</t>
  </si>
  <si>
    <t>KRISHNA  PHARMACEUTICALS</t>
  </si>
  <si>
    <t>AP DRUGS</t>
  </si>
  <si>
    <t>MAWA PHARMACEUTICALS</t>
  </si>
  <si>
    <t>TIRUMALA AGENCIES</t>
  </si>
  <si>
    <t>SREE HARI MEDICALS</t>
  </si>
  <si>
    <t>SREE VENKATESHWARA MEDISOLUTIONS</t>
  </si>
  <si>
    <t>SRI BALAJI DRUGS</t>
  </si>
  <si>
    <t>VISHNU MEDICAL HALL</t>
  </si>
  <si>
    <t>HYDERABAD SPECIALITY DRUGS</t>
  </si>
  <si>
    <t>LORVEN PHARMA &amp; SURGICALS (CORP)</t>
  </si>
  <si>
    <t>AK PHARMA</t>
  </si>
  <si>
    <t>OPTIVAL HEALTHSOLUTIONS</t>
  </si>
  <si>
    <t>BALAJI MEDICAL AGENCIES</t>
  </si>
  <si>
    <t>SHREEJI DIST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</si>
</sst>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11"/>
      <color rgb="FF000000"/>
      <name val="Calibri"/>
      <charset val="134"/>
    </font>
  </fonts>
  <fills count="10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DDE8"/>
        <bgColor rgb="FFB7DDE8"/>
      </patternFill>
    </fill>
    <fill>
      <patternFill patternType="solid">
        <fgColor rgb="FFB7DDE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2" fillId="6" borderId="0" applyNumberFormat="0" applyBorder="0" applyAlignment="0" applyProtection="0"/>
  </cellStyleXfs>
  <cellXfs count="50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164" fontId="5" fillId="4" borderId="1" xfId="1" applyNumberFormat="1" applyFont="1" applyFill="1" applyBorder="1" applyAlignment="1">
      <alignment horizontal="center" vertical="center"/>
    </xf>
    <xf numFmtId="43" fontId="6" fillId="5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5" fillId="4" borderId="1" xfId="0" applyFont="1" applyFill="1" applyBorder="1" applyAlignment="1">
      <alignment horizontal="left" vertical="center"/>
    </xf>
    <xf numFmtId="2" fontId="5" fillId="4" borderId="1" xfId="0" applyNumberFormat="1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" fontId="0" fillId="0" borderId="1" xfId="0" applyNumberFormat="1" applyBorder="1"/>
    <xf numFmtId="0" fontId="8" fillId="3" borderId="1" xfId="0" applyFont="1" applyFill="1" applyBorder="1" applyAlignment="1">
      <alignment horizontal="left" vertical="center"/>
    </xf>
    <xf numFmtId="2" fontId="8" fillId="3" borderId="1" xfId="0" applyNumberFormat="1" applyFont="1" applyFill="1" applyBorder="1"/>
    <xf numFmtId="0" fontId="4" fillId="0" borderId="1" xfId="0" applyFont="1" applyBorder="1" applyAlignment="1">
      <alignment horizontal="left" vertical="center"/>
    </xf>
    <xf numFmtId="2" fontId="4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Protection="1">
      <protection locked="0"/>
    </xf>
    <xf numFmtId="43" fontId="0" fillId="0" borderId="1" xfId="0" applyNumberFormat="1" applyBorder="1" applyAlignment="1">
      <alignment horizontal="right" vertical="center"/>
    </xf>
    <xf numFmtId="43" fontId="8" fillId="6" borderId="1" xfId="2" applyNumberFormat="1" applyFont="1" applyBorder="1" applyAlignment="1">
      <alignment horizontal="right" vertical="center"/>
    </xf>
    <xf numFmtId="14" fontId="0" fillId="0" borderId="0" xfId="0" applyNumberFormat="1"/>
    <xf numFmtId="0" fontId="1" fillId="0" borderId="1" xfId="0" applyFont="1" applyBorder="1" applyAlignment="1">
      <alignment vertical="center"/>
    </xf>
    <xf numFmtId="0" fontId="8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>
      <alignment vertical="center" wrapText="1"/>
    </xf>
    <xf numFmtId="0" fontId="10" fillId="0" borderId="1" xfId="0" applyFont="1" applyBorder="1" applyAlignment="1">
      <alignment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164" fontId="11" fillId="4" borderId="1" xfId="1" applyNumberFormat="1" applyFont="1" applyFill="1" applyBorder="1" applyAlignment="1" applyProtection="1">
      <alignment horizontal="center" vertical="center"/>
    </xf>
    <xf numFmtId="0" fontId="11" fillId="8" borderId="4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vertical="center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</cellXfs>
  <cellStyles count="3">
    <cellStyle name="60% - Accent1" xfId="2" builtinId="32"/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S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"/>
      <sheetName val="MAY"/>
      <sheetName val="JUN"/>
      <sheetName val="JULY"/>
      <sheetName val="AUG"/>
      <sheetName val="SEPT"/>
      <sheetName val="OCT"/>
      <sheetName val="NOV"/>
      <sheetName val="DEC"/>
      <sheetName val="JAN"/>
      <sheetName val="FEB"/>
      <sheetName val="MAR"/>
      <sheetName val="Stockist trend"/>
      <sheetName val="PRD TREND"/>
      <sheetName val="PRICELIST"/>
    </sheetNames>
    <sheetDataSet>
      <sheetData sheetId="0">
        <row r="1">
          <cell r="C1" t="str">
            <v>VASU PHARMA DRUGS PVT LTD</v>
          </cell>
          <cell r="E1" t="str">
            <v>PRAKASH PHARMA DISTRIBUTORS</v>
          </cell>
          <cell r="G1" t="str">
            <v>Divya Pharma</v>
          </cell>
          <cell r="I1" t="str">
            <v>KEIMED PRIVATE LIMITED</v>
          </cell>
          <cell r="K1" t="str">
            <v>SAI SRIDHAR PHARMA PVT LTD</v>
          </cell>
          <cell r="M1" t="str">
            <v>SRI VENKATARAGHAVA AGENCIES</v>
          </cell>
          <cell r="Q1" t="str">
            <v>SVS PHARMA</v>
          </cell>
          <cell r="S1" t="str">
            <v>PHARMA DISTRIBUTORS</v>
          </cell>
          <cell r="U1" t="str">
            <v>SAI PHARMA DISTRIBUTERS PVT LTD</v>
          </cell>
          <cell r="W1" t="str">
            <v>ALANKRITA AGENCIES</v>
          </cell>
          <cell r="Y1" t="str">
            <v>JAYA SURG &amp; PHARMA PVT LTD</v>
          </cell>
          <cell r="AA1" t="str">
            <v>MANASA MEDICAL AGENCIES</v>
          </cell>
          <cell r="AC1" t="str">
            <v>KARTHICK AGENCIES</v>
          </cell>
          <cell r="AE1" t="str">
            <v>NIRMALA AGENCIES</v>
          </cell>
          <cell r="AG1" t="str">
            <v>HIMALAYA MEDICAL AGENCIES</v>
          </cell>
          <cell r="AI1" t="str">
            <v xml:space="preserve">Maruthi </v>
          </cell>
          <cell r="AK1" t="str">
            <v>LAXMI SAI MEDICAL AGENCIES</v>
          </cell>
          <cell r="AM1" t="str">
            <v>Patwari Pharma</v>
          </cell>
          <cell r="AO1" t="str">
            <v>Vishnu &amp; Co</v>
          </cell>
          <cell r="AQ1" t="str">
            <v>SUMAN AGENCIES HYD PVT LTD</v>
          </cell>
          <cell r="AS1" t="str">
            <v>Sri Nirmala</v>
          </cell>
          <cell r="AU1" t="str">
            <v>SHREE SHARADA PHARMA</v>
          </cell>
          <cell r="AW1" t="str">
            <v>ALLIED PHARMA</v>
          </cell>
          <cell r="AY1" t="str">
            <v>GOEL DISTRIBUTER</v>
          </cell>
          <cell r="BA1" t="str">
            <v>KAMALESH PHARMA</v>
          </cell>
          <cell r="BC1" t="str">
            <v>ARVIND PHARMA DISTRIBUTER</v>
          </cell>
          <cell r="BE1" t="str">
            <v>GOEL PHARMA</v>
          </cell>
          <cell r="BG1" t="str">
            <v>KRISHNA  PHARMACEUTICALS</v>
          </cell>
          <cell r="BI1" t="str">
            <v>AP DRUGS</v>
          </cell>
          <cell r="BK1" t="str">
            <v>MAWA PHARMACEUTICALS</v>
          </cell>
          <cell r="BM1" t="str">
            <v>TIRUMALA AGENCIES</v>
          </cell>
          <cell r="BO1" t="str">
            <v>SREE HARI MEDICALS</v>
          </cell>
          <cell r="BQ1" t="str">
            <v>SREE VENKATESHWARA MEDISOLUTIONS</v>
          </cell>
          <cell r="BS1" t="str">
            <v>SRI BALAJI DRUGS</v>
          </cell>
          <cell r="BU1" t="str">
            <v>VISHNU MEDICAL HALL</v>
          </cell>
          <cell r="BW1" t="str">
            <v>HYDERABAD SPECIALITY DRUGS</v>
          </cell>
          <cell r="BY1" t="str">
            <v>LORVEN PHARMA &amp; SURGICALS (CORP)</v>
          </cell>
          <cell r="CA1" t="str">
            <v>AK PHARMA</v>
          </cell>
          <cell r="CC1" t="str">
            <v>OPTIVAL HEALTHSOLUTIONS</v>
          </cell>
          <cell r="CE1" t="str">
            <v>BALAJI MEDICAL AGENCIES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12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T108" sqref="BT108"/>
    </sheetView>
  </sheetViews>
  <sheetFormatPr defaultColWidth="9.1796875" defaultRowHeight="14.5"/>
  <cols>
    <col min="1" max="1" width="31.54296875" style="2" customWidth="1"/>
    <col min="2" max="2" width="8.81640625" style="3" customWidth="1"/>
    <col min="3" max="3" width="10" style="3" bestFit="1" customWidth="1"/>
    <col min="4" max="4" width="11.6328125" style="3" customWidth="1"/>
    <col min="5" max="41" width="9.1796875" style="3"/>
    <col min="42" max="42" width="8.54296875" style="3" customWidth="1"/>
    <col min="43" max="43" width="9.81640625" style="3" customWidth="1"/>
    <col min="44" max="46" width="8.54296875" style="3" customWidth="1"/>
    <col min="47" max="47" width="9.81640625" style="3" customWidth="1"/>
    <col min="48" max="48" width="8.54296875" style="3" customWidth="1"/>
    <col min="49" max="49" width="7.54296875" style="3" customWidth="1"/>
    <col min="50" max="50" width="8.54296875" style="3" customWidth="1"/>
    <col min="51" max="51" width="7.54296875" style="3" customWidth="1"/>
    <col min="52" max="52" width="8.54296875" style="3" customWidth="1"/>
    <col min="53" max="53" width="7.54296875" style="3" customWidth="1"/>
    <col min="54" max="54" width="8.54296875" style="3" customWidth="1"/>
    <col min="55" max="55" width="10.08984375" style="3" customWidth="1"/>
    <col min="56" max="56" width="8.54296875" style="3" customWidth="1"/>
    <col min="57" max="57" width="8.90625" style="3" customWidth="1"/>
    <col min="58" max="58" width="8.54296875" style="3" customWidth="1"/>
    <col min="59" max="59" width="7.54296875" style="3" customWidth="1"/>
    <col min="60" max="60" width="8.54296875" style="3" customWidth="1"/>
    <col min="61" max="61" width="7.54296875" style="3" customWidth="1"/>
    <col min="62" max="62" width="8.54296875" style="3" customWidth="1"/>
    <col min="63" max="63" width="7.54296875" style="3" customWidth="1"/>
    <col min="64" max="64" width="8.54296875" style="3" customWidth="1"/>
    <col min="65" max="65" width="7.54296875" style="3" customWidth="1"/>
    <col min="66" max="66" width="8.54296875" style="3" customWidth="1"/>
    <col min="67" max="67" width="7.54296875" style="3" customWidth="1"/>
    <col min="68" max="68" width="8.54296875" style="3" customWidth="1"/>
    <col min="69" max="69" width="9.36328125" style="3" customWidth="1"/>
    <col min="70" max="70" width="8.54296875" style="3" customWidth="1"/>
    <col min="71" max="71" width="7.54296875" style="3" customWidth="1"/>
    <col min="72" max="72" width="8.54296875" style="3" customWidth="1"/>
    <col min="73" max="73" width="9.81640625" style="3" customWidth="1"/>
    <col min="74" max="74" width="8.54296875" style="3" customWidth="1"/>
    <col min="75" max="75" width="10.54296875" style="3" customWidth="1"/>
    <col min="76" max="76" width="8.54296875" style="3" customWidth="1"/>
    <col min="77" max="77" width="12.08984375" style="3" customWidth="1"/>
    <col min="78" max="78" width="8.54296875" style="3" customWidth="1"/>
    <col min="79" max="79" width="7.54296875" style="3" customWidth="1"/>
    <col min="80" max="80" width="8.54296875" style="3" customWidth="1"/>
    <col min="81" max="81" width="11.36328125" style="3" customWidth="1"/>
    <col min="82" max="82" width="8.54296875" style="3" customWidth="1"/>
    <col min="83" max="83" width="7.54296875" style="3" customWidth="1"/>
    <col min="84" max="84" width="8.54296875" style="3" customWidth="1"/>
    <col min="85" max="85" width="7.54296875" style="3" customWidth="1"/>
    <col min="86" max="86" width="8.54296875" style="3" customWidth="1"/>
    <col min="87" max="87" width="7.54296875" style="3" customWidth="1"/>
    <col min="88" max="88" width="8.54296875" style="3" customWidth="1"/>
    <col min="89" max="89" width="7.54296875" style="3" customWidth="1"/>
    <col min="90" max="90" width="8.54296875" style="3" customWidth="1"/>
    <col min="91" max="91" width="7.54296875" style="3" customWidth="1"/>
    <col min="92" max="92" width="8.54296875" style="3" customWidth="1"/>
    <col min="93" max="93" width="7.54296875" style="3" customWidth="1"/>
    <col min="94" max="94" width="8.54296875" style="3" customWidth="1"/>
    <col min="95" max="95" width="7.54296875" style="3" customWidth="1"/>
    <col min="96" max="96" width="8.54296875" style="3" customWidth="1"/>
    <col min="97" max="97" width="7.54296875" style="3" customWidth="1"/>
    <col min="98" max="98" width="8.54296875" style="3" customWidth="1"/>
    <col min="99" max="99" width="7.54296875" style="3" customWidth="1"/>
    <col min="100" max="100" width="8.54296875" style="3" customWidth="1"/>
    <col min="101" max="101" width="7.54296875" style="3" customWidth="1"/>
    <col min="102" max="102" width="8.54296875" style="3" customWidth="1"/>
    <col min="103" max="103" width="11.81640625" style="3" customWidth="1"/>
    <col min="104" max="104" width="12.453125" style="3" customWidth="1"/>
    <col min="105" max="107" width="9.1796875" style="2"/>
    <col min="108" max="108" width="8" style="2" customWidth="1"/>
    <col min="109" max="16384" width="9.1796875" style="2"/>
  </cols>
  <sheetData>
    <row r="1" spans="1:122" s="37" customFormat="1" ht="43.25" customHeight="1">
      <c r="A1" s="44" t="s">
        <v>0</v>
      </c>
      <c r="B1" s="12"/>
      <c r="C1" s="41" t="s">
        <v>150</v>
      </c>
      <c r="D1" s="42"/>
      <c r="E1" s="41" t="s">
        <v>151</v>
      </c>
      <c r="F1" s="42"/>
      <c r="G1" s="41" t="s">
        <v>152</v>
      </c>
      <c r="H1" s="42"/>
      <c r="I1" s="41" t="s">
        <v>153</v>
      </c>
      <c r="J1" s="42"/>
      <c r="K1" s="41" t="s">
        <v>154</v>
      </c>
      <c r="L1" s="42"/>
      <c r="M1" s="41" t="s">
        <v>155</v>
      </c>
      <c r="N1" s="42"/>
      <c r="O1" s="41" t="s">
        <v>190</v>
      </c>
      <c r="P1" s="42"/>
      <c r="Q1" s="41" t="s">
        <v>156</v>
      </c>
      <c r="R1" s="42"/>
      <c r="S1" s="41" t="s">
        <v>157</v>
      </c>
      <c r="T1" s="42"/>
      <c r="U1" s="41" t="s">
        <v>158</v>
      </c>
      <c r="V1" s="42"/>
      <c r="W1" s="41" t="s">
        <v>159</v>
      </c>
      <c r="X1" s="42"/>
      <c r="Y1" s="41" t="s">
        <v>160</v>
      </c>
      <c r="Z1" s="42"/>
      <c r="AA1" s="41" t="s">
        <v>161</v>
      </c>
      <c r="AB1" s="42"/>
      <c r="AC1" s="41" t="s">
        <v>162</v>
      </c>
      <c r="AD1" s="42"/>
      <c r="AE1" s="41" t="s">
        <v>163</v>
      </c>
      <c r="AF1" s="42"/>
      <c r="AG1" s="41" t="s">
        <v>164</v>
      </c>
      <c r="AH1" s="42"/>
      <c r="AI1" s="41" t="s">
        <v>165</v>
      </c>
      <c r="AJ1" s="42"/>
      <c r="AK1" s="41" t="s">
        <v>166</v>
      </c>
      <c r="AL1" s="42"/>
      <c r="AM1" s="41" t="s">
        <v>167</v>
      </c>
      <c r="AN1" s="42"/>
      <c r="AO1" s="41" t="s">
        <v>168</v>
      </c>
      <c r="AP1" s="42"/>
      <c r="AQ1" s="41" t="s">
        <v>169</v>
      </c>
      <c r="AR1" s="42"/>
      <c r="AS1" s="41" t="s">
        <v>170</v>
      </c>
      <c r="AT1" s="42"/>
      <c r="AU1" s="41" t="s">
        <v>171</v>
      </c>
      <c r="AV1" s="42"/>
      <c r="AW1" s="41" t="s">
        <v>172</v>
      </c>
      <c r="AX1" s="42"/>
      <c r="AY1" s="41" t="s">
        <v>173</v>
      </c>
      <c r="AZ1" s="42"/>
      <c r="BA1" s="41" t="s">
        <v>174</v>
      </c>
      <c r="BB1" s="42"/>
      <c r="BC1" s="41" t="s">
        <v>175</v>
      </c>
      <c r="BD1" s="42"/>
      <c r="BE1" s="41" t="s">
        <v>176</v>
      </c>
      <c r="BF1" s="42"/>
      <c r="BG1" s="41" t="s">
        <v>177</v>
      </c>
      <c r="BH1" s="42"/>
      <c r="BI1" s="41" t="s">
        <v>178</v>
      </c>
      <c r="BJ1" s="42"/>
      <c r="BK1" s="41" t="s">
        <v>179</v>
      </c>
      <c r="BL1" s="42"/>
      <c r="BM1" s="41" t="s">
        <v>180</v>
      </c>
      <c r="BN1" s="42"/>
      <c r="BO1" s="41" t="s">
        <v>181</v>
      </c>
      <c r="BP1" s="42"/>
      <c r="BQ1" s="41" t="s">
        <v>182</v>
      </c>
      <c r="BR1" s="42"/>
      <c r="BS1" s="41" t="s">
        <v>183</v>
      </c>
      <c r="BT1" s="42"/>
      <c r="BU1" s="41" t="s">
        <v>184</v>
      </c>
      <c r="BV1" s="42"/>
      <c r="BW1" s="41" t="s">
        <v>185</v>
      </c>
      <c r="BX1" s="42"/>
      <c r="BY1" s="41" t="s">
        <v>186</v>
      </c>
      <c r="BZ1" s="42"/>
      <c r="CA1" s="41" t="s">
        <v>187</v>
      </c>
      <c r="CB1" s="42"/>
      <c r="CC1" s="41" t="s">
        <v>188</v>
      </c>
      <c r="CD1" s="42"/>
      <c r="CE1" s="45" t="s">
        <v>189</v>
      </c>
      <c r="CF1" s="45"/>
      <c r="CG1" s="43" t="s">
        <v>92</v>
      </c>
      <c r="CH1" s="43"/>
      <c r="CI1" s="43" t="s">
        <v>93</v>
      </c>
      <c r="CJ1" s="43"/>
      <c r="CK1" s="43" t="s">
        <v>94</v>
      </c>
      <c r="CL1" s="43"/>
      <c r="CM1" s="43" t="s">
        <v>95</v>
      </c>
      <c r="CN1" s="43"/>
      <c r="CO1" s="43" t="s">
        <v>96</v>
      </c>
      <c r="CP1" s="43"/>
      <c r="CQ1" s="43" t="s">
        <v>97</v>
      </c>
      <c r="CR1" s="43"/>
      <c r="CS1" s="43" t="s">
        <v>98</v>
      </c>
      <c r="CT1" s="43"/>
      <c r="CU1" s="43" t="s">
        <v>99</v>
      </c>
      <c r="CV1" s="43"/>
      <c r="CW1" s="43" t="s">
        <v>100</v>
      </c>
      <c r="CX1" s="43"/>
      <c r="CY1" s="43" t="s">
        <v>1</v>
      </c>
      <c r="CZ1" s="43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</row>
    <row r="2" spans="1:122" ht="43.5">
      <c r="A2" s="44"/>
      <c r="B2" s="12" t="s">
        <v>2</v>
      </c>
      <c r="C2" s="7" t="s">
        <v>90</v>
      </c>
      <c r="D2" s="7" t="s">
        <v>91</v>
      </c>
      <c r="E2" s="7" t="s">
        <v>90</v>
      </c>
      <c r="F2" s="7" t="s">
        <v>91</v>
      </c>
      <c r="G2" s="7" t="s">
        <v>90</v>
      </c>
      <c r="H2" s="7" t="s">
        <v>91</v>
      </c>
      <c r="I2" s="7" t="s">
        <v>90</v>
      </c>
      <c r="J2" s="7" t="s">
        <v>91</v>
      </c>
      <c r="K2" s="7" t="s">
        <v>90</v>
      </c>
      <c r="L2" s="7" t="s">
        <v>91</v>
      </c>
      <c r="M2" s="7" t="s">
        <v>90</v>
      </c>
      <c r="N2" s="7" t="s">
        <v>91</v>
      </c>
      <c r="O2" s="7" t="s">
        <v>90</v>
      </c>
      <c r="P2" s="7" t="s">
        <v>91</v>
      </c>
      <c r="Q2" s="7" t="s">
        <v>90</v>
      </c>
      <c r="R2" s="7" t="s">
        <v>91</v>
      </c>
      <c r="S2" s="7" t="s">
        <v>90</v>
      </c>
      <c r="T2" s="7" t="s">
        <v>91</v>
      </c>
      <c r="U2" s="7" t="s">
        <v>90</v>
      </c>
      <c r="V2" s="7" t="s">
        <v>91</v>
      </c>
      <c r="W2" s="7" t="s">
        <v>90</v>
      </c>
      <c r="X2" s="7" t="s">
        <v>91</v>
      </c>
      <c r="Y2" s="7" t="s">
        <v>90</v>
      </c>
      <c r="Z2" s="7" t="s">
        <v>91</v>
      </c>
      <c r="AA2" s="7" t="s">
        <v>90</v>
      </c>
      <c r="AB2" s="7" t="s">
        <v>91</v>
      </c>
      <c r="AC2" s="7" t="s">
        <v>90</v>
      </c>
      <c r="AD2" s="7" t="s">
        <v>91</v>
      </c>
      <c r="AE2" s="7" t="s">
        <v>90</v>
      </c>
      <c r="AF2" s="7" t="s">
        <v>91</v>
      </c>
      <c r="AG2" s="7" t="s">
        <v>90</v>
      </c>
      <c r="AH2" s="7" t="s">
        <v>91</v>
      </c>
      <c r="AI2" s="7" t="s">
        <v>90</v>
      </c>
      <c r="AJ2" s="7" t="s">
        <v>91</v>
      </c>
      <c r="AK2" s="7" t="s">
        <v>90</v>
      </c>
      <c r="AL2" s="7" t="s">
        <v>91</v>
      </c>
      <c r="AM2" s="7" t="s">
        <v>90</v>
      </c>
      <c r="AN2" s="7" t="s">
        <v>91</v>
      </c>
      <c r="AO2" s="7" t="s">
        <v>90</v>
      </c>
      <c r="AP2" s="7" t="s">
        <v>91</v>
      </c>
      <c r="AQ2" s="7" t="s">
        <v>90</v>
      </c>
      <c r="AR2" s="7" t="s">
        <v>91</v>
      </c>
      <c r="AS2" s="7" t="s">
        <v>90</v>
      </c>
      <c r="AT2" s="7" t="s">
        <v>91</v>
      </c>
      <c r="AU2" s="7" t="s">
        <v>90</v>
      </c>
      <c r="AV2" s="7" t="s">
        <v>91</v>
      </c>
      <c r="AW2" s="7" t="s">
        <v>90</v>
      </c>
      <c r="AX2" s="7" t="s">
        <v>91</v>
      </c>
      <c r="AY2" s="7" t="s">
        <v>90</v>
      </c>
      <c r="AZ2" s="7" t="s">
        <v>91</v>
      </c>
      <c r="BA2" s="7" t="s">
        <v>90</v>
      </c>
      <c r="BB2" s="7" t="s">
        <v>91</v>
      </c>
      <c r="BC2" s="7" t="s">
        <v>90</v>
      </c>
      <c r="BD2" s="7" t="s">
        <v>91</v>
      </c>
      <c r="BE2" s="7" t="s">
        <v>90</v>
      </c>
      <c r="BF2" s="7" t="s">
        <v>91</v>
      </c>
      <c r="BG2" s="7" t="s">
        <v>90</v>
      </c>
      <c r="BH2" s="7" t="s">
        <v>91</v>
      </c>
      <c r="BI2" s="7" t="s">
        <v>90</v>
      </c>
      <c r="BJ2" s="7" t="s">
        <v>91</v>
      </c>
      <c r="BK2" s="7" t="s">
        <v>90</v>
      </c>
      <c r="BL2" s="7" t="s">
        <v>91</v>
      </c>
      <c r="BM2" s="7" t="s">
        <v>90</v>
      </c>
      <c r="BN2" s="7" t="s">
        <v>91</v>
      </c>
      <c r="BO2" s="7" t="s">
        <v>90</v>
      </c>
      <c r="BP2" s="7" t="s">
        <v>91</v>
      </c>
      <c r="BQ2" s="7" t="s">
        <v>90</v>
      </c>
      <c r="BR2" s="7" t="s">
        <v>91</v>
      </c>
      <c r="BS2" s="7" t="s">
        <v>90</v>
      </c>
      <c r="BT2" s="7" t="s">
        <v>91</v>
      </c>
      <c r="BU2" s="7" t="s">
        <v>90</v>
      </c>
      <c r="BV2" s="7" t="s">
        <v>91</v>
      </c>
      <c r="BW2" s="7" t="s">
        <v>90</v>
      </c>
      <c r="BX2" s="7" t="s">
        <v>91</v>
      </c>
      <c r="BY2" s="7" t="s">
        <v>90</v>
      </c>
      <c r="BZ2" s="7" t="s">
        <v>91</v>
      </c>
      <c r="CA2" s="7" t="s">
        <v>90</v>
      </c>
      <c r="CB2" s="7" t="s">
        <v>91</v>
      </c>
      <c r="CC2" s="7" t="s">
        <v>90</v>
      </c>
      <c r="CD2" s="7" t="s">
        <v>91</v>
      </c>
      <c r="CE2" s="7" t="s">
        <v>90</v>
      </c>
      <c r="CF2" s="7" t="s">
        <v>91</v>
      </c>
      <c r="CG2" s="7" t="s">
        <v>90</v>
      </c>
      <c r="CH2" s="7" t="s">
        <v>91</v>
      </c>
      <c r="CI2" s="7" t="s">
        <v>90</v>
      </c>
      <c r="CJ2" s="7" t="s">
        <v>91</v>
      </c>
      <c r="CK2" s="7" t="s">
        <v>90</v>
      </c>
      <c r="CL2" s="7" t="s">
        <v>91</v>
      </c>
      <c r="CM2" s="7" t="s">
        <v>90</v>
      </c>
      <c r="CN2" s="7" t="s">
        <v>91</v>
      </c>
      <c r="CO2" s="7" t="s">
        <v>90</v>
      </c>
      <c r="CP2" s="7" t="s">
        <v>91</v>
      </c>
      <c r="CQ2" s="7" t="s">
        <v>90</v>
      </c>
      <c r="CR2" s="7" t="s">
        <v>91</v>
      </c>
      <c r="CS2" s="7" t="s">
        <v>90</v>
      </c>
      <c r="CT2" s="7" t="s">
        <v>91</v>
      </c>
      <c r="CU2" s="7" t="s">
        <v>90</v>
      </c>
      <c r="CV2" s="7" t="s">
        <v>91</v>
      </c>
      <c r="CW2" s="7" t="s">
        <v>90</v>
      </c>
      <c r="CX2" s="7" t="s">
        <v>91</v>
      </c>
      <c r="CY2" s="7" t="s">
        <v>90</v>
      </c>
      <c r="CZ2" s="7" t="s">
        <v>91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</row>
    <row r="3" spans="1:122" ht="18" customHeight="1">
      <c r="A3" s="13" t="s">
        <v>3</v>
      </c>
      <c r="B3" s="14">
        <f>IFERROR(VLOOKUP(A3,PRICELIST!$A$3:$D$138,4,0),"-")</f>
        <v>167.79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39"/>
      <c r="BJ3" s="39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9">
        <f>C3+E3+G3+I3+K3+M3+O3+Q3+S3+U3+W3+Y3+AA3+AC3+AE3+AG3+AI3+AK3+AM3+AO3+AQ3+AS3+AU3+AW3+AY3+BA3+BC3+BE3+BG3+BI3+BK3+BM3+BO3+BQ3+BS3+BU3+BW3+BY3+CA3+CC3+CE3+CG3+CI3+CK3+CM3+CO3+CQ3+CS3+CU3+CW3</f>
        <v>0</v>
      </c>
      <c r="CZ3" s="19">
        <f>D3+F3+H3+J3+L3+N3+P3+R3+T3+V3+X3+Z3+AB3+AD3+AF3+AH3+AJ3+AL3+AN3+AP3+AR3+AT3+AV3+AX3+AZ3+BB3+BD3+BF3+BH3+BJ3+BL3+BN3+BP3+BR3+BT3+BV3+BX3+BZ3+CB3+CD3+CF3+CH3+CJ3+CL3+CN3+CP3+CR3+CT3+CV3+CX3</f>
        <v>0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</row>
    <row r="4" spans="1:122" ht="18" customHeight="1">
      <c r="A4" s="13" t="s">
        <v>4</v>
      </c>
      <c r="B4" s="14">
        <f>IFERROR(VLOOKUP(A4,PRICELIST!$A$3:$D$138,4,0),"-")</f>
        <v>112.5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39"/>
      <c r="BJ4" s="39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9">
        <f t="shared" ref="CY4:CY9" si="0">C4+E4+G4+I4+K4+M4+O4+Q4+S4+U4+W4+Y4+AA4+AC4+AE4+AG4+AI4+AK4+AM4+AO4+AQ4+AS4+AU4+AW4+AY4+BA4+BC4+BE4+BG4+BI4+BK4+BM4+BO4+BQ4+BS4+BU4+BW4+BY4+CA4+CC4+CE4+CG4+CI4+CK4+CM4+CO4+CQ4+CS4+CU4+CW4</f>
        <v>0</v>
      </c>
      <c r="CZ4" s="19">
        <f t="shared" ref="CZ4:CZ9" si="1">D4+F4+H4+J4+L4+N4+P4+R4+T4+V4+X4+Z4+AB4+AD4+AF4+AH4+AJ4+AL4+AN4+AP4+AR4+AT4+AV4+AX4+AZ4+BB4+BD4+BF4+BH4+BJ4+BL4+BN4+BP4+BR4+BT4+BV4+BX4+BZ4+CB4+CD4+CF4+CH4+CJ4+CL4+CN4+CP4+CR4+CT4+CV4+CX4</f>
        <v>0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</row>
    <row r="5" spans="1:122" ht="18" customHeight="1">
      <c r="A5" s="13" t="s">
        <v>5</v>
      </c>
      <c r="B5" s="14">
        <f>IFERROR(VLOOKUP(A5,PRICELIST!$A$3:$D$138,4,0),"-")</f>
        <v>127.87</v>
      </c>
      <c r="C5" s="18">
        <v>10</v>
      </c>
      <c r="D5" s="18">
        <v>488</v>
      </c>
      <c r="E5" s="18"/>
      <c r="F5" s="18"/>
      <c r="G5" s="18">
        <v>13</v>
      </c>
      <c r="H5" s="18">
        <v>10</v>
      </c>
      <c r="I5" s="18">
        <v>2</v>
      </c>
      <c r="J5" s="18">
        <v>5</v>
      </c>
      <c r="K5" s="18"/>
      <c r="L5" s="18"/>
      <c r="M5" s="18"/>
      <c r="N5" s="18"/>
      <c r="O5" s="18"/>
      <c r="P5" s="18">
        <v>10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>
        <v>30</v>
      </c>
      <c r="AC5" s="18"/>
      <c r="AD5" s="18"/>
      <c r="AE5" s="18"/>
      <c r="AF5" s="18"/>
      <c r="AG5" s="18"/>
      <c r="AH5" s="18"/>
      <c r="AI5" s="18"/>
      <c r="AJ5" s="18">
        <v>10</v>
      </c>
      <c r="AK5" s="39"/>
      <c r="AL5" s="39"/>
      <c r="AM5" s="39">
        <v>12</v>
      </c>
      <c r="AN5" s="39">
        <v>8</v>
      </c>
      <c r="AO5" s="39"/>
      <c r="AP5" s="39"/>
      <c r="AQ5" s="39"/>
      <c r="AR5" s="39"/>
      <c r="AS5" s="39">
        <v>0</v>
      </c>
      <c r="AT5" s="39">
        <v>6</v>
      </c>
      <c r="AU5" s="39">
        <v>0</v>
      </c>
      <c r="AV5" s="39">
        <v>15</v>
      </c>
      <c r="AW5" s="18"/>
      <c r="AX5" s="18"/>
      <c r="AY5" s="18"/>
      <c r="AZ5" s="18"/>
      <c r="BA5" s="18"/>
      <c r="BB5" s="18"/>
      <c r="BC5" s="18">
        <v>3</v>
      </c>
      <c r="BD5" s="18">
        <v>17</v>
      </c>
      <c r="BE5" s="18"/>
      <c r="BF5" s="18"/>
      <c r="BG5" s="18"/>
      <c r="BH5" s="18"/>
      <c r="BI5" s="39"/>
      <c r="BJ5" s="39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>
        <v>130</v>
      </c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9">
        <f t="shared" si="0"/>
        <v>170</v>
      </c>
      <c r="CZ5" s="19">
        <f t="shared" si="1"/>
        <v>599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</row>
    <row r="6" spans="1:122" ht="18" customHeight="1">
      <c r="A6" s="13" t="s">
        <v>6</v>
      </c>
      <c r="B6" s="14">
        <f>IFERROR(VLOOKUP(A6,PRICELIST!$A$3:$D$138,4,0),"-")</f>
        <v>88.7</v>
      </c>
      <c r="C6" s="18">
        <v>50</v>
      </c>
      <c r="D6" s="18">
        <v>256</v>
      </c>
      <c r="E6" s="18"/>
      <c r="F6" s="18"/>
      <c r="G6" s="18">
        <v>30</v>
      </c>
      <c r="H6" s="18">
        <v>25</v>
      </c>
      <c r="I6" s="18">
        <v>30</v>
      </c>
      <c r="J6" s="18">
        <v>15</v>
      </c>
      <c r="K6" s="18"/>
      <c r="L6" s="18"/>
      <c r="M6" s="18"/>
      <c r="N6" s="18"/>
      <c r="O6" s="18">
        <v>5</v>
      </c>
      <c r="P6" s="18">
        <v>3</v>
      </c>
      <c r="Q6" s="18"/>
      <c r="R6" s="18"/>
      <c r="S6" s="18"/>
      <c r="T6" s="18"/>
      <c r="U6" s="18">
        <v>40</v>
      </c>
      <c r="V6" s="18">
        <v>24</v>
      </c>
      <c r="W6" s="18"/>
      <c r="X6" s="18"/>
      <c r="Y6" s="18"/>
      <c r="Z6" s="18"/>
      <c r="AA6" s="18">
        <v>18</v>
      </c>
      <c r="AB6" s="18">
        <v>24</v>
      </c>
      <c r="AC6" s="18"/>
      <c r="AD6" s="18"/>
      <c r="AE6" s="18"/>
      <c r="AF6" s="18"/>
      <c r="AG6" s="18"/>
      <c r="AH6" s="18"/>
      <c r="AI6" s="18">
        <v>11</v>
      </c>
      <c r="AJ6" s="18">
        <v>10</v>
      </c>
      <c r="AK6" s="39"/>
      <c r="AL6" s="39"/>
      <c r="AM6" s="39">
        <v>69</v>
      </c>
      <c r="AN6" s="39">
        <v>31</v>
      </c>
      <c r="AO6" s="39"/>
      <c r="AP6" s="39"/>
      <c r="AQ6" s="39">
        <v>0</v>
      </c>
      <c r="AR6" s="39">
        <v>30</v>
      </c>
      <c r="AS6" s="39">
        <v>18</v>
      </c>
      <c r="AT6" s="39">
        <v>7</v>
      </c>
      <c r="AU6" s="39">
        <v>6</v>
      </c>
      <c r="AV6" s="39">
        <v>12</v>
      </c>
      <c r="AW6" s="18"/>
      <c r="AX6" s="18"/>
      <c r="AY6" s="18"/>
      <c r="AZ6" s="18"/>
      <c r="BA6" s="18"/>
      <c r="BB6" s="18"/>
      <c r="BC6" s="18"/>
      <c r="BD6" s="18"/>
      <c r="BE6" s="18">
        <v>7</v>
      </c>
      <c r="BF6" s="18">
        <v>3</v>
      </c>
      <c r="BG6" s="18"/>
      <c r="BH6" s="18"/>
      <c r="BI6" s="39"/>
      <c r="BJ6" s="39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>
        <v>6</v>
      </c>
      <c r="BV6" s="18">
        <v>14</v>
      </c>
      <c r="BW6" s="18"/>
      <c r="BX6" s="18"/>
      <c r="BY6" s="18"/>
      <c r="BZ6" s="18"/>
      <c r="CA6" s="18"/>
      <c r="CB6" s="18"/>
      <c r="CC6" s="18">
        <v>120</v>
      </c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9">
        <f t="shared" si="0"/>
        <v>410</v>
      </c>
      <c r="CZ6" s="19">
        <f t="shared" si="1"/>
        <v>454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</row>
    <row r="7" spans="1:122" ht="18" customHeight="1">
      <c r="A7" s="13" t="s">
        <v>78</v>
      </c>
      <c r="B7" s="14">
        <f>IFERROR(VLOOKUP(A7,PRICELIST!$A$3:$D$138,4,0),"-")</f>
        <v>171.64</v>
      </c>
      <c r="C7" s="18">
        <v>73</v>
      </c>
      <c r="D7" s="18">
        <v>246</v>
      </c>
      <c r="E7" s="18"/>
      <c r="F7" s="18"/>
      <c r="G7" s="18">
        <v>6</v>
      </c>
      <c r="H7" s="18">
        <v>14</v>
      </c>
      <c r="I7" s="18">
        <v>3</v>
      </c>
      <c r="J7" s="18">
        <v>6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>
        <v>8</v>
      </c>
      <c r="V7" s="18">
        <v>8</v>
      </c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>
        <v>1</v>
      </c>
      <c r="AJ7" s="18">
        <v>9</v>
      </c>
      <c r="AK7" s="39"/>
      <c r="AL7" s="39"/>
      <c r="AM7" s="39">
        <v>25</v>
      </c>
      <c r="AN7" s="39">
        <v>26</v>
      </c>
      <c r="AO7" s="39"/>
      <c r="AP7" s="39"/>
      <c r="AQ7" s="39"/>
      <c r="AR7" s="39"/>
      <c r="AS7" s="39"/>
      <c r="AT7" s="39"/>
      <c r="AU7" s="39">
        <v>8</v>
      </c>
      <c r="AV7" s="39">
        <v>20</v>
      </c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39"/>
      <c r="BJ7" s="39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>
        <v>20</v>
      </c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9">
        <f t="shared" ref="CY7" si="2">C7+E7+G7+I7+K7+M7+O7+Q7+S7+U7+W7+Y7+AA7+AC7+AE7+AG7+AI7+AK7+AM7+AO7+AQ7+AS7+AU7+AW7+AY7+BA7+BC7+BE7+BG7+BI7+BK7+BM7+BO7+BQ7+BS7+BU7+BW7+BY7+CA7+CC7+CE7+CG7+CI7+CK7+CM7+CO7+CQ7+CS7+CU7+CW7</f>
        <v>144</v>
      </c>
      <c r="CZ7" s="19">
        <f t="shared" ref="CZ7" si="3">D7+F7+H7+J7+L7+N7+P7+R7+T7+V7+X7+Z7+AB7+AD7+AF7+AH7+AJ7+AL7+AN7+AP7+AR7+AT7+AV7+AX7+AZ7+BB7+BD7+BF7+BH7+BJ7+BL7+BN7+BP7+BR7+BT7+BV7+BX7+BZ7+CB7+CD7+CF7+CH7+CJ7+CL7+CN7+CP7+CR7+CT7+CV7+CX7</f>
        <v>329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</row>
    <row r="8" spans="1:122" ht="18" customHeight="1">
      <c r="A8" s="13" t="s">
        <v>7</v>
      </c>
      <c r="B8" s="14">
        <f>IFERROR(VLOOKUP(A8,PRICELIST!$A$3:$D$138,4,0),"-")</f>
        <v>216</v>
      </c>
      <c r="C8" s="18">
        <v>249</v>
      </c>
      <c r="D8" s="18">
        <v>807</v>
      </c>
      <c r="E8" s="18">
        <v>119</v>
      </c>
      <c r="F8" s="18">
        <v>32</v>
      </c>
      <c r="G8" s="18">
        <v>50</v>
      </c>
      <c r="H8" s="18">
        <v>30</v>
      </c>
      <c r="I8" s="18"/>
      <c r="J8" s="18"/>
      <c r="K8" s="18"/>
      <c r="L8" s="18"/>
      <c r="M8" s="18"/>
      <c r="N8" s="18"/>
      <c r="O8" s="18">
        <v>3</v>
      </c>
      <c r="P8" s="18">
        <v>10</v>
      </c>
      <c r="Q8" s="18">
        <v>20</v>
      </c>
      <c r="R8" s="18">
        <v>7</v>
      </c>
      <c r="S8" s="18">
        <v>0</v>
      </c>
      <c r="T8" s="18">
        <v>4</v>
      </c>
      <c r="U8" s="18">
        <v>41</v>
      </c>
      <c r="V8" s="18">
        <v>34</v>
      </c>
      <c r="W8" s="18">
        <v>1</v>
      </c>
      <c r="X8" s="18">
        <v>1</v>
      </c>
      <c r="Y8" s="18"/>
      <c r="Z8" s="18"/>
      <c r="AA8" s="18"/>
      <c r="AB8" s="18">
        <v>20</v>
      </c>
      <c r="AC8" s="18"/>
      <c r="AD8" s="18"/>
      <c r="AE8" s="18">
        <v>24</v>
      </c>
      <c r="AF8" s="18">
        <v>1</v>
      </c>
      <c r="AG8" s="18"/>
      <c r="AH8" s="18"/>
      <c r="AI8" s="18">
        <v>16</v>
      </c>
      <c r="AJ8" s="18">
        <v>41</v>
      </c>
      <c r="AK8" s="39"/>
      <c r="AL8" s="39"/>
      <c r="AM8" s="39">
        <v>78</v>
      </c>
      <c r="AN8" s="39">
        <v>22</v>
      </c>
      <c r="AO8" s="39"/>
      <c r="AP8" s="39"/>
      <c r="AQ8" s="39">
        <v>20</v>
      </c>
      <c r="AR8" s="39">
        <v>100</v>
      </c>
      <c r="AS8" s="39">
        <v>25</v>
      </c>
      <c r="AT8" s="39">
        <v>10</v>
      </c>
      <c r="AU8" s="39">
        <v>14</v>
      </c>
      <c r="AV8" s="39">
        <v>2</v>
      </c>
      <c r="AW8" s="18">
        <v>5</v>
      </c>
      <c r="AX8" s="18">
        <v>5</v>
      </c>
      <c r="AY8" s="18"/>
      <c r="AZ8" s="18"/>
      <c r="BA8" s="18"/>
      <c r="BB8" s="18"/>
      <c r="BC8" s="18"/>
      <c r="BD8" s="18"/>
      <c r="BE8" s="18">
        <v>40</v>
      </c>
      <c r="BF8" s="18">
        <v>10</v>
      </c>
      <c r="BG8" s="18"/>
      <c r="BH8" s="18"/>
      <c r="BI8" s="39"/>
      <c r="BJ8" s="39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>
        <v>280</v>
      </c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9">
        <f t="shared" si="0"/>
        <v>985</v>
      </c>
      <c r="CZ8" s="19">
        <f t="shared" si="1"/>
        <v>1136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</row>
    <row r="9" spans="1:122" ht="18" customHeight="1">
      <c r="A9" s="13" t="s">
        <v>8</v>
      </c>
      <c r="B9" s="14">
        <f>IFERROR(VLOOKUP(A9,PRICELIST!$A$3:$D$138,4,0),"-")</f>
        <v>163.93</v>
      </c>
      <c r="C9" s="18">
        <v>186</v>
      </c>
      <c r="D9" s="18">
        <v>777</v>
      </c>
      <c r="E9" s="18">
        <v>81</v>
      </c>
      <c r="F9" s="18">
        <v>48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>
        <v>50</v>
      </c>
      <c r="R9" s="18">
        <v>5</v>
      </c>
      <c r="S9" s="18">
        <v>0</v>
      </c>
      <c r="T9" s="18">
        <v>2</v>
      </c>
      <c r="U9" s="18">
        <v>16</v>
      </c>
      <c r="V9" s="18">
        <v>12</v>
      </c>
      <c r="W9" s="18">
        <v>1</v>
      </c>
      <c r="X9" s="18">
        <v>6</v>
      </c>
      <c r="Y9" s="18"/>
      <c r="Z9" s="18"/>
      <c r="AA9" s="18"/>
      <c r="AB9" s="18">
        <v>40</v>
      </c>
      <c r="AC9" s="18"/>
      <c r="AD9" s="18"/>
      <c r="AE9" s="18">
        <v>28</v>
      </c>
      <c r="AF9" s="18">
        <v>0</v>
      </c>
      <c r="AG9" s="18"/>
      <c r="AH9" s="18"/>
      <c r="AI9" s="18">
        <v>15</v>
      </c>
      <c r="AJ9" s="18">
        <v>66</v>
      </c>
      <c r="AK9" s="39"/>
      <c r="AL9" s="39"/>
      <c r="AM9" s="39">
        <v>146</v>
      </c>
      <c r="AN9" s="39">
        <v>19</v>
      </c>
      <c r="AO9" s="39"/>
      <c r="AP9" s="39"/>
      <c r="AQ9" s="39">
        <v>7</v>
      </c>
      <c r="AR9" s="39">
        <v>73</v>
      </c>
      <c r="AS9" s="39">
        <v>25</v>
      </c>
      <c r="AT9" s="39">
        <v>0</v>
      </c>
      <c r="AU9" s="39">
        <v>13</v>
      </c>
      <c r="AV9" s="39">
        <v>0</v>
      </c>
      <c r="AW9" s="18">
        <v>6</v>
      </c>
      <c r="AX9" s="18">
        <v>4</v>
      </c>
      <c r="AY9" s="18"/>
      <c r="AZ9" s="18"/>
      <c r="BA9" s="18"/>
      <c r="BB9" s="18"/>
      <c r="BC9" s="18"/>
      <c r="BD9" s="18"/>
      <c r="BE9" s="18">
        <v>6</v>
      </c>
      <c r="BF9" s="18">
        <v>4</v>
      </c>
      <c r="BG9" s="18"/>
      <c r="BH9" s="18"/>
      <c r="BI9" s="39"/>
      <c r="BJ9" s="39"/>
      <c r="BK9" s="18"/>
      <c r="BL9" s="18"/>
      <c r="BM9" s="18"/>
      <c r="BN9" s="18"/>
      <c r="BO9" s="18"/>
      <c r="BP9" s="18"/>
      <c r="BQ9" s="18">
        <v>15</v>
      </c>
      <c r="BR9" s="18">
        <v>5</v>
      </c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>
        <v>440</v>
      </c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9">
        <f t="shared" si="0"/>
        <v>1035</v>
      </c>
      <c r="CZ9" s="19">
        <f t="shared" si="1"/>
        <v>1061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</row>
    <row r="10" spans="1:122" ht="18" customHeight="1">
      <c r="A10" s="9" t="s">
        <v>9</v>
      </c>
      <c r="B10" s="10"/>
      <c r="C10" s="11">
        <f>SUMPRODUCT($B3:$B9,C3:C9)</f>
        <v>102518.39999999999</v>
      </c>
      <c r="D10" s="11">
        <f t="shared" ref="D10:BO10" si="4">SUMPRODUCT($B3:$B9,D3:D9)</f>
        <v>429016.81</v>
      </c>
      <c r="E10" s="11">
        <f t="shared" si="4"/>
        <v>38982.33</v>
      </c>
      <c r="F10" s="11">
        <f t="shared" si="4"/>
        <v>14780.64</v>
      </c>
      <c r="G10" s="11">
        <f t="shared" si="4"/>
        <v>16153.15</v>
      </c>
      <c r="H10" s="11">
        <f t="shared" si="4"/>
        <v>12379.16</v>
      </c>
      <c r="I10" s="11">
        <f t="shared" si="4"/>
        <v>3431.66</v>
      </c>
      <c r="J10" s="11">
        <f t="shared" si="4"/>
        <v>2999.6899999999996</v>
      </c>
      <c r="K10" s="11">
        <f t="shared" si="4"/>
        <v>0</v>
      </c>
      <c r="L10" s="11">
        <f t="shared" si="4"/>
        <v>0</v>
      </c>
      <c r="M10" s="11">
        <f t="shared" si="4"/>
        <v>0</v>
      </c>
      <c r="N10" s="11">
        <f t="shared" si="4"/>
        <v>0</v>
      </c>
      <c r="O10" s="11">
        <f t="shared" si="4"/>
        <v>1091.5</v>
      </c>
      <c r="P10" s="11">
        <f t="shared" si="4"/>
        <v>3704.8</v>
      </c>
      <c r="Q10" s="11">
        <f t="shared" si="4"/>
        <v>12516.5</v>
      </c>
      <c r="R10" s="11">
        <f t="shared" si="4"/>
        <v>2331.65</v>
      </c>
      <c r="S10" s="11">
        <f t="shared" si="4"/>
        <v>0</v>
      </c>
      <c r="T10" s="11">
        <f t="shared" si="4"/>
        <v>1191.8600000000001</v>
      </c>
      <c r="U10" s="11">
        <f t="shared" si="4"/>
        <v>16400</v>
      </c>
      <c r="V10" s="11">
        <f t="shared" si="4"/>
        <v>12813.08</v>
      </c>
      <c r="W10" s="11">
        <f t="shared" si="4"/>
        <v>379.93</v>
      </c>
      <c r="X10" s="11">
        <f t="shared" si="4"/>
        <v>1199.58</v>
      </c>
      <c r="Y10" s="11">
        <f t="shared" si="4"/>
        <v>0</v>
      </c>
      <c r="Z10" s="11">
        <f t="shared" si="4"/>
        <v>0</v>
      </c>
      <c r="AA10" s="11">
        <f t="shared" si="4"/>
        <v>1596.6000000000001</v>
      </c>
      <c r="AB10" s="11">
        <f t="shared" si="4"/>
        <v>16842.100000000002</v>
      </c>
      <c r="AC10" s="11">
        <f t="shared" si="4"/>
        <v>0</v>
      </c>
      <c r="AD10" s="11">
        <f t="shared" si="4"/>
        <v>0</v>
      </c>
      <c r="AE10" s="11">
        <f t="shared" si="4"/>
        <v>9774.0400000000009</v>
      </c>
      <c r="AF10" s="11">
        <f t="shared" si="4"/>
        <v>216</v>
      </c>
      <c r="AG10" s="11">
        <f t="shared" si="4"/>
        <v>0</v>
      </c>
      <c r="AH10" s="11">
        <f t="shared" si="4"/>
        <v>0</v>
      </c>
      <c r="AI10" s="11">
        <f t="shared" si="4"/>
        <v>7062.2900000000009</v>
      </c>
      <c r="AJ10" s="11">
        <f t="shared" si="4"/>
        <v>23385.84</v>
      </c>
      <c r="AK10" s="40">
        <f t="shared" si="4"/>
        <v>0</v>
      </c>
      <c r="AL10" s="40">
        <f t="shared" si="4"/>
        <v>0</v>
      </c>
      <c r="AM10" s="40">
        <f t="shared" si="4"/>
        <v>52727.520000000004</v>
      </c>
      <c r="AN10" s="40">
        <f t="shared" si="4"/>
        <v>16101.97</v>
      </c>
      <c r="AO10" s="40">
        <f t="shared" si="4"/>
        <v>0</v>
      </c>
      <c r="AP10" s="40">
        <f t="shared" si="4"/>
        <v>0</v>
      </c>
      <c r="AQ10" s="40">
        <f t="shared" si="4"/>
        <v>5467.51</v>
      </c>
      <c r="AR10" s="40">
        <f t="shared" si="4"/>
        <v>36227.89</v>
      </c>
      <c r="AS10" s="40">
        <f t="shared" si="4"/>
        <v>11094.85</v>
      </c>
      <c r="AT10" s="40">
        <f t="shared" si="4"/>
        <v>3548.12</v>
      </c>
      <c r="AU10" s="40">
        <f t="shared" si="4"/>
        <v>7060.41</v>
      </c>
      <c r="AV10" s="40">
        <f t="shared" si="4"/>
        <v>6847.25</v>
      </c>
      <c r="AW10" s="11">
        <f t="shared" si="4"/>
        <v>2063.58</v>
      </c>
      <c r="AX10" s="11">
        <f t="shared" si="4"/>
        <v>1735.72</v>
      </c>
      <c r="AY10" s="11">
        <f t="shared" si="4"/>
        <v>0</v>
      </c>
      <c r="AZ10" s="11">
        <f t="shared" si="4"/>
        <v>0</v>
      </c>
      <c r="BA10" s="11">
        <f t="shared" si="4"/>
        <v>0</v>
      </c>
      <c r="BB10" s="11">
        <f t="shared" si="4"/>
        <v>0</v>
      </c>
      <c r="BC10" s="11">
        <f t="shared" si="4"/>
        <v>383.61</v>
      </c>
      <c r="BD10" s="11">
        <f t="shared" si="4"/>
        <v>2173.79</v>
      </c>
      <c r="BE10" s="11">
        <f t="shared" si="4"/>
        <v>10244.48</v>
      </c>
      <c r="BF10" s="11">
        <f t="shared" si="4"/>
        <v>3081.8199999999997</v>
      </c>
      <c r="BG10" s="11">
        <f t="shared" si="4"/>
        <v>0</v>
      </c>
      <c r="BH10" s="11">
        <f t="shared" si="4"/>
        <v>0</v>
      </c>
      <c r="BI10" s="40">
        <f t="shared" si="4"/>
        <v>0</v>
      </c>
      <c r="BJ10" s="40">
        <f t="shared" si="4"/>
        <v>0</v>
      </c>
      <c r="BK10" s="11">
        <f t="shared" si="4"/>
        <v>0</v>
      </c>
      <c r="BL10" s="11">
        <f t="shared" si="4"/>
        <v>0</v>
      </c>
      <c r="BM10" s="11">
        <f t="shared" si="4"/>
        <v>0</v>
      </c>
      <c r="BN10" s="11">
        <f t="shared" si="4"/>
        <v>0</v>
      </c>
      <c r="BO10" s="11">
        <f t="shared" si="4"/>
        <v>0</v>
      </c>
      <c r="BP10" s="11">
        <f t="shared" ref="BP10:CX10" si="5">SUMPRODUCT($B3:$B9,BP3:BP9)</f>
        <v>0</v>
      </c>
      <c r="BQ10" s="11">
        <f t="shared" si="5"/>
        <v>2458.9500000000003</v>
      </c>
      <c r="BR10" s="11">
        <f t="shared" si="5"/>
        <v>819.65000000000009</v>
      </c>
      <c r="BS10" s="11">
        <f t="shared" si="5"/>
        <v>0</v>
      </c>
      <c r="BT10" s="11">
        <f t="shared" si="5"/>
        <v>0</v>
      </c>
      <c r="BU10" s="11">
        <f t="shared" si="5"/>
        <v>532.20000000000005</v>
      </c>
      <c r="BV10" s="11">
        <f t="shared" si="5"/>
        <v>1241.8</v>
      </c>
      <c r="BW10" s="11">
        <f t="shared" si="5"/>
        <v>0</v>
      </c>
      <c r="BX10" s="11">
        <f t="shared" si="5"/>
        <v>0</v>
      </c>
      <c r="BY10" s="11">
        <f t="shared" si="5"/>
        <v>0</v>
      </c>
      <c r="BZ10" s="11">
        <f t="shared" si="5"/>
        <v>0</v>
      </c>
      <c r="CA10" s="11">
        <f t="shared" si="5"/>
        <v>0</v>
      </c>
      <c r="CB10" s="11">
        <f t="shared" si="5"/>
        <v>0</v>
      </c>
      <c r="CC10" s="11">
        <f t="shared" si="5"/>
        <v>163309.09999999998</v>
      </c>
      <c r="CD10" s="11">
        <f t="shared" si="5"/>
        <v>0</v>
      </c>
      <c r="CE10" s="11">
        <f t="shared" si="5"/>
        <v>0</v>
      </c>
      <c r="CF10" s="11">
        <f t="shared" si="5"/>
        <v>0</v>
      </c>
      <c r="CG10" s="11">
        <f t="shared" si="5"/>
        <v>0</v>
      </c>
      <c r="CH10" s="11">
        <f t="shared" si="5"/>
        <v>0</v>
      </c>
      <c r="CI10" s="11">
        <f t="shared" si="5"/>
        <v>0</v>
      </c>
      <c r="CJ10" s="11">
        <f t="shared" si="5"/>
        <v>0</v>
      </c>
      <c r="CK10" s="11">
        <f t="shared" si="5"/>
        <v>0</v>
      </c>
      <c r="CL10" s="11">
        <f t="shared" si="5"/>
        <v>0</v>
      </c>
      <c r="CM10" s="11">
        <f t="shared" si="5"/>
        <v>0</v>
      </c>
      <c r="CN10" s="11">
        <f t="shared" si="5"/>
        <v>0</v>
      </c>
      <c r="CO10" s="11">
        <f t="shared" si="5"/>
        <v>0</v>
      </c>
      <c r="CP10" s="11">
        <f t="shared" si="5"/>
        <v>0</v>
      </c>
      <c r="CQ10" s="11">
        <f t="shared" si="5"/>
        <v>0</v>
      </c>
      <c r="CR10" s="11">
        <f t="shared" si="5"/>
        <v>0</v>
      </c>
      <c r="CS10" s="11">
        <f t="shared" si="5"/>
        <v>0</v>
      </c>
      <c r="CT10" s="11">
        <f t="shared" si="5"/>
        <v>0</v>
      </c>
      <c r="CU10" s="11">
        <f t="shared" si="5"/>
        <v>0</v>
      </c>
      <c r="CV10" s="11">
        <f t="shared" si="5"/>
        <v>0</v>
      </c>
      <c r="CW10" s="11">
        <f t="shared" si="5"/>
        <v>0</v>
      </c>
      <c r="CX10" s="11">
        <f t="shared" si="5"/>
        <v>0</v>
      </c>
      <c r="CY10" s="11">
        <f t="shared" ref="CY10" si="6">SUMPRODUCT($B3:$B9,CY3:CY9)</f>
        <v>465248.61</v>
      </c>
      <c r="CZ10" s="11">
        <f t="shared" ref="CZ10" si="7">SUMPRODUCT($B3:$B9,CZ3:CZ9)</f>
        <v>592639.22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</row>
    <row r="11" spans="1:122" ht="18" customHeight="1">
      <c r="A11" s="4" t="s">
        <v>127</v>
      </c>
      <c r="B11" s="14">
        <f>IFERROR(VLOOKUP(A11,PRICELIST!$A$3:$D$138,4,0),"-")</f>
        <v>432.21</v>
      </c>
      <c r="C11" s="18">
        <v>194</v>
      </c>
      <c r="D11" s="18">
        <v>660</v>
      </c>
      <c r="E11" s="18">
        <v>24</v>
      </c>
      <c r="F11" s="18">
        <v>2</v>
      </c>
      <c r="G11" s="18">
        <v>28</v>
      </c>
      <c r="H11" s="18">
        <v>24</v>
      </c>
      <c r="I11" s="18">
        <v>48</v>
      </c>
      <c r="J11" s="18">
        <v>28</v>
      </c>
      <c r="K11" s="18"/>
      <c r="L11" s="18"/>
      <c r="M11" s="18">
        <v>20</v>
      </c>
      <c r="N11" s="18">
        <v>42</v>
      </c>
      <c r="O11" s="18"/>
      <c r="P11" s="18"/>
      <c r="Q11" s="18"/>
      <c r="R11" s="18"/>
      <c r="S11" s="18">
        <v>10</v>
      </c>
      <c r="T11" s="18"/>
      <c r="U11" s="18">
        <v>28</v>
      </c>
      <c r="V11" s="18">
        <v>2</v>
      </c>
      <c r="W11" s="18">
        <v>49</v>
      </c>
      <c r="X11" s="18">
        <v>7</v>
      </c>
      <c r="Y11" s="18"/>
      <c r="Z11" s="18"/>
      <c r="AA11" s="18">
        <v>14</v>
      </c>
      <c r="AB11" s="18">
        <v>20</v>
      </c>
      <c r="AC11" s="18"/>
      <c r="AD11" s="18"/>
      <c r="AE11" s="18">
        <v>200</v>
      </c>
      <c r="AF11" s="18">
        <v>0</v>
      </c>
      <c r="AG11" s="18">
        <v>15</v>
      </c>
      <c r="AH11" s="18">
        <v>5</v>
      </c>
      <c r="AI11" s="18">
        <v>27</v>
      </c>
      <c r="AJ11" s="18">
        <v>20</v>
      </c>
      <c r="AK11" s="39">
        <v>0</v>
      </c>
      <c r="AL11" s="39">
        <v>30</v>
      </c>
      <c r="AM11" s="39">
        <v>29</v>
      </c>
      <c r="AN11" s="39">
        <v>8</v>
      </c>
      <c r="AO11" s="39">
        <v>0</v>
      </c>
      <c r="AP11" s="39">
        <v>1</v>
      </c>
      <c r="AQ11" s="39">
        <v>15</v>
      </c>
      <c r="AR11" s="39">
        <v>0</v>
      </c>
      <c r="AS11" s="39">
        <v>13</v>
      </c>
      <c r="AT11" s="39">
        <v>17</v>
      </c>
      <c r="AU11" s="39">
        <v>17</v>
      </c>
      <c r="AV11" s="39">
        <v>23</v>
      </c>
      <c r="AW11" s="18"/>
      <c r="AX11" s="18"/>
      <c r="AY11" s="18"/>
      <c r="AZ11" s="18"/>
      <c r="BA11" s="18"/>
      <c r="BB11" s="18"/>
      <c r="BC11" s="18">
        <v>22</v>
      </c>
      <c r="BD11" s="18">
        <v>18</v>
      </c>
      <c r="BE11" s="18"/>
      <c r="BF11" s="18"/>
      <c r="BG11" s="18"/>
      <c r="BH11" s="18"/>
      <c r="BI11" s="39"/>
      <c r="BJ11" s="39"/>
      <c r="BK11" s="18"/>
      <c r="BL11" s="18"/>
      <c r="BM11" s="18"/>
      <c r="BN11" s="18"/>
      <c r="BO11" s="18"/>
      <c r="BP11" s="18"/>
      <c r="BQ11" s="18">
        <v>6</v>
      </c>
      <c r="BR11" s="18">
        <v>4</v>
      </c>
      <c r="BS11" s="18">
        <v>7</v>
      </c>
      <c r="BT11" s="18">
        <v>3</v>
      </c>
      <c r="BU11" s="18"/>
      <c r="BV11" s="18">
        <v>18</v>
      </c>
      <c r="BW11" s="18"/>
      <c r="BX11" s="18"/>
      <c r="BY11" s="18"/>
      <c r="BZ11" s="18"/>
      <c r="CA11" s="18">
        <v>7</v>
      </c>
      <c r="CB11" s="18">
        <v>3</v>
      </c>
      <c r="CC11" s="18">
        <v>160</v>
      </c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9">
        <f t="shared" ref="CY11:CY19" si="8">C11+E11+G11+I11+K11+M11+O11+Q11+S11+U11+W11+Y11+AA11+AC11+AE11+AG11+AI11+AK11+AM11+AO11+AQ11+AS11+AU11+AW11+AY11+BA11+BC11+BE11+BG11+BI11+BK11+BM11+BO11+BQ11+BS11+BU11+BW11+BY11+CA11+CC11+CE11+CG11+CI11+CK11+CM11+CO11+CQ11+CS11+CU11+CW11</f>
        <v>933</v>
      </c>
      <c r="CZ11" s="19">
        <f t="shared" ref="CZ11:CZ19" si="9">D11+F11+H11+J11+L11+N11+P11+R11+T11+V11+X11+Z11+AB11+AD11+AF11+AH11+AJ11+AL11+AN11+AP11+AR11+AT11+AV11+AX11+AZ11+BB11+BD11+BF11+BH11+BJ11+BL11+BN11+BP11+BR11+BT11+BV11+BX11+BZ11+CB11+CD11+CF11+CH11+CJ11+CL11+CN11+CP11+CR11+CT11+CV11+CX11</f>
        <v>935</v>
      </c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</row>
    <row r="12" spans="1:122" ht="18" customHeight="1">
      <c r="A12" s="4" t="s">
        <v>128</v>
      </c>
      <c r="B12" s="14">
        <f>IFERROR(VLOOKUP(A12,PRICELIST!$A$3:$D$138,4,0),"-")</f>
        <v>107.11</v>
      </c>
      <c r="C12" s="18">
        <v>102</v>
      </c>
      <c r="D12" s="18">
        <v>296</v>
      </c>
      <c r="E12" s="18"/>
      <c r="F12" s="18">
        <v>16</v>
      </c>
      <c r="G12" s="18">
        <v>18</v>
      </c>
      <c r="H12" s="18">
        <v>20</v>
      </c>
      <c r="I12" s="18">
        <v>35</v>
      </c>
      <c r="J12" s="18">
        <v>25</v>
      </c>
      <c r="K12" s="18"/>
      <c r="L12" s="18"/>
      <c r="M12" s="18"/>
      <c r="N12" s="18">
        <v>60</v>
      </c>
      <c r="O12" s="18"/>
      <c r="P12" s="18">
        <v>24</v>
      </c>
      <c r="Q12" s="18"/>
      <c r="R12" s="18"/>
      <c r="S12" s="18"/>
      <c r="T12" s="18">
        <v>10</v>
      </c>
      <c r="U12" s="18">
        <v>17</v>
      </c>
      <c r="V12" s="18">
        <v>16</v>
      </c>
      <c r="W12" s="18">
        <v>29</v>
      </c>
      <c r="X12" s="18">
        <v>33</v>
      </c>
      <c r="Y12" s="18"/>
      <c r="Z12" s="18"/>
      <c r="AA12" s="18">
        <v>4</v>
      </c>
      <c r="AB12" s="18"/>
      <c r="AC12" s="18"/>
      <c r="AD12" s="18"/>
      <c r="AE12" s="18">
        <v>3</v>
      </c>
      <c r="AF12" s="18">
        <v>16</v>
      </c>
      <c r="AG12" s="18"/>
      <c r="AH12" s="18"/>
      <c r="AI12" s="18">
        <v>16</v>
      </c>
      <c r="AJ12" s="18">
        <v>32</v>
      </c>
      <c r="AK12" s="39">
        <v>5</v>
      </c>
      <c r="AL12" s="39">
        <v>6</v>
      </c>
      <c r="AM12" s="39">
        <v>15</v>
      </c>
      <c r="AN12" s="39">
        <v>24</v>
      </c>
      <c r="AO12" s="39"/>
      <c r="AP12" s="39"/>
      <c r="AQ12" s="39"/>
      <c r="AR12" s="39"/>
      <c r="AS12" s="39">
        <v>10</v>
      </c>
      <c r="AT12" s="39">
        <v>9</v>
      </c>
      <c r="AU12" s="39">
        <v>14</v>
      </c>
      <c r="AV12" s="39">
        <v>18</v>
      </c>
      <c r="AW12" s="18"/>
      <c r="AX12" s="18"/>
      <c r="AY12" s="18"/>
      <c r="AZ12" s="18"/>
      <c r="BA12" s="18"/>
      <c r="BB12" s="18"/>
      <c r="BC12" s="18">
        <v>20</v>
      </c>
      <c r="BD12" s="18">
        <v>20</v>
      </c>
      <c r="BE12" s="18"/>
      <c r="BF12" s="18"/>
      <c r="BG12" s="18"/>
      <c r="BH12" s="18"/>
      <c r="BI12" s="39"/>
      <c r="BJ12" s="39"/>
      <c r="BK12" s="18">
        <v>5</v>
      </c>
      <c r="BL12" s="18">
        <v>6</v>
      </c>
      <c r="BM12" s="18"/>
      <c r="BN12" s="18"/>
      <c r="BO12" s="18"/>
      <c r="BP12" s="18"/>
      <c r="BQ12" s="18"/>
      <c r="BR12" s="18"/>
      <c r="BS12" s="18"/>
      <c r="BT12" s="18"/>
      <c r="BU12" s="18"/>
      <c r="BV12" s="18">
        <v>27</v>
      </c>
      <c r="BW12" s="18"/>
      <c r="BX12" s="18"/>
      <c r="BY12" s="18"/>
      <c r="BZ12" s="18"/>
      <c r="CA12" s="18"/>
      <c r="CB12" s="18"/>
      <c r="CC12" s="18">
        <v>60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9">
        <f t="shared" si="8"/>
        <v>353</v>
      </c>
      <c r="CZ12" s="19">
        <f t="shared" si="9"/>
        <v>658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</row>
    <row r="13" spans="1:122" ht="18" customHeight="1">
      <c r="A13" s="4" t="s">
        <v>129</v>
      </c>
      <c r="B13" s="14">
        <f>IFERROR(VLOOKUP(A13,PRICELIST!$A$3:$D$138,4,0),"-")</f>
        <v>205.07</v>
      </c>
      <c r="C13" s="18">
        <v>1785</v>
      </c>
      <c r="D13" s="18">
        <v>5239</v>
      </c>
      <c r="E13" s="18">
        <v>132</v>
      </c>
      <c r="F13" s="18">
        <v>33</v>
      </c>
      <c r="G13" s="18">
        <v>75</v>
      </c>
      <c r="H13" s="18">
        <v>25</v>
      </c>
      <c r="I13" s="18">
        <v>471</v>
      </c>
      <c r="J13" s="18">
        <v>291</v>
      </c>
      <c r="K13" s="18"/>
      <c r="L13" s="18"/>
      <c r="M13" s="18">
        <v>183</v>
      </c>
      <c r="N13" s="18">
        <v>337</v>
      </c>
      <c r="O13" s="18">
        <v>7</v>
      </c>
      <c r="P13" s="18">
        <v>42</v>
      </c>
      <c r="Q13" s="18">
        <v>100</v>
      </c>
      <c r="R13" s="18">
        <v>20</v>
      </c>
      <c r="S13" s="18">
        <v>11</v>
      </c>
      <c r="T13" s="18">
        <v>5</v>
      </c>
      <c r="U13" s="18">
        <v>68</v>
      </c>
      <c r="V13" s="18">
        <v>42</v>
      </c>
      <c r="W13" s="18">
        <v>4</v>
      </c>
      <c r="X13" s="18">
        <v>14</v>
      </c>
      <c r="Y13" s="18">
        <v>40</v>
      </c>
      <c r="Z13" s="18">
        <v>70</v>
      </c>
      <c r="AA13" s="18">
        <v>75</v>
      </c>
      <c r="AB13" s="18">
        <v>69</v>
      </c>
      <c r="AC13" s="18">
        <v>30</v>
      </c>
      <c r="AD13" s="18">
        <v>34</v>
      </c>
      <c r="AE13" s="18">
        <v>217</v>
      </c>
      <c r="AF13" s="18">
        <v>61</v>
      </c>
      <c r="AG13" s="18">
        <v>14</v>
      </c>
      <c r="AH13" s="18">
        <v>6</v>
      </c>
      <c r="AI13" s="18">
        <v>103</v>
      </c>
      <c r="AJ13" s="18">
        <v>125</v>
      </c>
      <c r="AK13" s="39">
        <v>81</v>
      </c>
      <c r="AL13" s="39">
        <v>26</v>
      </c>
      <c r="AM13" s="39">
        <v>206</v>
      </c>
      <c r="AN13" s="39">
        <v>32</v>
      </c>
      <c r="AO13" s="39">
        <v>9</v>
      </c>
      <c r="AP13" s="39">
        <v>1</v>
      </c>
      <c r="AQ13" s="39">
        <v>60</v>
      </c>
      <c r="AR13" s="39">
        <v>100</v>
      </c>
      <c r="AS13" s="39">
        <v>18</v>
      </c>
      <c r="AT13" s="39">
        <v>22</v>
      </c>
      <c r="AU13" s="39">
        <v>57</v>
      </c>
      <c r="AV13" s="39">
        <v>21</v>
      </c>
      <c r="AW13" s="18">
        <v>7</v>
      </c>
      <c r="AX13" s="18">
        <v>3</v>
      </c>
      <c r="AY13" s="18"/>
      <c r="AZ13" s="18"/>
      <c r="BA13" s="18"/>
      <c r="BB13" s="18"/>
      <c r="BC13" s="18"/>
      <c r="BD13" s="18">
        <v>20</v>
      </c>
      <c r="BE13" s="18"/>
      <c r="BF13" s="18"/>
      <c r="BG13" s="18">
        <v>21</v>
      </c>
      <c r="BH13" s="18">
        <v>22</v>
      </c>
      <c r="BI13" s="39"/>
      <c r="BJ13" s="39"/>
      <c r="BK13" s="18">
        <v>10</v>
      </c>
      <c r="BL13" s="18">
        <v>5</v>
      </c>
      <c r="BM13" s="18"/>
      <c r="BN13" s="18"/>
      <c r="BO13" s="18"/>
      <c r="BP13" s="18"/>
      <c r="BQ13" s="18">
        <v>13</v>
      </c>
      <c r="BR13" s="18">
        <v>7</v>
      </c>
      <c r="BS13" s="18">
        <v>6</v>
      </c>
      <c r="BT13" s="18">
        <v>4</v>
      </c>
      <c r="BU13" s="18"/>
      <c r="BV13" s="18"/>
      <c r="BW13" s="18">
        <v>24</v>
      </c>
      <c r="BX13" s="18"/>
      <c r="BY13" s="18"/>
      <c r="BZ13" s="18"/>
      <c r="CA13" s="18">
        <v>6</v>
      </c>
      <c r="CB13" s="18">
        <v>4</v>
      </c>
      <c r="CC13" s="18">
        <v>680</v>
      </c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9">
        <f t="shared" si="8"/>
        <v>4513</v>
      </c>
      <c r="CZ13" s="19">
        <f t="shared" si="9"/>
        <v>6680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</row>
    <row r="14" spans="1:122" ht="18" customHeight="1">
      <c r="A14" s="4" t="s">
        <v>130</v>
      </c>
      <c r="B14" s="14">
        <f>IFERROR(VLOOKUP(A14,PRICELIST!$A$3:$D$138,4,0),"-")</f>
        <v>322.70999999999998</v>
      </c>
      <c r="C14" s="18">
        <v>120</v>
      </c>
      <c r="D14" s="18">
        <v>270</v>
      </c>
      <c r="E14" s="18">
        <v>5</v>
      </c>
      <c r="F14" s="18">
        <v>15</v>
      </c>
      <c r="G14" s="18"/>
      <c r="H14" s="18">
        <v>20</v>
      </c>
      <c r="I14" s="18">
        <v>36</v>
      </c>
      <c r="J14" s="18">
        <v>36</v>
      </c>
      <c r="K14" s="18"/>
      <c r="L14" s="18"/>
      <c r="M14" s="18"/>
      <c r="N14" s="18"/>
      <c r="O14" s="18">
        <v>7</v>
      </c>
      <c r="P14" s="18">
        <v>3</v>
      </c>
      <c r="Q14" s="18"/>
      <c r="R14" s="18"/>
      <c r="S14" s="18">
        <v>20</v>
      </c>
      <c r="T14" s="18">
        <v>0</v>
      </c>
      <c r="U14" s="18">
        <v>9</v>
      </c>
      <c r="V14" s="18">
        <v>3</v>
      </c>
      <c r="W14" s="18"/>
      <c r="X14" s="18">
        <v>14</v>
      </c>
      <c r="Y14" s="18"/>
      <c r="Z14" s="18"/>
      <c r="AA14" s="18">
        <v>76</v>
      </c>
      <c r="AB14" s="18">
        <v>34</v>
      </c>
      <c r="AC14" s="18"/>
      <c r="AD14" s="18"/>
      <c r="AE14" s="18">
        <v>64</v>
      </c>
      <c r="AF14" s="18">
        <v>6</v>
      </c>
      <c r="AG14" s="18"/>
      <c r="AH14" s="18"/>
      <c r="AI14" s="18">
        <v>11</v>
      </c>
      <c r="AJ14" s="18">
        <v>16</v>
      </c>
      <c r="AK14" s="39">
        <v>18</v>
      </c>
      <c r="AL14" s="39">
        <v>4</v>
      </c>
      <c r="AM14" s="39">
        <v>65</v>
      </c>
      <c r="AN14" s="39">
        <v>20</v>
      </c>
      <c r="AO14" s="39"/>
      <c r="AP14" s="39"/>
      <c r="AQ14" s="39">
        <v>2</v>
      </c>
      <c r="AR14" s="39">
        <v>30</v>
      </c>
      <c r="AS14" s="39"/>
      <c r="AT14" s="39"/>
      <c r="AU14" s="39">
        <v>19</v>
      </c>
      <c r="AV14" s="39">
        <v>13</v>
      </c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>
        <v>6</v>
      </c>
      <c r="BH14" s="18">
        <v>24</v>
      </c>
      <c r="BI14" s="39"/>
      <c r="BJ14" s="39"/>
      <c r="BK14" s="18"/>
      <c r="BL14" s="18"/>
      <c r="BM14" s="18"/>
      <c r="BN14" s="18"/>
      <c r="BO14" s="18"/>
      <c r="BP14" s="18"/>
      <c r="BQ14" s="18">
        <v>12</v>
      </c>
      <c r="BR14" s="18">
        <v>8</v>
      </c>
      <c r="BS14" s="18"/>
      <c r="BT14" s="18"/>
      <c r="BU14" s="18"/>
      <c r="BV14" s="18"/>
      <c r="BW14" s="18"/>
      <c r="BX14" s="18"/>
      <c r="BY14" s="18">
        <v>20</v>
      </c>
      <c r="BZ14" s="18"/>
      <c r="CA14" s="18">
        <v>7</v>
      </c>
      <c r="CB14" s="18">
        <v>3</v>
      </c>
      <c r="CC14" s="18">
        <v>40</v>
      </c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9">
        <f t="shared" si="8"/>
        <v>537</v>
      </c>
      <c r="CZ14" s="19">
        <f t="shared" si="9"/>
        <v>519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</row>
    <row r="15" spans="1:122" ht="18" customHeight="1">
      <c r="A15" s="4" t="s">
        <v>118</v>
      </c>
      <c r="B15" s="14">
        <f>IFERROR(VLOOKUP(A15,PRICELIST!$A$3:$D$138,4,0),"-")</f>
        <v>272.23</v>
      </c>
      <c r="C15" s="18">
        <v>65</v>
      </c>
      <c r="D15" s="18">
        <v>209</v>
      </c>
      <c r="E15" s="18">
        <v>6</v>
      </c>
      <c r="F15" s="18">
        <v>4</v>
      </c>
      <c r="G15" s="18">
        <v>18</v>
      </c>
      <c r="H15" s="18">
        <v>16</v>
      </c>
      <c r="I15" s="18">
        <v>3</v>
      </c>
      <c r="J15" s="18">
        <v>7</v>
      </c>
      <c r="K15" s="18"/>
      <c r="L15" s="18"/>
      <c r="M15" s="18">
        <v>54</v>
      </c>
      <c r="N15" s="18">
        <v>56</v>
      </c>
      <c r="O15" s="18"/>
      <c r="P15" s="18"/>
      <c r="Q15" s="18">
        <v>10</v>
      </c>
      <c r="R15" s="18"/>
      <c r="S15" s="18">
        <v>5</v>
      </c>
      <c r="T15" s="18">
        <v>2</v>
      </c>
      <c r="U15" s="18">
        <v>30</v>
      </c>
      <c r="V15" s="18">
        <v>16</v>
      </c>
      <c r="W15" s="18"/>
      <c r="X15" s="18"/>
      <c r="Y15" s="18"/>
      <c r="Z15" s="18"/>
      <c r="AA15" s="18">
        <v>49</v>
      </c>
      <c r="AB15" s="18">
        <v>51</v>
      </c>
      <c r="AC15" s="18"/>
      <c r="AD15" s="18"/>
      <c r="AE15" s="18">
        <v>54</v>
      </c>
      <c r="AF15" s="18">
        <v>10</v>
      </c>
      <c r="AG15" s="18"/>
      <c r="AH15" s="18"/>
      <c r="AI15" s="18"/>
      <c r="AJ15" s="18"/>
      <c r="AK15" s="39"/>
      <c r="AL15" s="39"/>
      <c r="AM15" s="39">
        <v>10</v>
      </c>
      <c r="AN15" s="39">
        <v>0</v>
      </c>
      <c r="AO15" s="39"/>
      <c r="AP15" s="39"/>
      <c r="AQ15" s="39">
        <v>19</v>
      </c>
      <c r="AR15" s="39">
        <v>31</v>
      </c>
      <c r="AS15" s="39">
        <v>11</v>
      </c>
      <c r="AT15" s="39">
        <v>9</v>
      </c>
      <c r="AU15" s="39"/>
      <c r="AV15" s="39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39"/>
      <c r="BJ15" s="39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>
        <v>30</v>
      </c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9">
        <f t="shared" si="8"/>
        <v>364</v>
      </c>
      <c r="CZ15" s="19">
        <f t="shared" si="9"/>
        <v>411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</row>
    <row r="16" spans="1:122" ht="18" customHeight="1">
      <c r="A16" s="4" t="s">
        <v>119</v>
      </c>
      <c r="B16" s="14">
        <f>IFERROR(VLOOKUP(A16,PRICELIST!$A$3:$D$138,4,0),"-")</f>
        <v>352.76</v>
      </c>
      <c r="C16" s="18">
        <v>5</v>
      </c>
      <c r="D16" s="18">
        <v>54</v>
      </c>
      <c r="E16" s="18">
        <v>-10</v>
      </c>
      <c r="F16" s="18">
        <v>20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>
        <v>13</v>
      </c>
      <c r="V16" s="18">
        <v>12</v>
      </c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39"/>
      <c r="AL16" s="39"/>
      <c r="AM16" s="39">
        <v>0</v>
      </c>
      <c r="AN16" s="39">
        <v>10</v>
      </c>
      <c r="AO16" s="39"/>
      <c r="AP16" s="39"/>
      <c r="AQ16" s="39"/>
      <c r="AR16" s="39"/>
      <c r="AS16" s="39"/>
      <c r="AT16" s="39"/>
      <c r="AU16" s="39">
        <v>3</v>
      </c>
      <c r="AV16" s="39">
        <v>7</v>
      </c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39"/>
      <c r="BJ16" s="39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9">
        <f t="shared" si="8"/>
        <v>11</v>
      </c>
      <c r="CZ16" s="19">
        <f t="shared" si="9"/>
        <v>103</v>
      </c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</row>
    <row r="17" spans="1:122" ht="18" customHeight="1">
      <c r="A17" s="4" t="s">
        <v>120</v>
      </c>
      <c r="B17" s="14">
        <f>IFERROR(VLOOKUP(A17,PRICELIST!$A$3:$D$138,4,0),"-")</f>
        <v>137.57</v>
      </c>
      <c r="C17" s="18">
        <v>117</v>
      </c>
      <c r="D17" s="18">
        <v>265</v>
      </c>
      <c r="E17" s="18"/>
      <c r="F17" s="18"/>
      <c r="G17" s="18">
        <v>58</v>
      </c>
      <c r="H17" s="18">
        <v>27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>
        <v>10</v>
      </c>
      <c r="T17" s="18">
        <v>0</v>
      </c>
      <c r="U17" s="18">
        <v>66</v>
      </c>
      <c r="V17" s="18">
        <v>24</v>
      </c>
      <c r="W17" s="18">
        <v>7</v>
      </c>
      <c r="X17" s="18">
        <v>18</v>
      </c>
      <c r="Y17" s="18">
        <v>30</v>
      </c>
      <c r="Z17" s="18">
        <v>30</v>
      </c>
      <c r="AA17" s="18">
        <v>6</v>
      </c>
      <c r="AB17" s="18">
        <v>1</v>
      </c>
      <c r="AC17" s="18"/>
      <c r="AD17" s="18"/>
      <c r="AE17" s="18">
        <v>39</v>
      </c>
      <c r="AF17" s="18">
        <v>11</v>
      </c>
      <c r="AG17" s="18"/>
      <c r="AH17" s="18"/>
      <c r="AI17" s="18">
        <v>24</v>
      </c>
      <c r="AJ17" s="18">
        <v>38</v>
      </c>
      <c r="AK17" s="39"/>
      <c r="AL17" s="39"/>
      <c r="AM17" s="39">
        <v>1</v>
      </c>
      <c r="AN17" s="39">
        <v>0</v>
      </c>
      <c r="AO17" s="39"/>
      <c r="AP17" s="39"/>
      <c r="AQ17" s="39">
        <v>10</v>
      </c>
      <c r="AR17" s="39">
        <v>50</v>
      </c>
      <c r="AS17" s="39"/>
      <c r="AT17" s="39"/>
      <c r="AU17" s="39">
        <v>0</v>
      </c>
      <c r="AV17" s="39">
        <v>7</v>
      </c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39"/>
      <c r="BJ17" s="39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>
        <v>30</v>
      </c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9">
        <f t="shared" si="8"/>
        <v>398</v>
      </c>
      <c r="CZ17" s="19">
        <f t="shared" si="9"/>
        <v>471</v>
      </c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</row>
    <row r="18" spans="1:122" ht="18" customHeight="1">
      <c r="A18" s="32" t="s">
        <v>124</v>
      </c>
      <c r="B18" s="14">
        <f>IFERROR(VLOOKUP(A18,PRICELIST!$A$3:$D$138,4,0),"-")</f>
        <v>647.36</v>
      </c>
      <c r="C18" s="18">
        <v>20</v>
      </c>
      <c r="D18" s="18">
        <v>164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>
        <v>3</v>
      </c>
      <c r="V18" s="18">
        <v>9</v>
      </c>
      <c r="W18" s="18"/>
      <c r="X18" s="18"/>
      <c r="Y18" s="18"/>
      <c r="Z18" s="18"/>
      <c r="AA18" s="18"/>
      <c r="AB18" s="18">
        <v>2</v>
      </c>
      <c r="AC18" s="18"/>
      <c r="AD18" s="18"/>
      <c r="AE18" s="18">
        <v>5</v>
      </c>
      <c r="AF18" s="18">
        <v>6</v>
      </c>
      <c r="AG18" s="18"/>
      <c r="AH18" s="18"/>
      <c r="AI18" s="18"/>
      <c r="AJ18" s="18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39"/>
      <c r="BJ18" s="39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9">
        <f t="shared" si="8"/>
        <v>28</v>
      </c>
      <c r="CZ18" s="19">
        <f t="shared" si="9"/>
        <v>181</v>
      </c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</row>
    <row r="19" spans="1:122" ht="18" customHeight="1">
      <c r="A19" s="4" t="s">
        <v>79</v>
      </c>
      <c r="B19" s="14">
        <f>IFERROR(VLOOKUP(A19,PRICELIST!$A$3:$D$138,4,0),"-")</f>
        <v>110.25</v>
      </c>
      <c r="C19" s="18">
        <v>100</v>
      </c>
      <c r="D19" s="18">
        <v>40</v>
      </c>
      <c r="E19" s="18">
        <v>6</v>
      </c>
      <c r="F19" s="18">
        <v>25</v>
      </c>
      <c r="G19" s="18"/>
      <c r="H19" s="18"/>
      <c r="I19" s="18"/>
      <c r="J19" s="18"/>
      <c r="K19" s="18"/>
      <c r="L19" s="18"/>
      <c r="M19" s="18"/>
      <c r="N19" s="18">
        <v>50</v>
      </c>
      <c r="O19" s="18"/>
      <c r="P19" s="18"/>
      <c r="Q19" s="18"/>
      <c r="R19" s="18">
        <v>50</v>
      </c>
      <c r="S19" s="18">
        <v>40</v>
      </c>
      <c r="T19" s="18">
        <v>2</v>
      </c>
      <c r="U19" s="18">
        <v>125</v>
      </c>
      <c r="V19" s="18">
        <v>112</v>
      </c>
      <c r="W19" s="18"/>
      <c r="X19" s="18"/>
      <c r="Y19" s="18"/>
      <c r="Z19" s="18"/>
      <c r="AA19" s="18">
        <v>168</v>
      </c>
      <c r="AB19" s="18">
        <v>44</v>
      </c>
      <c r="AC19" s="18">
        <v>72</v>
      </c>
      <c r="AD19" s="18">
        <v>50</v>
      </c>
      <c r="AE19" s="18"/>
      <c r="AF19" s="18">
        <v>70</v>
      </c>
      <c r="AG19" s="18"/>
      <c r="AH19" s="18"/>
      <c r="AI19" s="18">
        <v>175</v>
      </c>
      <c r="AJ19" s="18">
        <v>63</v>
      </c>
      <c r="AK19" s="39"/>
      <c r="AL19" s="39"/>
      <c r="AM19" s="39">
        <v>0</v>
      </c>
      <c r="AN19" s="39">
        <v>10</v>
      </c>
      <c r="AO19" s="39"/>
      <c r="AP19" s="39"/>
      <c r="AQ19" s="39"/>
      <c r="AR19" s="39"/>
      <c r="AS19" s="39"/>
      <c r="AT19" s="39"/>
      <c r="AU19" s="39"/>
      <c r="AV19" s="39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39"/>
      <c r="BJ19" s="39"/>
      <c r="BK19" s="18"/>
      <c r="BL19" s="18"/>
      <c r="BM19" s="18"/>
      <c r="BN19" s="18"/>
      <c r="BO19" s="18"/>
      <c r="BP19" s="18"/>
      <c r="BQ19" s="18"/>
      <c r="BR19" s="18"/>
      <c r="BS19" s="18">
        <v>5</v>
      </c>
      <c r="BT19" s="18">
        <v>5</v>
      </c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9">
        <f t="shared" si="8"/>
        <v>691</v>
      </c>
      <c r="CZ19" s="19">
        <f t="shared" si="9"/>
        <v>521</v>
      </c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</row>
    <row r="20" spans="1:122" ht="18" customHeight="1">
      <c r="A20" s="33" t="s">
        <v>125</v>
      </c>
      <c r="B20" s="15"/>
      <c r="C20" s="11">
        <f t="shared" ref="C20:AJ20" si="10">SUMPRODUCT($B11:$B19,C11:C19)</f>
        <v>559075.75</v>
      </c>
      <c r="D20" s="11">
        <f t="shared" si="10"/>
        <v>1701434.79</v>
      </c>
      <c r="E20" s="11">
        <f t="shared" si="10"/>
        <v>37823.11</v>
      </c>
      <c r="F20" s="11">
        <f t="shared" si="10"/>
        <v>25086.51</v>
      </c>
      <c r="G20" s="11">
        <f t="shared" si="10"/>
        <v>42289.31</v>
      </c>
      <c r="H20" s="11">
        <f t="shared" si="10"/>
        <v>32166.26</v>
      </c>
      <c r="I20" s="11">
        <f t="shared" si="10"/>
        <v>133517.15</v>
      </c>
      <c r="J20" s="11">
        <f t="shared" si="10"/>
        <v>87978.17</v>
      </c>
      <c r="K20" s="11">
        <f t="shared" si="10"/>
        <v>0</v>
      </c>
      <c r="L20" s="11">
        <f t="shared" si="10"/>
        <v>0</v>
      </c>
      <c r="M20" s="11">
        <f t="shared" si="10"/>
        <v>60872.429999999993</v>
      </c>
      <c r="N20" s="11">
        <f t="shared" si="10"/>
        <v>114445.39</v>
      </c>
      <c r="O20" s="11">
        <f t="shared" si="10"/>
        <v>3694.46</v>
      </c>
      <c r="P20" s="11">
        <f t="shared" si="10"/>
        <v>12151.71</v>
      </c>
      <c r="Q20" s="11">
        <f t="shared" si="10"/>
        <v>23229.3</v>
      </c>
      <c r="R20" s="11">
        <f t="shared" si="10"/>
        <v>9613.9</v>
      </c>
      <c r="S20" s="11">
        <f t="shared" si="10"/>
        <v>20178.919999999998</v>
      </c>
      <c r="T20" s="11">
        <f t="shared" si="10"/>
        <v>2861.41</v>
      </c>
      <c r="U20" s="11">
        <f t="shared" si="10"/>
        <v>68327.63</v>
      </c>
      <c r="V20" s="11">
        <f t="shared" si="10"/>
        <v>42223.97</v>
      </c>
      <c r="W20" s="11">
        <f t="shared" si="10"/>
        <v>26067.749999999996</v>
      </c>
      <c r="X20" s="11">
        <f t="shared" si="10"/>
        <v>16425.28</v>
      </c>
      <c r="Y20" s="11">
        <f t="shared" si="10"/>
        <v>12329.899999999998</v>
      </c>
      <c r="Z20" s="11">
        <f t="shared" si="10"/>
        <v>18482</v>
      </c>
      <c r="AA20" s="11">
        <f t="shared" si="10"/>
        <v>79072.28</v>
      </c>
      <c r="AB20" s="11">
        <f t="shared" si="10"/>
        <v>53933.19</v>
      </c>
      <c r="AC20" s="11">
        <f t="shared" si="10"/>
        <v>14090.099999999999</v>
      </c>
      <c r="AD20" s="11">
        <f t="shared" si="10"/>
        <v>12484.880000000001</v>
      </c>
      <c r="AE20" s="11">
        <f t="shared" si="10"/>
        <v>175219.41</v>
      </c>
      <c r="AF20" s="11">
        <f t="shared" si="10"/>
        <v>31996.52</v>
      </c>
      <c r="AG20" s="11">
        <f t="shared" si="10"/>
        <v>9354.1299999999992</v>
      </c>
      <c r="AH20" s="11">
        <f t="shared" si="10"/>
        <v>3391.47</v>
      </c>
      <c r="AI20" s="11">
        <f t="shared" si="10"/>
        <v>60650.879999999997</v>
      </c>
      <c r="AJ20" s="11">
        <f t="shared" si="10"/>
        <v>55042.240000000005</v>
      </c>
      <c r="AK20" s="40">
        <f t="shared" ref="AK20:BN20" si="11">SUMPRODUCT($B11:$B19,AK11:AK19)</f>
        <v>22954.999999999996</v>
      </c>
      <c r="AL20" s="40">
        <f t="shared" si="11"/>
        <v>20231.62</v>
      </c>
      <c r="AM20" s="40">
        <f t="shared" si="11"/>
        <v>80221.180000000008</v>
      </c>
      <c r="AN20" s="40">
        <f t="shared" si="11"/>
        <v>23674.859999999997</v>
      </c>
      <c r="AO20" s="40">
        <f t="shared" si="11"/>
        <v>1845.6299999999999</v>
      </c>
      <c r="AP20" s="40">
        <f t="shared" si="11"/>
        <v>637.28</v>
      </c>
      <c r="AQ20" s="40">
        <f t="shared" si="11"/>
        <v>25980.84</v>
      </c>
      <c r="AR20" s="40">
        <f t="shared" si="11"/>
        <v>45505.93</v>
      </c>
      <c r="AS20" s="40">
        <f t="shared" si="11"/>
        <v>13375.62</v>
      </c>
      <c r="AT20" s="40">
        <f t="shared" si="11"/>
        <v>15273.169999999998</v>
      </c>
      <c r="AU20" s="40">
        <f t="shared" si="11"/>
        <v>27725.869999999995</v>
      </c>
      <c r="AV20" s="40">
        <f t="shared" si="11"/>
        <v>23802.82</v>
      </c>
      <c r="AW20" s="11">
        <f t="shared" si="11"/>
        <v>1435.49</v>
      </c>
      <c r="AX20" s="11">
        <f t="shared" si="11"/>
        <v>615.21</v>
      </c>
      <c r="AY20" s="11">
        <f t="shared" si="11"/>
        <v>0</v>
      </c>
      <c r="AZ20" s="11">
        <f t="shared" si="11"/>
        <v>0</v>
      </c>
      <c r="BA20" s="11">
        <f t="shared" si="11"/>
        <v>0</v>
      </c>
      <c r="BB20" s="11">
        <f t="shared" si="11"/>
        <v>0</v>
      </c>
      <c r="BC20" s="11">
        <f t="shared" si="11"/>
        <v>11650.82</v>
      </c>
      <c r="BD20" s="11">
        <f t="shared" si="11"/>
        <v>14023.38</v>
      </c>
      <c r="BE20" s="11">
        <f t="shared" si="11"/>
        <v>0</v>
      </c>
      <c r="BF20" s="11">
        <f t="shared" si="11"/>
        <v>0</v>
      </c>
      <c r="BG20" s="11">
        <f t="shared" si="11"/>
        <v>6242.73</v>
      </c>
      <c r="BH20" s="11">
        <f t="shared" si="11"/>
        <v>12256.579999999998</v>
      </c>
      <c r="BI20" s="40">
        <f t="shared" si="11"/>
        <v>0</v>
      </c>
      <c r="BJ20" s="40">
        <f t="shared" si="11"/>
        <v>0</v>
      </c>
      <c r="BK20" s="11">
        <f t="shared" si="11"/>
        <v>2586.25</v>
      </c>
      <c r="BL20" s="11">
        <f t="shared" si="11"/>
        <v>1668.0099999999998</v>
      </c>
      <c r="BM20" s="11">
        <f t="shared" si="11"/>
        <v>0</v>
      </c>
      <c r="BN20" s="11">
        <f t="shared" si="11"/>
        <v>0</v>
      </c>
      <c r="BO20" s="11">
        <f t="shared" ref="BO20:CT20" si="12">SUMPRODUCT($B11:$B19,BO11:BO19)</f>
        <v>0</v>
      </c>
      <c r="BP20" s="11">
        <f t="shared" si="12"/>
        <v>0</v>
      </c>
      <c r="BQ20" s="11">
        <f t="shared" si="12"/>
        <v>9131.6899999999987</v>
      </c>
      <c r="BR20" s="11">
        <f t="shared" si="12"/>
        <v>5746.01</v>
      </c>
      <c r="BS20" s="11">
        <f t="shared" si="12"/>
        <v>4807.1399999999994</v>
      </c>
      <c r="BT20" s="11">
        <f t="shared" si="12"/>
        <v>2668.16</v>
      </c>
      <c r="BU20" s="11">
        <f t="shared" si="12"/>
        <v>0</v>
      </c>
      <c r="BV20" s="11">
        <f t="shared" si="12"/>
        <v>10671.75</v>
      </c>
      <c r="BW20" s="11">
        <f t="shared" si="12"/>
        <v>4921.68</v>
      </c>
      <c r="BX20" s="11">
        <f t="shared" si="12"/>
        <v>0</v>
      </c>
      <c r="BY20" s="11">
        <f t="shared" si="12"/>
        <v>6454.2</v>
      </c>
      <c r="BZ20" s="11">
        <f t="shared" si="12"/>
        <v>0</v>
      </c>
      <c r="CA20" s="11">
        <f t="shared" si="12"/>
        <v>6514.8599999999988</v>
      </c>
      <c r="CB20" s="11">
        <f t="shared" si="12"/>
        <v>3085.04</v>
      </c>
      <c r="CC20" s="11">
        <f t="shared" si="12"/>
        <v>240230.19999999998</v>
      </c>
      <c r="CD20" s="11">
        <f t="shared" si="12"/>
        <v>0</v>
      </c>
      <c r="CE20" s="11">
        <f t="shared" si="12"/>
        <v>0</v>
      </c>
      <c r="CF20" s="11">
        <f t="shared" si="12"/>
        <v>0</v>
      </c>
      <c r="CG20" s="11">
        <f t="shared" si="12"/>
        <v>0</v>
      </c>
      <c r="CH20" s="11">
        <f t="shared" si="12"/>
        <v>0</v>
      </c>
      <c r="CI20" s="11">
        <f t="shared" si="12"/>
        <v>0</v>
      </c>
      <c r="CJ20" s="11">
        <f t="shared" si="12"/>
        <v>0</v>
      </c>
      <c r="CK20" s="11">
        <f t="shared" si="12"/>
        <v>0</v>
      </c>
      <c r="CL20" s="11">
        <f t="shared" si="12"/>
        <v>0</v>
      </c>
      <c r="CM20" s="11">
        <f t="shared" si="12"/>
        <v>0</v>
      </c>
      <c r="CN20" s="11">
        <f t="shared" si="12"/>
        <v>0</v>
      </c>
      <c r="CO20" s="11">
        <f t="shared" si="12"/>
        <v>0</v>
      </c>
      <c r="CP20" s="11">
        <f t="shared" si="12"/>
        <v>0</v>
      </c>
      <c r="CQ20" s="11">
        <f t="shared" si="12"/>
        <v>0</v>
      </c>
      <c r="CR20" s="11">
        <f t="shared" si="12"/>
        <v>0</v>
      </c>
      <c r="CS20" s="11">
        <f t="shared" si="12"/>
        <v>0</v>
      </c>
      <c r="CT20" s="11">
        <f t="shared" si="12"/>
        <v>0</v>
      </c>
      <c r="CU20" s="11">
        <f t="shared" ref="CU20:CZ20" si="13">SUMPRODUCT($B11:$B19,CU11:CU19)</f>
        <v>0</v>
      </c>
      <c r="CV20" s="11">
        <f t="shared" si="13"/>
        <v>0</v>
      </c>
      <c r="CW20" s="11">
        <f t="shared" si="13"/>
        <v>0</v>
      </c>
      <c r="CX20" s="11">
        <f t="shared" si="13"/>
        <v>0</v>
      </c>
      <c r="CY20" s="11">
        <f t="shared" si="13"/>
        <v>1791871.7100000002</v>
      </c>
      <c r="CZ20" s="11">
        <f t="shared" si="13"/>
        <v>2399577.5099999998</v>
      </c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</row>
    <row r="21" spans="1:122" ht="18" customHeight="1">
      <c r="A21" s="13" t="s">
        <v>80</v>
      </c>
      <c r="B21" s="14">
        <f>IFERROR(VLOOKUP(A21,PRICELIST!$A$3:$D$138,4,0),"-")</f>
        <v>128.88</v>
      </c>
      <c r="C21" s="18">
        <v>14</v>
      </c>
      <c r="D21" s="18">
        <v>96</v>
      </c>
      <c r="E21" s="18"/>
      <c r="F21" s="18"/>
      <c r="G21" s="18">
        <v>14</v>
      </c>
      <c r="H21" s="18">
        <v>13</v>
      </c>
      <c r="I21" s="18">
        <v>61</v>
      </c>
      <c r="J21" s="18">
        <v>52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>
        <v>3</v>
      </c>
      <c r="AJ21" s="18">
        <v>4</v>
      </c>
      <c r="AK21" s="39"/>
      <c r="AL21" s="39"/>
      <c r="AM21" s="39">
        <v>0</v>
      </c>
      <c r="AN21" s="39">
        <v>1</v>
      </c>
      <c r="AO21" s="39"/>
      <c r="AP21" s="39"/>
      <c r="AQ21" s="39"/>
      <c r="AR21" s="39"/>
      <c r="AS21" s="39">
        <v>2</v>
      </c>
      <c r="AT21" s="39">
        <v>4</v>
      </c>
      <c r="AU21" s="39"/>
      <c r="AV21" s="39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39"/>
      <c r="BJ21" s="39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>
        <v>5</v>
      </c>
      <c r="BV21" s="18">
        <v>2</v>
      </c>
      <c r="BW21" s="18"/>
      <c r="BX21" s="18"/>
      <c r="BY21" s="18"/>
      <c r="BZ21" s="18"/>
      <c r="CA21" s="18"/>
      <c r="CB21" s="18"/>
      <c r="CC21" s="18">
        <v>10</v>
      </c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9">
        <f t="shared" ref="CY21:CY23" si="14">C21+E21+G21+I21+K21+M21+O21+Q21+S21+U21+W21+Y21+AA21+AC21+AE21+AG21+AI21+AK21+AM21+AO21+AQ21+AS21+AU21+AW21+AY21+BA21+BC21+BE21+BG21+BI21+BK21+BM21+BO21+BQ21+BS21+BU21+BW21+BY21+CA21+CC21+CE21+CG21+CI21+CK21+CM21+CO21+CQ21+CS21+CU21+CW21</f>
        <v>109</v>
      </c>
      <c r="CZ21" s="19">
        <f t="shared" ref="CZ21:CZ23" si="15">D21+F21+H21+J21+L21+N21+P21+R21+T21+V21+X21+Z21+AB21+AD21+AF21+AH21+AJ21+AL21+AN21+AP21+AR21+AT21+AV21+AX21+AZ21+BB21+BD21+BF21+BH21+BJ21+BL21+BN21+BP21+BR21+BT21+BV21+BX21+BZ21+CB21+CD21+CF21+CH21+CJ21+CL21+CN21+CP21+CR21+CT21+CV21+CX21</f>
        <v>172</v>
      </c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</row>
    <row r="22" spans="1:122" ht="18" customHeight="1">
      <c r="A22" s="13" t="s">
        <v>10</v>
      </c>
      <c r="B22" s="14">
        <f>IFERROR(VLOOKUP(A22,PRICELIST!$A$3:$D$138,4,0),"-")</f>
        <v>120.53</v>
      </c>
      <c r="C22" s="18"/>
      <c r="D22" s="18">
        <v>10</v>
      </c>
      <c r="E22" s="18"/>
      <c r="F22" s="18"/>
      <c r="G22" s="18"/>
      <c r="H22" s="18"/>
      <c r="I22" s="18">
        <v>4</v>
      </c>
      <c r="J22" s="18">
        <v>13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39"/>
      <c r="AL22" s="39"/>
      <c r="AM22" s="39">
        <v>0</v>
      </c>
      <c r="AN22" s="39">
        <v>10</v>
      </c>
      <c r="AO22" s="39"/>
      <c r="AP22" s="39"/>
      <c r="AQ22" s="39"/>
      <c r="AR22" s="39"/>
      <c r="AS22" s="39"/>
      <c r="AT22" s="39"/>
      <c r="AU22" s="39"/>
      <c r="AV22" s="39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39"/>
      <c r="BJ22" s="39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9">
        <f t="shared" si="14"/>
        <v>4</v>
      </c>
      <c r="CZ22" s="19">
        <f t="shared" si="15"/>
        <v>33</v>
      </c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</row>
    <row r="23" spans="1:122" ht="18" customHeight="1">
      <c r="A23" s="13" t="s">
        <v>11</v>
      </c>
      <c r="B23" s="14">
        <f>IFERROR(VLOOKUP(A23,PRICELIST!$A$3:$D$138,4,0),"-")</f>
        <v>144.29</v>
      </c>
      <c r="C23" s="18"/>
      <c r="D23" s="18">
        <v>10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>
        <v>1</v>
      </c>
      <c r="AJ23" s="18">
        <v>8</v>
      </c>
      <c r="AK23" s="39"/>
      <c r="AL23" s="39"/>
      <c r="AM23" s="39">
        <v>1</v>
      </c>
      <c r="AN23" s="39">
        <v>13</v>
      </c>
      <c r="AO23" s="39"/>
      <c r="AP23" s="39"/>
      <c r="AQ23" s="39"/>
      <c r="AR23" s="39"/>
      <c r="AS23" s="39"/>
      <c r="AT23" s="39"/>
      <c r="AU23" s="39"/>
      <c r="AV23" s="39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39"/>
      <c r="BJ23" s="39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9">
        <f t="shared" si="14"/>
        <v>2</v>
      </c>
      <c r="CZ23" s="19">
        <f t="shared" si="15"/>
        <v>31</v>
      </c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</row>
    <row r="24" spans="1:122" ht="18" customHeight="1">
      <c r="A24" s="9" t="s">
        <v>12</v>
      </c>
      <c r="B24" s="10"/>
      <c r="C24" s="11">
        <f>SUMPRODUCT($B21:$B23,C21:C23)</f>
        <v>1804.32</v>
      </c>
      <c r="D24" s="11">
        <f t="shared" ref="D24:BO24" si="16">SUMPRODUCT($B21:$B23,D21:D23)</f>
        <v>15020.679999999998</v>
      </c>
      <c r="E24" s="11">
        <f t="shared" si="16"/>
        <v>0</v>
      </c>
      <c r="F24" s="11">
        <f t="shared" si="16"/>
        <v>0</v>
      </c>
      <c r="G24" s="11">
        <f t="shared" si="16"/>
        <v>1804.32</v>
      </c>
      <c r="H24" s="11">
        <f t="shared" si="16"/>
        <v>1675.44</v>
      </c>
      <c r="I24" s="11">
        <f t="shared" si="16"/>
        <v>8343.7999999999993</v>
      </c>
      <c r="J24" s="11">
        <f t="shared" si="16"/>
        <v>8268.65</v>
      </c>
      <c r="K24" s="11">
        <f t="shared" si="16"/>
        <v>0</v>
      </c>
      <c r="L24" s="11">
        <f t="shared" si="16"/>
        <v>0</v>
      </c>
      <c r="M24" s="11">
        <f t="shared" si="16"/>
        <v>0</v>
      </c>
      <c r="N24" s="11">
        <f t="shared" si="16"/>
        <v>0</v>
      </c>
      <c r="O24" s="11">
        <f t="shared" si="16"/>
        <v>0</v>
      </c>
      <c r="P24" s="11">
        <f t="shared" si="16"/>
        <v>0</v>
      </c>
      <c r="Q24" s="11">
        <f t="shared" si="16"/>
        <v>0</v>
      </c>
      <c r="R24" s="11">
        <f t="shared" si="16"/>
        <v>0</v>
      </c>
      <c r="S24" s="11">
        <f t="shared" si="16"/>
        <v>0</v>
      </c>
      <c r="T24" s="11">
        <f t="shared" si="16"/>
        <v>0</v>
      </c>
      <c r="U24" s="11">
        <f t="shared" si="16"/>
        <v>0</v>
      </c>
      <c r="V24" s="11">
        <f t="shared" si="16"/>
        <v>0</v>
      </c>
      <c r="W24" s="11">
        <f t="shared" si="16"/>
        <v>0</v>
      </c>
      <c r="X24" s="11">
        <f t="shared" si="16"/>
        <v>0</v>
      </c>
      <c r="Y24" s="11">
        <f t="shared" si="16"/>
        <v>0</v>
      </c>
      <c r="Z24" s="11">
        <f t="shared" si="16"/>
        <v>0</v>
      </c>
      <c r="AA24" s="11">
        <f t="shared" si="16"/>
        <v>0</v>
      </c>
      <c r="AB24" s="11">
        <f t="shared" si="16"/>
        <v>0</v>
      </c>
      <c r="AC24" s="11">
        <f t="shared" si="16"/>
        <v>0</v>
      </c>
      <c r="AD24" s="11">
        <f t="shared" si="16"/>
        <v>0</v>
      </c>
      <c r="AE24" s="11">
        <f t="shared" si="16"/>
        <v>0</v>
      </c>
      <c r="AF24" s="11">
        <f t="shared" si="16"/>
        <v>0</v>
      </c>
      <c r="AG24" s="11">
        <f t="shared" si="16"/>
        <v>0</v>
      </c>
      <c r="AH24" s="11">
        <f t="shared" si="16"/>
        <v>0</v>
      </c>
      <c r="AI24" s="11">
        <f t="shared" si="16"/>
        <v>530.92999999999995</v>
      </c>
      <c r="AJ24" s="11">
        <f t="shared" si="16"/>
        <v>1669.84</v>
      </c>
      <c r="AK24" s="40">
        <f t="shared" si="16"/>
        <v>0</v>
      </c>
      <c r="AL24" s="40">
        <f t="shared" si="16"/>
        <v>0</v>
      </c>
      <c r="AM24" s="40">
        <f t="shared" si="16"/>
        <v>144.29</v>
      </c>
      <c r="AN24" s="40">
        <f t="shared" si="16"/>
        <v>3209.95</v>
      </c>
      <c r="AO24" s="40">
        <f t="shared" si="16"/>
        <v>0</v>
      </c>
      <c r="AP24" s="40">
        <f t="shared" si="16"/>
        <v>0</v>
      </c>
      <c r="AQ24" s="40">
        <f t="shared" si="16"/>
        <v>0</v>
      </c>
      <c r="AR24" s="40">
        <f t="shared" si="16"/>
        <v>0</v>
      </c>
      <c r="AS24" s="40">
        <f t="shared" si="16"/>
        <v>257.76</v>
      </c>
      <c r="AT24" s="40">
        <f t="shared" si="16"/>
        <v>515.52</v>
      </c>
      <c r="AU24" s="40">
        <f t="shared" si="16"/>
        <v>0</v>
      </c>
      <c r="AV24" s="40">
        <f t="shared" si="16"/>
        <v>0</v>
      </c>
      <c r="AW24" s="11">
        <f t="shared" si="16"/>
        <v>0</v>
      </c>
      <c r="AX24" s="11">
        <f t="shared" si="16"/>
        <v>0</v>
      </c>
      <c r="AY24" s="11">
        <f t="shared" si="16"/>
        <v>0</v>
      </c>
      <c r="AZ24" s="11">
        <f t="shared" si="16"/>
        <v>0</v>
      </c>
      <c r="BA24" s="11">
        <f t="shared" si="16"/>
        <v>0</v>
      </c>
      <c r="BB24" s="11">
        <f t="shared" si="16"/>
        <v>0</v>
      </c>
      <c r="BC24" s="11">
        <f t="shared" si="16"/>
        <v>0</v>
      </c>
      <c r="BD24" s="11">
        <f t="shared" si="16"/>
        <v>0</v>
      </c>
      <c r="BE24" s="11">
        <f t="shared" si="16"/>
        <v>0</v>
      </c>
      <c r="BF24" s="11">
        <f t="shared" si="16"/>
        <v>0</v>
      </c>
      <c r="BG24" s="11">
        <f t="shared" si="16"/>
        <v>0</v>
      </c>
      <c r="BH24" s="11">
        <f t="shared" si="16"/>
        <v>0</v>
      </c>
      <c r="BI24" s="40">
        <f t="shared" si="16"/>
        <v>0</v>
      </c>
      <c r="BJ24" s="40">
        <f t="shared" si="16"/>
        <v>0</v>
      </c>
      <c r="BK24" s="11">
        <f t="shared" si="16"/>
        <v>0</v>
      </c>
      <c r="BL24" s="11">
        <f t="shared" si="16"/>
        <v>0</v>
      </c>
      <c r="BM24" s="11">
        <f t="shared" si="16"/>
        <v>0</v>
      </c>
      <c r="BN24" s="11">
        <f t="shared" si="16"/>
        <v>0</v>
      </c>
      <c r="BO24" s="11">
        <f t="shared" si="16"/>
        <v>0</v>
      </c>
      <c r="BP24" s="11">
        <f t="shared" ref="BP24:CX24" si="17">SUMPRODUCT($B21:$B23,BP21:BP23)</f>
        <v>0</v>
      </c>
      <c r="BQ24" s="11">
        <f t="shared" si="17"/>
        <v>0</v>
      </c>
      <c r="BR24" s="11">
        <f t="shared" si="17"/>
        <v>0</v>
      </c>
      <c r="BS24" s="11">
        <f t="shared" si="17"/>
        <v>0</v>
      </c>
      <c r="BT24" s="11">
        <f t="shared" si="17"/>
        <v>0</v>
      </c>
      <c r="BU24" s="11">
        <f t="shared" si="17"/>
        <v>644.4</v>
      </c>
      <c r="BV24" s="11">
        <f t="shared" si="17"/>
        <v>257.76</v>
      </c>
      <c r="BW24" s="11">
        <f t="shared" si="17"/>
        <v>0</v>
      </c>
      <c r="BX24" s="11">
        <f t="shared" si="17"/>
        <v>0</v>
      </c>
      <c r="BY24" s="11">
        <f t="shared" si="17"/>
        <v>0</v>
      </c>
      <c r="BZ24" s="11">
        <f t="shared" si="17"/>
        <v>0</v>
      </c>
      <c r="CA24" s="11">
        <f t="shared" si="17"/>
        <v>0</v>
      </c>
      <c r="CB24" s="11">
        <f t="shared" si="17"/>
        <v>0</v>
      </c>
      <c r="CC24" s="11">
        <f t="shared" si="17"/>
        <v>1288.8</v>
      </c>
      <c r="CD24" s="11">
        <f t="shared" si="17"/>
        <v>0</v>
      </c>
      <c r="CE24" s="11">
        <f t="shared" si="17"/>
        <v>0</v>
      </c>
      <c r="CF24" s="11">
        <f t="shared" si="17"/>
        <v>0</v>
      </c>
      <c r="CG24" s="11">
        <f t="shared" si="17"/>
        <v>0</v>
      </c>
      <c r="CH24" s="11">
        <f t="shared" si="17"/>
        <v>0</v>
      </c>
      <c r="CI24" s="11">
        <f t="shared" si="17"/>
        <v>0</v>
      </c>
      <c r="CJ24" s="11">
        <f t="shared" si="17"/>
        <v>0</v>
      </c>
      <c r="CK24" s="11">
        <f t="shared" si="17"/>
        <v>0</v>
      </c>
      <c r="CL24" s="11">
        <f t="shared" si="17"/>
        <v>0</v>
      </c>
      <c r="CM24" s="11">
        <f t="shared" si="17"/>
        <v>0</v>
      </c>
      <c r="CN24" s="11">
        <f t="shared" si="17"/>
        <v>0</v>
      </c>
      <c r="CO24" s="11">
        <f t="shared" si="17"/>
        <v>0</v>
      </c>
      <c r="CP24" s="11">
        <f t="shared" si="17"/>
        <v>0</v>
      </c>
      <c r="CQ24" s="11">
        <f t="shared" si="17"/>
        <v>0</v>
      </c>
      <c r="CR24" s="11">
        <f t="shared" si="17"/>
        <v>0</v>
      </c>
      <c r="CS24" s="11">
        <f t="shared" si="17"/>
        <v>0</v>
      </c>
      <c r="CT24" s="11">
        <f t="shared" si="17"/>
        <v>0</v>
      </c>
      <c r="CU24" s="11">
        <f t="shared" si="17"/>
        <v>0</v>
      </c>
      <c r="CV24" s="11">
        <f t="shared" si="17"/>
        <v>0</v>
      </c>
      <c r="CW24" s="11">
        <f t="shared" si="17"/>
        <v>0</v>
      </c>
      <c r="CX24" s="11">
        <f t="shared" si="17"/>
        <v>0</v>
      </c>
      <c r="CY24" s="11">
        <f t="shared" ref="CY24" si="18">SUMPRODUCT($B21:$B23,CY21:CY23)</f>
        <v>14818.62</v>
      </c>
      <c r="CZ24" s="11">
        <f t="shared" ref="CZ24" si="19">SUMPRODUCT($B21:$B23,CZ21:CZ23)</f>
        <v>30617.840000000004</v>
      </c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</row>
    <row r="25" spans="1:122" ht="18" customHeight="1">
      <c r="A25" s="13" t="s">
        <v>13</v>
      </c>
      <c r="B25" s="14">
        <f>IFERROR(VLOOKUP(A25,PRICELIST!$A$3:$D$138,4,0),"-")</f>
        <v>110.57</v>
      </c>
      <c r="C25" s="18">
        <v>18</v>
      </c>
      <c r="D25" s="18">
        <v>124</v>
      </c>
      <c r="E25" s="18">
        <v>3</v>
      </c>
      <c r="F25" s="18">
        <v>28</v>
      </c>
      <c r="G25" s="18">
        <v>33</v>
      </c>
      <c r="H25" s="18">
        <v>20</v>
      </c>
      <c r="I25" s="18">
        <v>57</v>
      </c>
      <c r="J25" s="18">
        <v>40</v>
      </c>
      <c r="K25" s="18"/>
      <c r="L25" s="18"/>
      <c r="M25" s="18"/>
      <c r="N25" s="18"/>
      <c r="O25" s="18"/>
      <c r="P25" s="18"/>
      <c r="Q25" s="18"/>
      <c r="R25" s="18"/>
      <c r="S25" s="18"/>
      <c r="T25" s="18">
        <v>26</v>
      </c>
      <c r="U25" s="18"/>
      <c r="V25" s="18"/>
      <c r="W25" s="18"/>
      <c r="X25" s="18">
        <v>10</v>
      </c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>
        <v>6</v>
      </c>
      <c r="AJ25" s="18">
        <v>18</v>
      </c>
      <c r="AK25" s="39"/>
      <c r="AL25" s="39"/>
      <c r="AM25" s="39">
        <v>0</v>
      </c>
      <c r="AN25" s="39">
        <v>6</v>
      </c>
      <c r="AO25" s="39"/>
      <c r="AP25" s="39"/>
      <c r="AQ25" s="39"/>
      <c r="AR25" s="39"/>
      <c r="AS25" s="39">
        <v>17</v>
      </c>
      <c r="AT25" s="39">
        <v>10</v>
      </c>
      <c r="AU25" s="39">
        <v>25</v>
      </c>
      <c r="AV25" s="39">
        <v>18</v>
      </c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39"/>
      <c r="BJ25" s="39"/>
      <c r="BK25" s="18"/>
      <c r="BL25" s="18"/>
      <c r="BM25" s="18"/>
      <c r="BN25" s="18"/>
      <c r="BO25" s="18"/>
      <c r="BP25" s="18"/>
      <c r="BQ25" s="18">
        <v>4</v>
      </c>
      <c r="BR25" s="18">
        <v>6</v>
      </c>
      <c r="BS25" s="18"/>
      <c r="BT25" s="18"/>
      <c r="BU25" s="18">
        <v>47</v>
      </c>
      <c r="BV25" s="18">
        <v>32</v>
      </c>
      <c r="BW25" s="18"/>
      <c r="BX25" s="18"/>
      <c r="BY25" s="18"/>
      <c r="BZ25" s="18"/>
      <c r="CA25" s="18"/>
      <c r="CB25" s="18"/>
      <c r="CC25" s="18">
        <v>140</v>
      </c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9">
        <f t="shared" ref="CY25:CY26" si="20">C25+E25+G25+I25+K25+M25+O25+Q25+S25+U25+W25+Y25+AA25+AC25+AE25+AG25+AI25+AK25+AM25+AO25+AQ25+AS25+AU25+AW25+AY25+BA25+BC25+BE25+BG25+BI25+BK25+BM25+BO25+BQ25+BS25+BU25+BW25+BY25+CA25+CC25+CE25+CG25+CI25+CK25+CM25+CO25+CQ25+CS25+CU25+CW25</f>
        <v>350</v>
      </c>
      <c r="CZ25" s="19">
        <f t="shared" ref="CZ25:CZ26" si="21">D25+F25+H25+J25+L25+N25+P25+R25+T25+V25+X25+Z25+AB25+AD25+AF25+AH25+AJ25+AL25+AN25+AP25+AR25+AT25+AV25+AX25+AZ25+BB25+BD25+BF25+BH25+BJ25+BL25+BN25+BP25+BR25+BT25+BV25+BX25+BZ25+CB25+CD25+CF25+CH25+CJ25+CL25+CN25+CP25+CR25+CT25+CV25+CX25</f>
        <v>338</v>
      </c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</row>
    <row r="26" spans="1:122" ht="18" customHeight="1">
      <c r="A26" s="13" t="s">
        <v>14</v>
      </c>
      <c r="B26" s="14">
        <f>IFERROR(VLOOKUP(A26,PRICELIST!$A$3:$D$138,4,0),"-")</f>
        <v>184.82</v>
      </c>
      <c r="C26" s="18">
        <v>10</v>
      </c>
      <c r="D26" s="18">
        <v>70</v>
      </c>
      <c r="E26" s="18"/>
      <c r="F26" s="18"/>
      <c r="G26" s="18"/>
      <c r="H26" s="18">
        <v>13</v>
      </c>
      <c r="I26" s="18">
        <v>0</v>
      </c>
      <c r="J26" s="18">
        <v>21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>
        <v>9</v>
      </c>
      <c r="AJ26" s="18">
        <v>11</v>
      </c>
      <c r="AK26" s="39"/>
      <c r="AL26" s="39"/>
      <c r="AM26" s="39"/>
      <c r="AN26" s="39"/>
      <c r="AO26" s="39"/>
      <c r="AP26" s="39"/>
      <c r="AQ26" s="39"/>
      <c r="AR26" s="39"/>
      <c r="AS26" s="39">
        <v>3</v>
      </c>
      <c r="AT26" s="39">
        <v>1</v>
      </c>
      <c r="AU26" s="39">
        <v>3</v>
      </c>
      <c r="AV26" s="39">
        <v>14</v>
      </c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39"/>
      <c r="BJ26" s="39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>
        <v>50</v>
      </c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9">
        <f t="shared" si="20"/>
        <v>75</v>
      </c>
      <c r="CZ26" s="19">
        <f t="shared" si="21"/>
        <v>130</v>
      </c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</row>
    <row r="27" spans="1:122" ht="18" customHeight="1">
      <c r="A27" s="9" t="s">
        <v>15</v>
      </c>
      <c r="B27" s="10"/>
      <c r="C27" s="11">
        <f>SUMPRODUCT($B25:$B26,C25:C26)</f>
        <v>3838.4599999999996</v>
      </c>
      <c r="D27" s="11">
        <f t="shared" ref="D27:BO27" si="22">SUMPRODUCT($B25:$B26,D25:D26)</f>
        <v>26648.079999999998</v>
      </c>
      <c r="E27" s="11">
        <f t="shared" si="22"/>
        <v>331.71</v>
      </c>
      <c r="F27" s="11">
        <f t="shared" si="22"/>
        <v>3095.96</v>
      </c>
      <c r="G27" s="11">
        <f t="shared" si="22"/>
        <v>3648.81</v>
      </c>
      <c r="H27" s="11">
        <f t="shared" si="22"/>
        <v>4614.0599999999995</v>
      </c>
      <c r="I27" s="11">
        <f t="shared" si="22"/>
        <v>6302.49</v>
      </c>
      <c r="J27" s="11">
        <f t="shared" si="22"/>
        <v>8304.0199999999986</v>
      </c>
      <c r="K27" s="11">
        <f t="shared" si="22"/>
        <v>0</v>
      </c>
      <c r="L27" s="11">
        <f t="shared" si="22"/>
        <v>0</v>
      </c>
      <c r="M27" s="11">
        <f t="shared" si="22"/>
        <v>0</v>
      </c>
      <c r="N27" s="11">
        <f t="shared" si="22"/>
        <v>0</v>
      </c>
      <c r="O27" s="11">
        <f t="shared" si="22"/>
        <v>0</v>
      </c>
      <c r="P27" s="11">
        <f t="shared" si="22"/>
        <v>0</v>
      </c>
      <c r="Q27" s="11">
        <f t="shared" si="22"/>
        <v>0</v>
      </c>
      <c r="R27" s="11">
        <f t="shared" si="22"/>
        <v>0</v>
      </c>
      <c r="S27" s="11">
        <f t="shared" si="22"/>
        <v>0</v>
      </c>
      <c r="T27" s="11">
        <f t="shared" si="22"/>
        <v>2874.8199999999997</v>
      </c>
      <c r="U27" s="11">
        <f t="shared" si="22"/>
        <v>0</v>
      </c>
      <c r="V27" s="11">
        <f t="shared" si="22"/>
        <v>0</v>
      </c>
      <c r="W27" s="11">
        <f t="shared" si="22"/>
        <v>0</v>
      </c>
      <c r="X27" s="11">
        <f t="shared" si="22"/>
        <v>1105.6999999999998</v>
      </c>
      <c r="Y27" s="11">
        <f t="shared" si="22"/>
        <v>0</v>
      </c>
      <c r="Z27" s="11">
        <f t="shared" si="22"/>
        <v>0</v>
      </c>
      <c r="AA27" s="11">
        <f t="shared" si="22"/>
        <v>0</v>
      </c>
      <c r="AB27" s="11">
        <f t="shared" si="22"/>
        <v>0</v>
      </c>
      <c r="AC27" s="11">
        <f t="shared" si="22"/>
        <v>0</v>
      </c>
      <c r="AD27" s="11">
        <f t="shared" si="22"/>
        <v>0</v>
      </c>
      <c r="AE27" s="11">
        <f t="shared" si="22"/>
        <v>0</v>
      </c>
      <c r="AF27" s="11">
        <f t="shared" si="22"/>
        <v>0</v>
      </c>
      <c r="AG27" s="11">
        <f t="shared" si="22"/>
        <v>0</v>
      </c>
      <c r="AH27" s="11">
        <f t="shared" si="22"/>
        <v>0</v>
      </c>
      <c r="AI27" s="11">
        <f t="shared" si="22"/>
        <v>2326.7999999999997</v>
      </c>
      <c r="AJ27" s="11">
        <f t="shared" si="22"/>
        <v>4023.2799999999997</v>
      </c>
      <c r="AK27" s="40">
        <f t="shared" si="22"/>
        <v>0</v>
      </c>
      <c r="AL27" s="40">
        <f t="shared" si="22"/>
        <v>0</v>
      </c>
      <c r="AM27" s="40">
        <f t="shared" si="22"/>
        <v>0</v>
      </c>
      <c r="AN27" s="40">
        <f t="shared" si="22"/>
        <v>663.42</v>
      </c>
      <c r="AO27" s="40">
        <f t="shared" si="22"/>
        <v>0</v>
      </c>
      <c r="AP27" s="40">
        <f t="shared" si="22"/>
        <v>0</v>
      </c>
      <c r="AQ27" s="40">
        <f t="shared" si="22"/>
        <v>0</v>
      </c>
      <c r="AR27" s="40">
        <f t="shared" si="22"/>
        <v>0</v>
      </c>
      <c r="AS27" s="40">
        <f t="shared" si="22"/>
        <v>2434.1499999999996</v>
      </c>
      <c r="AT27" s="40">
        <f t="shared" si="22"/>
        <v>1290.5199999999998</v>
      </c>
      <c r="AU27" s="40">
        <f t="shared" si="22"/>
        <v>3318.71</v>
      </c>
      <c r="AV27" s="40">
        <f t="shared" si="22"/>
        <v>4577.74</v>
      </c>
      <c r="AW27" s="11">
        <f t="shared" si="22"/>
        <v>0</v>
      </c>
      <c r="AX27" s="11">
        <f t="shared" si="22"/>
        <v>0</v>
      </c>
      <c r="AY27" s="11">
        <f t="shared" si="22"/>
        <v>0</v>
      </c>
      <c r="AZ27" s="11">
        <f t="shared" si="22"/>
        <v>0</v>
      </c>
      <c r="BA27" s="11">
        <f t="shared" si="22"/>
        <v>0</v>
      </c>
      <c r="BB27" s="11">
        <f t="shared" si="22"/>
        <v>0</v>
      </c>
      <c r="BC27" s="11">
        <f t="shared" si="22"/>
        <v>0</v>
      </c>
      <c r="BD27" s="11">
        <f t="shared" si="22"/>
        <v>0</v>
      </c>
      <c r="BE27" s="11">
        <f t="shared" si="22"/>
        <v>0</v>
      </c>
      <c r="BF27" s="11">
        <f t="shared" si="22"/>
        <v>0</v>
      </c>
      <c r="BG27" s="11">
        <f t="shared" si="22"/>
        <v>0</v>
      </c>
      <c r="BH27" s="11">
        <f t="shared" si="22"/>
        <v>0</v>
      </c>
      <c r="BI27" s="40">
        <f t="shared" si="22"/>
        <v>0</v>
      </c>
      <c r="BJ27" s="40">
        <f t="shared" si="22"/>
        <v>0</v>
      </c>
      <c r="BK27" s="11">
        <f t="shared" si="22"/>
        <v>0</v>
      </c>
      <c r="BL27" s="11">
        <f t="shared" si="22"/>
        <v>0</v>
      </c>
      <c r="BM27" s="11">
        <f t="shared" si="22"/>
        <v>0</v>
      </c>
      <c r="BN27" s="11">
        <f t="shared" si="22"/>
        <v>0</v>
      </c>
      <c r="BO27" s="11">
        <f t="shared" si="22"/>
        <v>0</v>
      </c>
      <c r="BP27" s="11">
        <f t="shared" ref="BP27:CX27" si="23">SUMPRODUCT($B25:$B26,BP25:BP26)</f>
        <v>0</v>
      </c>
      <c r="BQ27" s="11">
        <f t="shared" si="23"/>
        <v>442.28</v>
      </c>
      <c r="BR27" s="11">
        <f t="shared" si="23"/>
        <v>663.42</v>
      </c>
      <c r="BS27" s="11">
        <f t="shared" si="23"/>
        <v>0</v>
      </c>
      <c r="BT27" s="11">
        <f t="shared" si="23"/>
        <v>0</v>
      </c>
      <c r="BU27" s="11">
        <f t="shared" si="23"/>
        <v>5196.79</v>
      </c>
      <c r="BV27" s="11">
        <f t="shared" si="23"/>
        <v>3538.24</v>
      </c>
      <c r="BW27" s="11">
        <f t="shared" si="23"/>
        <v>0</v>
      </c>
      <c r="BX27" s="11">
        <f t="shared" si="23"/>
        <v>0</v>
      </c>
      <c r="BY27" s="11">
        <f t="shared" si="23"/>
        <v>0</v>
      </c>
      <c r="BZ27" s="11">
        <f t="shared" si="23"/>
        <v>0</v>
      </c>
      <c r="CA27" s="11">
        <f t="shared" si="23"/>
        <v>0</v>
      </c>
      <c r="CB27" s="11">
        <f t="shared" si="23"/>
        <v>0</v>
      </c>
      <c r="CC27" s="11">
        <f t="shared" si="23"/>
        <v>24720.799999999999</v>
      </c>
      <c r="CD27" s="11">
        <f t="shared" si="23"/>
        <v>0</v>
      </c>
      <c r="CE27" s="11">
        <f t="shared" si="23"/>
        <v>0</v>
      </c>
      <c r="CF27" s="11">
        <f t="shared" si="23"/>
        <v>0</v>
      </c>
      <c r="CG27" s="11">
        <f t="shared" si="23"/>
        <v>0</v>
      </c>
      <c r="CH27" s="11">
        <f t="shared" si="23"/>
        <v>0</v>
      </c>
      <c r="CI27" s="11">
        <f t="shared" si="23"/>
        <v>0</v>
      </c>
      <c r="CJ27" s="11">
        <f t="shared" si="23"/>
        <v>0</v>
      </c>
      <c r="CK27" s="11">
        <f t="shared" si="23"/>
        <v>0</v>
      </c>
      <c r="CL27" s="11">
        <f t="shared" si="23"/>
        <v>0</v>
      </c>
      <c r="CM27" s="11">
        <f t="shared" si="23"/>
        <v>0</v>
      </c>
      <c r="CN27" s="11">
        <f t="shared" si="23"/>
        <v>0</v>
      </c>
      <c r="CO27" s="11">
        <f t="shared" si="23"/>
        <v>0</v>
      </c>
      <c r="CP27" s="11">
        <f t="shared" si="23"/>
        <v>0</v>
      </c>
      <c r="CQ27" s="11">
        <f t="shared" si="23"/>
        <v>0</v>
      </c>
      <c r="CR27" s="11">
        <f t="shared" si="23"/>
        <v>0</v>
      </c>
      <c r="CS27" s="11">
        <f t="shared" si="23"/>
        <v>0</v>
      </c>
      <c r="CT27" s="11">
        <f t="shared" si="23"/>
        <v>0</v>
      </c>
      <c r="CU27" s="11">
        <f t="shared" si="23"/>
        <v>0</v>
      </c>
      <c r="CV27" s="11">
        <f t="shared" si="23"/>
        <v>0</v>
      </c>
      <c r="CW27" s="11">
        <f t="shared" si="23"/>
        <v>0</v>
      </c>
      <c r="CX27" s="11">
        <f t="shared" si="23"/>
        <v>0</v>
      </c>
      <c r="CY27" s="11">
        <f t="shared" ref="CY27" si="24">SUMPRODUCT($B25:$B26,CY25:CY26)</f>
        <v>52561</v>
      </c>
      <c r="CZ27" s="11">
        <f t="shared" ref="CZ27" si="25">SUMPRODUCT($B25:$B26,CZ25:CZ26)</f>
        <v>61399.259999999995</v>
      </c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</row>
    <row r="28" spans="1:122" ht="18" customHeight="1">
      <c r="A28" s="13" t="s">
        <v>16</v>
      </c>
      <c r="B28" s="14">
        <f>IFERROR(VLOOKUP(A28,PRICELIST!$A$3:$D$138,4,0),"-")</f>
        <v>113.79</v>
      </c>
      <c r="C28" s="18">
        <v>43</v>
      </c>
      <c r="D28" s="18">
        <v>29</v>
      </c>
      <c r="E28" s="18"/>
      <c r="F28" s="18"/>
      <c r="G28" s="18"/>
      <c r="H28" s="18">
        <v>14</v>
      </c>
      <c r="I28" s="18">
        <v>7</v>
      </c>
      <c r="J28" s="18">
        <v>7</v>
      </c>
      <c r="K28" s="18"/>
      <c r="L28" s="18"/>
      <c r="M28" s="18"/>
      <c r="N28" s="18">
        <v>108</v>
      </c>
      <c r="O28" s="18"/>
      <c r="P28" s="18"/>
      <c r="Q28" s="18"/>
      <c r="R28" s="18"/>
      <c r="S28" s="18"/>
      <c r="T28" s="18">
        <v>7</v>
      </c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>
        <v>10</v>
      </c>
      <c r="AG28" s="18"/>
      <c r="AH28" s="18"/>
      <c r="AI28" s="18"/>
      <c r="AJ28" s="18"/>
      <c r="AK28" s="39"/>
      <c r="AL28" s="39"/>
      <c r="AM28" s="39"/>
      <c r="AN28" s="39"/>
      <c r="AO28" s="39">
        <v>6</v>
      </c>
      <c r="AP28" s="39">
        <v>4</v>
      </c>
      <c r="AQ28" s="39">
        <v>0</v>
      </c>
      <c r="AR28" s="39">
        <v>2</v>
      </c>
      <c r="AS28" s="39">
        <v>0</v>
      </c>
      <c r="AT28" s="39">
        <v>7</v>
      </c>
      <c r="AU28" s="39">
        <v>5</v>
      </c>
      <c r="AV28" s="39">
        <v>22</v>
      </c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39"/>
      <c r="BJ28" s="39"/>
      <c r="BK28" s="18"/>
      <c r="BL28" s="18"/>
      <c r="BM28" s="18"/>
      <c r="BN28" s="18"/>
      <c r="BO28" s="18"/>
      <c r="BP28" s="18"/>
      <c r="BQ28" s="18">
        <v>5</v>
      </c>
      <c r="BR28" s="18">
        <v>5</v>
      </c>
      <c r="BS28" s="18"/>
      <c r="BT28" s="18"/>
      <c r="BU28" s="18">
        <v>10</v>
      </c>
      <c r="BV28" s="18">
        <v>10</v>
      </c>
      <c r="BW28" s="18"/>
      <c r="BX28" s="18"/>
      <c r="BY28" s="18"/>
      <c r="BZ28" s="18"/>
      <c r="CA28" s="18"/>
      <c r="CB28" s="18"/>
      <c r="CC28" s="18">
        <v>60</v>
      </c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9">
        <f t="shared" ref="CY28:CY33" si="26">C28+E28+G28+I28+K28+M28+O28+Q28+S28+U28+W28+Y28+AA28+AC28+AE28+AG28+AI28+AK28+AM28+AO28+AQ28+AS28+AU28+AW28+AY28+BA28+BC28+BE28+BG28+BI28+BK28+BM28+BO28+BQ28+BS28+BU28+BW28+BY28+CA28+CC28+CE28+CG28+CI28+CK28+CM28+CO28+CQ28+CS28+CU28+CW28</f>
        <v>136</v>
      </c>
      <c r="CZ28" s="19">
        <f t="shared" ref="CZ28:CZ33" si="27">D28+F28+H28+J28+L28+N28+P28+R28+T28+V28+X28+Z28+AB28+AD28+AF28+AH28+AJ28+AL28+AN28+AP28+AR28+AT28+AV28+AX28+AZ28+BB28+BD28+BF28+BH28+BJ28+BL28+BN28+BP28+BR28+BT28+BV28+BX28+BZ28+CB28+CD28+CF28+CH28+CJ28+CL28+CN28+CP28+CR28+CT28+CV28+CX28</f>
        <v>225</v>
      </c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</row>
    <row r="29" spans="1:122" ht="18" customHeight="1">
      <c r="A29" s="13" t="s">
        <v>17</v>
      </c>
      <c r="B29" s="14">
        <f>IFERROR(VLOOKUP(A29,PRICELIST!$A$3:$D$138,4,0),"-")</f>
        <v>188.04</v>
      </c>
      <c r="C29" s="18">
        <v>20</v>
      </c>
      <c r="D29" s="18">
        <v>84</v>
      </c>
      <c r="E29" s="18"/>
      <c r="F29" s="18">
        <v>10</v>
      </c>
      <c r="G29" s="18">
        <v>3</v>
      </c>
      <c r="H29" s="18">
        <v>2</v>
      </c>
      <c r="I29" s="18"/>
      <c r="J29" s="18"/>
      <c r="K29" s="18"/>
      <c r="L29" s="18"/>
      <c r="M29" s="18"/>
      <c r="N29" s="18">
        <v>74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39"/>
      <c r="AL29" s="39"/>
      <c r="AM29" s="39">
        <v>4</v>
      </c>
      <c r="AN29" s="39">
        <v>2</v>
      </c>
      <c r="AO29" s="39">
        <v>0</v>
      </c>
      <c r="AP29" s="39">
        <v>10</v>
      </c>
      <c r="AQ29" s="39"/>
      <c r="AR29" s="39"/>
      <c r="AS29" s="39"/>
      <c r="AT29" s="39"/>
      <c r="AU29" s="39">
        <v>0</v>
      </c>
      <c r="AV29" s="39">
        <v>11</v>
      </c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39"/>
      <c r="BJ29" s="39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>
        <v>10</v>
      </c>
      <c r="BV29" s="18">
        <v>10</v>
      </c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9">
        <f t="shared" si="26"/>
        <v>37</v>
      </c>
      <c r="CZ29" s="19">
        <f t="shared" si="27"/>
        <v>203</v>
      </c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</row>
    <row r="30" spans="1:122" ht="18" customHeight="1">
      <c r="A30" s="13" t="s">
        <v>18</v>
      </c>
      <c r="B30" s="14">
        <f>IFERROR(VLOOKUP(A30,PRICELIST!$A$3:$D$138,4,0),"-")</f>
        <v>68.16</v>
      </c>
      <c r="C30" s="18">
        <v>43</v>
      </c>
      <c r="D30" s="18">
        <v>128</v>
      </c>
      <c r="E30" s="18"/>
      <c r="F30" s="18"/>
      <c r="G30" s="18">
        <v>19</v>
      </c>
      <c r="H30" s="18">
        <v>25</v>
      </c>
      <c r="I30" s="18">
        <v>4</v>
      </c>
      <c r="J30" s="18">
        <v>12</v>
      </c>
      <c r="K30" s="18"/>
      <c r="L30" s="18"/>
      <c r="M30" s="18"/>
      <c r="N30" s="18"/>
      <c r="O30" s="18"/>
      <c r="P30" s="18"/>
      <c r="Q30" s="18"/>
      <c r="R30" s="18"/>
      <c r="S30" s="18">
        <v>27</v>
      </c>
      <c r="T30" s="18"/>
      <c r="U30" s="18"/>
      <c r="V30" s="18"/>
      <c r="W30" s="18">
        <v>1</v>
      </c>
      <c r="X30" s="18"/>
      <c r="Y30" s="18"/>
      <c r="Z30" s="18">
        <v>2</v>
      </c>
      <c r="AA30" s="18"/>
      <c r="AB30" s="18"/>
      <c r="AC30" s="18"/>
      <c r="AD30" s="18"/>
      <c r="AE30" s="18"/>
      <c r="AF30" s="18"/>
      <c r="AG30" s="18"/>
      <c r="AH30" s="18"/>
      <c r="AI30" s="18"/>
      <c r="AJ30" s="18">
        <v>32</v>
      </c>
      <c r="AK30" s="39"/>
      <c r="AL30" s="39"/>
      <c r="AM30" s="39">
        <v>9</v>
      </c>
      <c r="AN30" s="39">
        <v>1</v>
      </c>
      <c r="AO30" s="39">
        <v>0</v>
      </c>
      <c r="AP30" s="39">
        <v>4</v>
      </c>
      <c r="AQ30" s="39">
        <v>6</v>
      </c>
      <c r="AR30" s="39">
        <v>24</v>
      </c>
      <c r="AS30" s="39">
        <v>3</v>
      </c>
      <c r="AT30" s="39">
        <v>12</v>
      </c>
      <c r="AU30" s="39">
        <v>14</v>
      </c>
      <c r="AV30" s="39">
        <v>20</v>
      </c>
      <c r="AW30" s="18">
        <v>6</v>
      </c>
      <c r="AX30" s="18">
        <v>4</v>
      </c>
      <c r="AY30" s="18"/>
      <c r="AZ30" s="18"/>
      <c r="BA30" s="18"/>
      <c r="BB30" s="18"/>
      <c r="BC30" s="18"/>
      <c r="BD30" s="18"/>
      <c r="BE30" s="18">
        <v>15</v>
      </c>
      <c r="BF30" s="18">
        <v>5</v>
      </c>
      <c r="BG30" s="18"/>
      <c r="BH30" s="18"/>
      <c r="BI30" s="39"/>
      <c r="BJ30" s="39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>
        <v>4</v>
      </c>
      <c r="BV30" s="18">
        <v>20</v>
      </c>
      <c r="BW30" s="18"/>
      <c r="BX30" s="18"/>
      <c r="BY30" s="18"/>
      <c r="BZ30" s="18"/>
      <c r="CA30" s="18"/>
      <c r="CB30" s="18"/>
      <c r="CC30" s="18">
        <v>20</v>
      </c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9">
        <f t="shared" si="26"/>
        <v>171</v>
      </c>
      <c r="CZ30" s="19">
        <f t="shared" si="27"/>
        <v>289</v>
      </c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</row>
    <row r="31" spans="1:122" ht="18" customHeight="1">
      <c r="A31" s="13" t="s">
        <v>19</v>
      </c>
      <c r="B31" s="14">
        <f>IFERROR(VLOOKUP(A31,PRICELIST!$A$3:$D$138,4,0),"-")</f>
        <v>101.57</v>
      </c>
      <c r="C31" s="18">
        <v>93</v>
      </c>
      <c r="D31" s="18">
        <v>299</v>
      </c>
      <c r="E31" s="18">
        <v>9</v>
      </c>
      <c r="F31" s="18">
        <v>11</v>
      </c>
      <c r="G31" s="18"/>
      <c r="H31" s="18"/>
      <c r="I31" s="18">
        <v>5</v>
      </c>
      <c r="J31" s="18">
        <v>9</v>
      </c>
      <c r="K31" s="18"/>
      <c r="L31" s="18"/>
      <c r="M31" s="18"/>
      <c r="N31" s="18"/>
      <c r="O31" s="18">
        <v>2</v>
      </c>
      <c r="P31" s="18"/>
      <c r="Q31" s="18"/>
      <c r="R31" s="18"/>
      <c r="S31" s="18">
        <v>12</v>
      </c>
      <c r="T31" s="18">
        <v>9</v>
      </c>
      <c r="U31" s="18">
        <v>1</v>
      </c>
      <c r="V31" s="18">
        <v>10</v>
      </c>
      <c r="W31" s="18">
        <v>3</v>
      </c>
      <c r="X31" s="18">
        <v>3</v>
      </c>
      <c r="Y31" s="18"/>
      <c r="Z31" s="18"/>
      <c r="AA31" s="18"/>
      <c r="AB31" s="18"/>
      <c r="AC31" s="18">
        <v>5</v>
      </c>
      <c r="AD31" s="18">
        <v>6</v>
      </c>
      <c r="AE31" s="18"/>
      <c r="AF31" s="18">
        <v>10</v>
      </c>
      <c r="AG31" s="18"/>
      <c r="AH31" s="18"/>
      <c r="AI31" s="18">
        <v>3</v>
      </c>
      <c r="AJ31" s="18">
        <v>61</v>
      </c>
      <c r="AK31" s="39"/>
      <c r="AL31" s="39"/>
      <c r="AM31" s="39">
        <v>34</v>
      </c>
      <c r="AN31" s="39">
        <v>6</v>
      </c>
      <c r="AO31" s="39">
        <v>0</v>
      </c>
      <c r="AP31" s="39">
        <v>10</v>
      </c>
      <c r="AQ31" s="39">
        <v>8</v>
      </c>
      <c r="AR31" s="39">
        <v>0</v>
      </c>
      <c r="AS31" s="39">
        <v>0</v>
      </c>
      <c r="AT31" s="39">
        <v>10</v>
      </c>
      <c r="AU31" s="39">
        <v>7</v>
      </c>
      <c r="AV31" s="39">
        <v>7</v>
      </c>
      <c r="AW31" s="18"/>
      <c r="AX31" s="18"/>
      <c r="AY31" s="18"/>
      <c r="AZ31" s="18"/>
      <c r="BA31" s="18"/>
      <c r="BB31" s="18"/>
      <c r="BC31" s="18"/>
      <c r="BD31" s="18"/>
      <c r="BE31" s="18">
        <v>6</v>
      </c>
      <c r="BF31" s="18">
        <v>4</v>
      </c>
      <c r="BG31" s="18"/>
      <c r="BH31" s="18"/>
      <c r="BI31" s="39"/>
      <c r="BJ31" s="39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>
        <v>9</v>
      </c>
      <c r="BV31" s="18">
        <v>9</v>
      </c>
      <c r="BW31" s="18"/>
      <c r="BX31" s="18"/>
      <c r="BY31" s="18">
        <v>740</v>
      </c>
      <c r="BZ31" s="18"/>
      <c r="CA31" s="18"/>
      <c r="CB31" s="18"/>
      <c r="CC31" s="18">
        <v>70</v>
      </c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9">
        <f t="shared" si="26"/>
        <v>1007</v>
      </c>
      <c r="CZ31" s="19">
        <f t="shared" si="27"/>
        <v>464</v>
      </c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</row>
    <row r="32" spans="1:122" ht="18" customHeight="1">
      <c r="A32" s="13" t="s">
        <v>20</v>
      </c>
      <c r="B32" s="14">
        <f>IFERROR(VLOOKUP(A32,PRICELIST!$A$3:$D$138,4,0),"-")</f>
        <v>164.73</v>
      </c>
      <c r="C32" s="18">
        <v>43</v>
      </c>
      <c r="D32" s="18">
        <v>174</v>
      </c>
      <c r="E32" s="18">
        <v>5</v>
      </c>
      <c r="F32" s="18">
        <v>3</v>
      </c>
      <c r="G32" s="18">
        <v>9</v>
      </c>
      <c r="H32" s="18">
        <v>18</v>
      </c>
      <c r="I32" s="18">
        <v>0</v>
      </c>
      <c r="J32" s="18">
        <v>8</v>
      </c>
      <c r="K32" s="18"/>
      <c r="L32" s="18"/>
      <c r="M32" s="18"/>
      <c r="N32" s="18"/>
      <c r="O32" s="18">
        <v>1</v>
      </c>
      <c r="P32" s="18">
        <v>1</v>
      </c>
      <c r="Q32" s="18"/>
      <c r="R32" s="18"/>
      <c r="S32" s="18">
        <v>0</v>
      </c>
      <c r="T32" s="18">
        <v>2</v>
      </c>
      <c r="U32" s="18">
        <v>2</v>
      </c>
      <c r="V32" s="18">
        <v>6</v>
      </c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>
        <v>3</v>
      </c>
      <c r="AJ32" s="18">
        <v>2</v>
      </c>
      <c r="AK32" s="39"/>
      <c r="AL32" s="39"/>
      <c r="AM32" s="39">
        <v>28</v>
      </c>
      <c r="AN32" s="39">
        <v>16</v>
      </c>
      <c r="AO32" s="39">
        <v>3</v>
      </c>
      <c r="AP32" s="39">
        <v>7</v>
      </c>
      <c r="AQ32" s="39">
        <v>6</v>
      </c>
      <c r="AR32" s="39">
        <v>14</v>
      </c>
      <c r="AS32" s="39"/>
      <c r="AT32" s="39"/>
      <c r="AU32" s="39">
        <v>9</v>
      </c>
      <c r="AV32" s="39">
        <v>14</v>
      </c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39"/>
      <c r="BJ32" s="39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>
        <v>6</v>
      </c>
      <c r="BV32" s="18">
        <v>12</v>
      </c>
      <c r="BW32" s="18"/>
      <c r="BX32" s="18"/>
      <c r="BY32" s="18"/>
      <c r="BZ32" s="18"/>
      <c r="CA32" s="18"/>
      <c r="CB32" s="18"/>
      <c r="CC32" s="18">
        <v>10</v>
      </c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9">
        <f t="shared" si="26"/>
        <v>125</v>
      </c>
      <c r="CZ32" s="19">
        <f t="shared" si="27"/>
        <v>277</v>
      </c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</row>
    <row r="33" spans="1:122" ht="18" customHeight="1">
      <c r="A33" s="13" t="s">
        <v>21</v>
      </c>
      <c r="B33" s="14">
        <f>IFERROR(VLOOKUP(A33,PRICELIST!$A$3:$D$138,4,0),"-")</f>
        <v>78.099999999999994</v>
      </c>
      <c r="C33" s="18">
        <v>138</v>
      </c>
      <c r="D33" s="18">
        <v>231</v>
      </c>
      <c r="E33" s="18">
        <v>5</v>
      </c>
      <c r="F33" s="18"/>
      <c r="G33" s="18">
        <v>45</v>
      </c>
      <c r="H33" s="18">
        <v>26</v>
      </c>
      <c r="I33" s="18">
        <v>28</v>
      </c>
      <c r="J33" s="18">
        <v>28</v>
      </c>
      <c r="K33" s="18"/>
      <c r="L33" s="18"/>
      <c r="M33" s="18"/>
      <c r="N33" s="18"/>
      <c r="O33" s="18"/>
      <c r="P33" s="18"/>
      <c r="Q33" s="18"/>
      <c r="R33" s="18"/>
      <c r="S33" s="18"/>
      <c r="T33" s="18">
        <v>10</v>
      </c>
      <c r="U33" s="18">
        <v>18</v>
      </c>
      <c r="V33" s="18">
        <v>9</v>
      </c>
      <c r="W33" s="18"/>
      <c r="X33" s="18">
        <v>12</v>
      </c>
      <c r="Y33" s="18">
        <v>54</v>
      </c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39"/>
      <c r="AL33" s="39"/>
      <c r="AM33" s="39">
        <v>128</v>
      </c>
      <c r="AN33" s="39">
        <v>34</v>
      </c>
      <c r="AO33" s="39">
        <v>0</v>
      </c>
      <c r="AP33" s="39">
        <v>0</v>
      </c>
      <c r="AQ33" s="39">
        <v>6</v>
      </c>
      <c r="AR33" s="39">
        <v>24</v>
      </c>
      <c r="AS33" s="39">
        <v>0</v>
      </c>
      <c r="AT33" s="39">
        <v>35</v>
      </c>
      <c r="AU33" s="39">
        <v>4</v>
      </c>
      <c r="AV33" s="39">
        <v>19</v>
      </c>
      <c r="AW33" s="18"/>
      <c r="AX33" s="18"/>
      <c r="AY33" s="18"/>
      <c r="AZ33" s="18"/>
      <c r="BA33" s="18"/>
      <c r="BB33" s="18"/>
      <c r="BC33" s="18">
        <v>5</v>
      </c>
      <c r="BD33" s="18">
        <v>3</v>
      </c>
      <c r="BE33" s="18">
        <v>14</v>
      </c>
      <c r="BF33" s="18">
        <v>6</v>
      </c>
      <c r="BG33" s="18"/>
      <c r="BH33" s="18"/>
      <c r="BI33" s="39"/>
      <c r="BJ33" s="39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>
        <v>1</v>
      </c>
      <c r="BV33" s="18">
        <v>7</v>
      </c>
      <c r="BW33" s="18"/>
      <c r="BX33" s="18"/>
      <c r="BY33" s="18">
        <v>1000</v>
      </c>
      <c r="BZ33" s="18"/>
      <c r="CA33" s="18">
        <v>7</v>
      </c>
      <c r="CB33" s="18">
        <v>3</v>
      </c>
      <c r="CC33" s="18">
        <v>150</v>
      </c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9">
        <f t="shared" si="26"/>
        <v>1603</v>
      </c>
      <c r="CZ33" s="19">
        <f t="shared" si="27"/>
        <v>447</v>
      </c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</row>
    <row r="34" spans="1:122" ht="18" customHeight="1">
      <c r="A34" s="9" t="s">
        <v>22</v>
      </c>
      <c r="B34" s="10"/>
      <c r="C34" s="11">
        <f>SUMPRODUCT($B28:$B33,C28:C33)</f>
        <v>38891.85</v>
      </c>
      <c r="D34" s="11">
        <f t="shared" ref="D34:BO34" si="28">SUMPRODUCT($B28:$B33,D28:D33)</f>
        <v>104893.29999999999</v>
      </c>
      <c r="E34" s="11">
        <f t="shared" si="28"/>
        <v>2128.2799999999997</v>
      </c>
      <c r="F34" s="11">
        <f t="shared" si="28"/>
        <v>3491.86</v>
      </c>
      <c r="G34" s="11">
        <f t="shared" si="28"/>
        <v>6856.23</v>
      </c>
      <c r="H34" s="11">
        <f t="shared" si="28"/>
        <v>8668.880000000001</v>
      </c>
      <c r="I34" s="11">
        <f t="shared" si="28"/>
        <v>3763.8199999999997</v>
      </c>
      <c r="J34" s="11">
        <f t="shared" si="28"/>
        <v>6033.2199999999993</v>
      </c>
      <c r="K34" s="11">
        <f t="shared" si="28"/>
        <v>0</v>
      </c>
      <c r="L34" s="11">
        <f t="shared" si="28"/>
        <v>0</v>
      </c>
      <c r="M34" s="11">
        <f t="shared" si="28"/>
        <v>0</v>
      </c>
      <c r="N34" s="11">
        <f t="shared" si="28"/>
        <v>26204.28</v>
      </c>
      <c r="O34" s="11">
        <f t="shared" si="28"/>
        <v>367.87</v>
      </c>
      <c r="P34" s="11">
        <f t="shared" si="28"/>
        <v>164.73</v>
      </c>
      <c r="Q34" s="11">
        <f t="shared" si="28"/>
        <v>0</v>
      </c>
      <c r="R34" s="11">
        <f t="shared" si="28"/>
        <v>0</v>
      </c>
      <c r="S34" s="11">
        <f t="shared" si="28"/>
        <v>3059.16</v>
      </c>
      <c r="T34" s="11">
        <f t="shared" si="28"/>
        <v>2821.12</v>
      </c>
      <c r="U34" s="11">
        <f t="shared" si="28"/>
        <v>1836.83</v>
      </c>
      <c r="V34" s="11">
        <f t="shared" si="28"/>
        <v>2706.98</v>
      </c>
      <c r="W34" s="11">
        <f t="shared" si="28"/>
        <v>372.87</v>
      </c>
      <c r="X34" s="11">
        <f t="shared" si="28"/>
        <v>1241.9099999999999</v>
      </c>
      <c r="Y34" s="11">
        <f t="shared" si="28"/>
        <v>4217.3999999999996</v>
      </c>
      <c r="Z34" s="11">
        <f t="shared" si="28"/>
        <v>136.32</v>
      </c>
      <c r="AA34" s="11">
        <f t="shared" si="28"/>
        <v>0</v>
      </c>
      <c r="AB34" s="11">
        <f t="shared" si="28"/>
        <v>0</v>
      </c>
      <c r="AC34" s="11">
        <f t="shared" si="28"/>
        <v>507.84999999999997</v>
      </c>
      <c r="AD34" s="11">
        <f t="shared" si="28"/>
        <v>609.41999999999996</v>
      </c>
      <c r="AE34" s="11">
        <f t="shared" si="28"/>
        <v>0</v>
      </c>
      <c r="AF34" s="11">
        <f t="shared" si="28"/>
        <v>2153.6</v>
      </c>
      <c r="AG34" s="11">
        <f t="shared" si="28"/>
        <v>0</v>
      </c>
      <c r="AH34" s="11">
        <f t="shared" si="28"/>
        <v>0</v>
      </c>
      <c r="AI34" s="11">
        <f t="shared" si="28"/>
        <v>798.89999999999986</v>
      </c>
      <c r="AJ34" s="11">
        <f t="shared" si="28"/>
        <v>8706.3499999999985</v>
      </c>
      <c r="AK34" s="40">
        <f t="shared" si="28"/>
        <v>0</v>
      </c>
      <c r="AL34" s="40">
        <f t="shared" si="28"/>
        <v>0</v>
      </c>
      <c r="AM34" s="40">
        <f t="shared" si="28"/>
        <v>19428.219999999998</v>
      </c>
      <c r="AN34" s="40">
        <f t="shared" si="28"/>
        <v>6344.74</v>
      </c>
      <c r="AO34" s="40">
        <f t="shared" si="28"/>
        <v>1176.9299999999998</v>
      </c>
      <c r="AP34" s="40">
        <f t="shared" si="28"/>
        <v>4777.0099999999993</v>
      </c>
      <c r="AQ34" s="40">
        <f t="shared" si="28"/>
        <v>2678.4999999999995</v>
      </c>
      <c r="AR34" s="40">
        <f t="shared" si="28"/>
        <v>6044.0399999999991</v>
      </c>
      <c r="AS34" s="40">
        <f t="shared" si="28"/>
        <v>204.48</v>
      </c>
      <c r="AT34" s="40">
        <f t="shared" si="28"/>
        <v>5363.65</v>
      </c>
      <c r="AU34" s="40">
        <f t="shared" si="28"/>
        <v>4029.15</v>
      </c>
      <c r="AV34" s="40">
        <f t="shared" si="28"/>
        <v>10436.129999999999</v>
      </c>
      <c r="AW34" s="11">
        <f t="shared" si="28"/>
        <v>408.96</v>
      </c>
      <c r="AX34" s="11">
        <f t="shared" si="28"/>
        <v>272.64</v>
      </c>
      <c r="AY34" s="11">
        <f t="shared" si="28"/>
        <v>0</v>
      </c>
      <c r="AZ34" s="11">
        <f t="shared" si="28"/>
        <v>0</v>
      </c>
      <c r="BA34" s="11">
        <f t="shared" si="28"/>
        <v>0</v>
      </c>
      <c r="BB34" s="11">
        <f t="shared" si="28"/>
        <v>0</v>
      </c>
      <c r="BC34" s="11">
        <f t="shared" si="28"/>
        <v>390.5</v>
      </c>
      <c r="BD34" s="11">
        <f t="shared" si="28"/>
        <v>234.29999999999998</v>
      </c>
      <c r="BE34" s="11">
        <f t="shared" si="28"/>
        <v>2725.22</v>
      </c>
      <c r="BF34" s="11">
        <f t="shared" si="28"/>
        <v>1215.6799999999998</v>
      </c>
      <c r="BG34" s="11">
        <f t="shared" si="28"/>
        <v>0</v>
      </c>
      <c r="BH34" s="11">
        <f t="shared" si="28"/>
        <v>0</v>
      </c>
      <c r="BI34" s="40">
        <f t="shared" si="28"/>
        <v>0</v>
      </c>
      <c r="BJ34" s="40">
        <f t="shared" si="28"/>
        <v>0</v>
      </c>
      <c r="BK34" s="11">
        <f t="shared" si="28"/>
        <v>0</v>
      </c>
      <c r="BL34" s="11">
        <f t="shared" si="28"/>
        <v>0</v>
      </c>
      <c r="BM34" s="11">
        <f t="shared" si="28"/>
        <v>0</v>
      </c>
      <c r="BN34" s="11">
        <f t="shared" si="28"/>
        <v>0</v>
      </c>
      <c r="BO34" s="11">
        <f t="shared" si="28"/>
        <v>0</v>
      </c>
      <c r="BP34" s="11">
        <f t="shared" ref="BP34:CX34" si="29">SUMPRODUCT($B28:$B33,BP28:BP33)</f>
        <v>0</v>
      </c>
      <c r="BQ34" s="11">
        <f t="shared" si="29"/>
        <v>568.95000000000005</v>
      </c>
      <c r="BR34" s="11">
        <f t="shared" si="29"/>
        <v>568.95000000000005</v>
      </c>
      <c r="BS34" s="11">
        <f t="shared" si="29"/>
        <v>0</v>
      </c>
      <c r="BT34" s="11">
        <f t="shared" si="29"/>
        <v>0</v>
      </c>
      <c r="BU34" s="11">
        <f t="shared" si="29"/>
        <v>5271.55</v>
      </c>
      <c r="BV34" s="11">
        <f t="shared" si="29"/>
        <v>7819.0899999999992</v>
      </c>
      <c r="BW34" s="11">
        <f t="shared" si="29"/>
        <v>0</v>
      </c>
      <c r="BX34" s="11">
        <f t="shared" si="29"/>
        <v>0</v>
      </c>
      <c r="BY34" s="11">
        <f t="shared" si="29"/>
        <v>153261.79999999999</v>
      </c>
      <c r="BZ34" s="11">
        <f t="shared" si="29"/>
        <v>0</v>
      </c>
      <c r="CA34" s="11">
        <f t="shared" si="29"/>
        <v>546.69999999999993</v>
      </c>
      <c r="CB34" s="11">
        <f t="shared" si="29"/>
        <v>234.29999999999998</v>
      </c>
      <c r="CC34" s="11">
        <f t="shared" si="29"/>
        <v>28662.799999999999</v>
      </c>
      <c r="CD34" s="11">
        <f t="shared" si="29"/>
        <v>0</v>
      </c>
      <c r="CE34" s="11">
        <f t="shared" si="29"/>
        <v>0</v>
      </c>
      <c r="CF34" s="11">
        <f t="shared" si="29"/>
        <v>0</v>
      </c>
      <c r="CG34" s="11">
        <f t="shared" si="29"/>
        <v>0</v>
      </c>
      <c r="CH34" s="11">
        <f t="shared" si="29"/>
        <v>0</v>
      </c>
      <c r="CI34" s="11">
        <f t="shared" si="29"/>
        <v>0</v>
      </c>
      <c r="CJ34" s="11">
        <f t="shared" si="29"/>
        <v>0</v>
      </c>
      <c r="CK34" s="11">
        <f t="shared" si="29"/>
        <v>0</v>
      </c>
      <c r="CL34" s="11">
        <f t="shared" si="29"/>
        <v>0</v>
      </c>
      <c r="CM34" s="11">
        <f t="shared" si="29"/>
        <v>0</v>
      </c>
      <c r="CN34" s="11">
        <f t="shared" si="29"/>
        <v>0</v>
      </c>
      <c r="CO34" s="11">
        <f t="shared" si="29"/>
        <v>0</v>
      </c>
      <c r="CP34" s="11">
        <f t="shared" si="29"/>
        <v>0</v>
      </c>
      <c r="CQ34" s="11">
        <f t="shared" si="29"/>
        <v>0</v>
      </c>
      <c r="CR34" s="11">
        <f t="shared" si="29"/>
        <v>0</v>
      </c>
      <c r="CS34" s="11">
        <f t="shared" si="29"/>
        <v>0</v>
      </c>
      <c r="CT34" s="11">
        <f t="shared" si="29"/>
        <v>0</v>
      </c>
      <c r="CU34" s="11">
        <f t="shared" si="29"/>
        <v>0</v>
      </c>
      <c r="CV34" s="11">
        <f t="shared" si="29"/>
        <v>0</v>
      </c>
      <c r="CW34" s="11">
        <f t="shared" si="29"/>
        <v>0</v>
      </c>
      <c r="CX34" s="11">
        <f t="shared" si="29"/>
        <v>0</v>
      </c>
      <c r="CY34" s="11">
        <f t="shared" ref="CY34" si="30">SUMPRODUCT($B28:$B33,CY28:CY33)</f>
        <v>282154.81999999995</v>
      </c>
      <c r="CZ34" s="11">
        <f t="shared" ref="CZ34" si="31">SUMPRODUCT($B28:$B33,CZ28:CZ33)</f>
        <v>211142.5</v>
      </c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</row>
    <row r="35" spans="1:122" ht="18" customHeight="1">
      <c r="A35" s="13" t="s">
        <v>23</v>
      </c>
      <c r="B35" s="14">
        <f>IFERROR(VLOOKUP(A35,PRICELIST!$A$3:$D$138,4,0),"-")</f>
        <v>60.11</v>
      </c>
      <c r="C35" s="18">
        <v>368</v>
      </c>
      <c r="D35" s="18">
        <v>1402</v>
      </c>
      <c r="E35" s="18">
        <v>16</v>
      </c>
      <c r="F35" s="18">
        <v>24</v>
      </c>
      <c r="G35" s="18">
        <v>56</v>
      </c>
      <c r="H35" s="18">
        <v>38</v>
      </c>
      <c r="I35" s="18">
        <v>586</v>
      </c>
      <c r="J35" s="18">
        <v>470</v>
      </c>
      <c r="K35" s="18"/>
      <c r="L35" s="18"/>
      <c r="M35" s="18">
        <v>185</v>
      </c>
      <c r="N35" s="18">
        <v>200</v>
      </c>
      <c r="O35" s="18">
        <v>4</v>
      </c>
      <c r="P35" s="18">
        <v>164</v>
      </c>
      <c r="Q35" s="18"/>
      <c r="R35" s="18"/>
      <c r="S35" s="18"/>
      <c r="T35" s="18"/>
      <c r="U35" s="18">
        <v>65</v>
      </c>
      <c r="V35" s="18">
        <v>27</v>
      </c>
      <c r="W35" s="18">
        <v>9</v>
      </c>
      <c r="X35" s="18">
        <v>21</v>
      </c>
      <c r="Y35" s="18"/>
      <c r="Z35" s="18"/>
      <c r="AA35" s="18">
        <v>31</v>
      </c>
      <c r="AB35" s="18">
        <v>39</v>
      </c>
      <c r="AC35" s="18">
        <v>20</v>
      </c>
      <c r="AD35" s="18">
        <v>33</v>
      </c>
      <c r="AE35" s="18">
        <v>312</v>
      </c>
      <c r="AF35" s="18">
        <v>13</v>
      </c>
      <c r="AG35" s="18">
        <v>14</v>
      </c>
      <c r="AH35" s="18">
        <v>6</v>
      </c>
      <c r="AI35" s="18">
        <v>34</v>
      </c>
      <c r="AJ35" s="18">
        <v>158</v>
      </c>
      <c r="AK35" s="39">
        <v>15</v>
      </c>
      <c r="AL35" s="39">
        <v>53</v>
      </c>
      <c r="AM35" s="39">
        <v>280</v>
      </c>
      <c r="AN35" s="39">
        <v>210</v>
      </c>
      <c r="AO35" s="39">
        <v>9</v>
      </c>
      <c r="AP35" s="39">
        <v>0</v>
      </c>
      <c r="AQ35" s="39">
        <v>96</v>
      </c>
      <c r="AR35" s="39">
        <v>104</v>
      </c>
      <c r="AS35" s="39">
        <v>28</v>
      </c>
      <c r="AT35" s="39">
        <v>23</v>
      </c>
      <c r="AU35" s="39"/>
      <c r="AV35" s="39"/>
      <c r="AW35" s="18"/>
      <c r="AX35" s="18"/>
      <c r="AY35" s="18"/>
      <c r="AZ35" s="18"/>
      <c r="BA35" s="18"/>
      <c r="BB35" s="18"/>
      <c r="BC35" s="18"/>
      <c r="BD35" s="18">
        <v>10</v>
      </c>
      <c r="BE35" s="18">
        <v>50</v>
      </c>
      <c r="BF35" s="18">
        <v>20</v>
      </c>
      <c r="BG35" s="18">
        <v>5</v>
      </c>
      <c r="BH35" s="18"/>
      <c r="BI35" s="39">
        <v>12</v>
      </c>
      <c r="BJ35" s="39">
        <v>9</v>
      </c>
      <c r="BK35" s="18">
        <v>7</v>
      </c>
      <c r="BL35" s="18">
        <v>13</v>
      </c>
      <c r="BM35" s="18"/>
      <c r="BN35" s="18"/>
      <c r="BO35" s="18"/>
      <c r="BP35" s="18"/>
      <c r="BQ35" s="18">
        <v>12</v>
      </c>
      <c r="BR35" s="18">
        <v>8</v>
      </c>
      <c r="BS35" s="18">
        <v>6</v>
      </c>
      <c r="BT35" s="18">
        <v>4</v>
      </c>
      <c r="BU35" s="18">
        <v>9</v>
      </c>
      <c r="BV35" s="18">
        <v>40</v>
      </c>
      <c r="BW35" s="18">
        <v>70</v>
      </c>
      <c r="BX35" s="18"/>
      <c r="BY35" s="18">
        <v>299</v>
      </c>
      <c r="BZ35" s="18"/>
      <c r="CA35" s="18"/>
      <c r="CB35" s="18"/>
      <c r="CC35" s="18">
        <v>380</v>
      </c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9">
        <f t="shared" ref="CY35:CY36" si="32">C35+E35+G35+I35+K35+M35+O35+Q35+S35+U35+W35+Y35+AA35+AC35+AE35+AG35+AI35+AK35+AM35+AO35+AQ35+AS35+AU35+AW35+AY35+BA35+BC35+BE35+BG35+BI35+BK35+BM35+BO35+BQ35+BS35+BU35+BW35+BY35+CA35+CC35+CE35+CG35+CI35+CK35+CM35+CO35+CQ35+CS35+CU35+CW35</f>
        <v>2978</v>
      </c>
      <c r="CZ35" s="19">
        <f t="shared" ref="CZ35:CZ36" si="33">D35+F35+H35+J35+L35+N35+P35+R35+T35+V35+X35+Z35+AB35+AD35+AF35+AH35+AJ35+AL35+AN35+AP35+AR35+AT35+AV35+AX35+AZ35+BB35+BD35+BF35+BH35+BJ35+BL35+BN35+BP35+BR35+BT35+BV35+BX35+BZ35+CB35+CD35+CF35+CH35+CJ35+CL35+CN35+CP35+CR35+CT35+CV35+CX35</f>
        <v>3089</v>
      </c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</row>
    <row r="36" spans="1:122" ht="18" customHeight="1">
      <c r="A36" s="13" t="s">
        <v>24</v>
      </c>
      <c r="B36" s="14">
        <f>IFERROR(VLOOKUP(A36,PRICELIST!$A$3:$D$138,4,0),"-")</f>
        <v>91.2</v>
      </c>
      <c r="C36" s="18">
        <v>418</v>
      </c>
      <c r="D36" s="18">
        <v>1331</v>
      </c>
      <c r="E36" s="18">
        <v>46</v>
      </c>
      <c r="F36" s="18">
        <v>20</v>
      </c>
      <c r="G36" s="18">
        <v>65</v>
      </c>
      <c r="H36" s="18">
        <v>47</v>
      </c>
      <c r="I36" s="18">
        <v>1212</v>
      </c>
      <c r="J36" s="18">
        <v>712</v>
      </c>
      <c r="K36" s="18"/>
      <c r="L36" s="18"/>
      <c r="M36" s="18">
        <v>209</v>
      </c>
      <c r="N36" s="18">
        <v>177</v>
      </c>
      <c r="O36" s="18">
        <v>30</v>
      </c>
      <c r="P36" s="18">
        <v>31</v>
      </c>
      <c r="Q36" s="18">
        <v>180</v>
      </c>
      <c r="R36" s="18">
        <v>2</v>
      </c>
      <c r="S36" s="18">
        <v>5</v>
      </c>
      <c r="T36" s="18">
        <v>5</v>
      </c>
      <c r="U36" s="18">
        <v>137</v>
      </c>
      <c r="V36" s="18">
        <v>6</v>
      </c>
      <c r="W36" s="18">
        <v>9</v>
      </c>
      <c r="X36" s="18">
        <v>21</v>
      </c>
      <c r="Y36" s="18">
        <v>1</v>
      </c>
      <c r="Z36" s="18">
        <v>10</v>
      </c>
      <c r="AA36" s="18">
        <v>44</v>
      </c>
      <c r="AB36" s="18">
        <v>25</v>
      </c>
      <c r="AC36" s="18">
        <v>15</v>
      </c>
      <c r="AD36" s="18">
        <v>15</v>
      </c>
      <c r="AE36" s="18">
        <v>304</v>
      </c>
      <c r="AF36" s="18">
        <v>27</v>
      </c>
      <c r="AG36" s="18">
        <v>20</v>
      </c>
      <c r="AH36" s="18">
        <v>10</v>
      </c>
      <c r="AI36" s="18">
        <v>53</v>
      </c>
      <c r="AJ36" s="18">
        <v>48</v>
      </c>
      <c r="AK36" s="39">
        <v>25</v>
      </c>
      <c r="AL36" s="39">
        <v>54</v>
      </c>
      <c r="AM36" s="39">
        <v>486</v>
      </c>
      <c r="AN36" s="39">
        <v>208</v>
      </c>
      <c r="AO36" s="39">
        <v>10</v>
      </c>
      <c r="AP36" s="39">
        <v>0</v>
      </c>
      <c r="AQ36" s="39"/>
      <c r="AR36" s="39"/>
      <c r="AS36" s="39">
        <v>58</v>
      </c>
      <c r="AT36" s="39">
        <v>32</v>
      </c>
      <c r="AU36" s="39">
        <v>30</v>
      </c>
      <c r="AV36" s="39">
        <v>7</v>
      </c>
      <c r="AW36" s="18">
        <v>7</v>
      </c>
      <c r="AX36" s="18">
        <v>3</v>
      </c>
      <c r="AY36" s="18"/>
      <c r="AZ36" s="18"/>
      <c r="BA36" s="18"/>
      <c r="BB36" s="18">
        <v>10</v>
      </c>
      <c r="BC36" s="18"/>
      <c r="BD36" s="18"/>
      <c r="BE36" s="18">
        <v>30</v>
      </c>
      <c r="BF36" s="18">
        <v>10</v>
      </c>
      <c r="BG36" s="18">
        <v>32</v>
      </c>
      <c r="BH36" s="18"/>
      <c r="BI36" s="39">
        <v>10</v>
      </c>
      <c r="BJ36" s="39">
        <v>5</v>
      </c>
      <c r="BK36" s="18">
        <v>10</v>
      </c>
      <c r="BL36" s="18"/>
      <c r="BM36" s="18"/>
      <c r="BN36" s="18"/>
      <c r="BO36" s="18"/>
      <c r="BP36" s="18"/>
      <c r="BQ36" s="18">
        <v>20</v>
      </c>
      <c r="BR36" s="18">
        <v>10</v>
      </c>
      <c r="BS36" s="18">
        <v>7</v>
      </c>
      <c r="BT36" s="18">
        <v>3</v>
      </c>
      <c r="BU36" s="18">
        <v>2</v>
      </c>
      <c r="BV36" s="18">
        <v>5</v>
      </c>
      <c r="BW36" s="18">
        <v>30</v>
      </c>
      <c r="BX36" s="18"/>
      <c r="BY36" s="18">
        <v>391</v>
      </c>
      <c r="BZ36" s="18"/>
      <c r="CA36" s="18"/>
      <c r="CB36" s="18"/>
      <c r="CC36" s="18">
        <v>720</v>
      </c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9">
        <f t="shared" si="32"/>
        <v>4616</v>
      </c>
      <c r="CZ36" s="19">
        <f t="shared" si="33"/>
        <v>2834</v>
      </c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</row>
    <row r="37" spans="1:122" ht="18" customHeight="1">
      <c r="A37" s="9" t="s">
        <v>25</v>
      </c>
      <c r="B37" s="10"/>
      <c r="C37" s="11">
        <f>SUMPRODUCT($B35:$B36,C35:C36)</f>
        <v>60242.080000000002</v>
      </c>
      <c r="D37" s="11">
        <f t="shared" ref="D37:BO37" si="34">SUMPRODUCT($B35:$B36,D35:D36)</f>
        <v>205661.41999999998</v>
      </c>
      <c r="E37" s="11">
        <f t="shared" si="34"/>
        <v>5156.96</v>
      </c>
      <c r="F37" s="11">
        <f t="shared" si="34"/>
        <v>3266.64</v>
      </c>
      <c r="G37" s="11">
        <f t="shared" si="34"/>
        <v>9294.16</v>
      </c>
      <c r="H37" s="11">
        <f t="shared" si="34"/>
        <v>6570.58</v>
      </c>
      <c r="I37" s="11">
        <f t="shared" si="34"/>
        <v>145758.86000000002</v>
      </c>
      <c r="J37" s="11">
        <f t="shared" si="34"/>
        <v>93186.1</v>
      </c>
      <c r="K37" s="11">
        <f t="shared" si="34"/>
        <v>0</v>
      </c>
      <c r="L37" s="11">
        <f t="shared" si="34"/>
        <v>0</v>
      </c>
      <c r="M37" s="11">
        <f t="shared" si="34"/>
        <v>30181.15</v>
      </c>
      <c r="N37" s="11">
        <f t="shared" si="34"/>
        <v>28164.400000000001</v>
      </c>
      <c r="O37" s="11">
        <f t="shared" si="34"/>
        <v>2976.44</v>
      </c>
      <c r="P37" s="11">
        <f t="shared" si="34"/>
        <v>12685.24</v>
      </c>
      <c r="Q37" s="11">
        <f t="shared" si="34"/>
        <v>16416</v>
      </c>
      <c r="R37" s="11">
        <f t="shared" si="34"/>
        <v>182.4</v>
      </c>
      <c r="S37" s="11">
        <f t="shared" si="34"/>
        <v>456</v>
      </c>
      <c r="T37" s="11">
        <f t="shared" si="34"/>
        <v>456</v>
      </c>
      <c r="U37" s="11">
        <f t="shared" si="34"/>
        <v>16401.55</v>
      </c>
      <c r="V37" s="11">
        <f t="shared" si="34"/>
        <v>2170.17</v>
      </c>
      <c r="W37" s="11">
        <f t="shared" si="34"/>
        <v>1361.79</v>
      </c>
      <c r="X37" s="11">
        <f t="shared" si="34"/>
        <v>3177.51</v>
      </c>
      <c r="Y37" s="11">
        <f t="shared" si="34"/>
        <v>91.2</v>
      </c>
      <c r="Z37" s="11">
        <f t="shared" si="34"/>
        <v>912</v>
      </c>
      <c r="AA37" s="11">
        <f t="shared" si="34"/>
        <v>5876.21</v>
      </c>
      <c r="AB37" s="11">
        <f t="shared" si="34"/>
        <v>4624.29</v>
      </c>
      <c r="AC37" s="11">
        <f t="shared" si="34"/>
        <v>2570.1999999999998</v>
      </c>
      <c r="AD37" s="11">
        <f t="shared" si="34"/>
        <v>3351.63</v>
      </c>
      <c r="AE37" s="11">
        <f t="shared" si="34"/>
        <v>46479.119999999995</v>
      </c>
      <c r="AF37" s="11">
        <f t="shared" si="34"/>
        <v>3243.83</v>
      </c>
      <c r="AG37" s="11">
        <f t="shared" si="34"/>
        <v>2665.54</v>
      </c>
      <c r="AH37" s="11">
        <f t="shared" si="34"/>
        <v>1272.6599999999999</v>
      </c>
      <c r="AI37" s="11">
        <f t="shared" si="34"/>
        <v>6877.34</v>
      </c>
      <c r="AJ37" s="11">
        <f t="shared" si="34"/>
        <v>13874.98</v>
      </c>
      <c r="AK37" s="40">
        <f t="shared" si="34"/>
        <v>3181.65</v>
      </c>
      <c r="AL37" s="40">
        <f t="shared" si="34"/>
        <v>8110.63</v>
      </c>
      <c r="AM37" s="40">
        <f t="shared" si="34"/>
        <v>61154</v>
      </c>
      <c r="AN37" s="40">
        <f t="shared" si="34"/>
        <v>31592.700000000004</v>
      </c>
      <c r="AO37" s="40">
        <f t="shared" si="34"/>
        <v>1452.99</v>
      </c>
      <c r="AP37" s="40">
        <f t="shared" si="34"/>
        <v>0</v>
      </c>
      <c r="AQ37" s="40">
        <f t="shared" si="34"/>
        <v>5770.5599999999995</v>
      </c>
      <c r="AR37" s="40">
        <f t="shared" si="34"/>
        <v>6251.44</v>
      </c>
      <c r="AS37" s="40">
        <f t="shared" si="34"/>
        <v>6972.68</v>
      </c>
      <c r="AT37" s="40">
        <f t="shared" si="34"/>
        <v>4300.93</v>
      </c>
      <c r="AU37" s="40">
        <f t="shared" si="34"/>
        <v>2736</v>
      </c>
      <c r="AV37" s="40">
        <f t="shared" si="34"/>
        <v>638.4</v>
      </c>
      <c r="AW37" s="11">
        <f t="shared" si="34"/>
        <v>638.4</v>
      </c>
      <c r="AX37" s="11">
        <f t="shared" si="34"/>
        <v>273.60000000000002</v>
      </c>
      <c r="AY37" s="11">
        <f t="shared" si="34"/>
        <v>0</v>
      </c>
      <c r="AZ37" s="11">
        <f t="shared" si="34"/>
        <v>0</v>
      </c>
      <c r="BA37" s="11">
        <f t="shared" si="34"/>
        <v>0</v>
      </c>
      <c r="BB37" s="11">
        <f t="shared" si="34"/>
        <v>912</v>
      </c>
      <c r="BC37" s="11">
        <f t="shared" si="34"/>
        <v>0</v>
      </c>
      <c r="BD37" s="11">
        <f t="shared" si="34"/>
        <v>601.1</v>
      </c>
      <c r="BE37" s="11">
        <f t="shared" si="34"/>
        <v>5741.5</v>
      </c>
      <c r="BF37" s="11">
        <f t="shared" si="34"/>
        <v>2114.1999999999998</v>
      </c>
      <c r="BG37" s="11">
        <f t="shared" si="34"/>
        <v>3218.9500000000003</v>
      </c>
      <c r="BH37" s="11">
        <f t="shared" si="34"/>
        <v>0</v>
      </c>
      <c r="BI37" s="40">
        <f t="shared" si="34"/>
        <v>1633.32</v>
      </c>
      <c r="BJ37" s="40">
        <f t="shared" si="34"/>
        <v>996.99</v>
      </c>
      <c r="BK37" s="11">
        <f t="shared" si="34"/>
        <v>1332.77</v>
      </c>
      <c r="BL37" s="11">
        <f t="shared" si="34"/>
        <v>781.43</v>
      </c>
      <c r="BM37" s="11">
        <f t="shared" si="34"/>
        <v>0</v>
      </c>
      <c r="BN37" s="11">
        <f t="shared" si="34"/>
        <v>0</v>
      </c>
      <c r="BO37" s="11">
        <f t="shared" si="34"/>
        <v>0</v>
      </c>
      <c r="BP37" s="11">
        <f t="shared" ref="BP37:CX37" si="35">SUMPRODUCT($B35:$B36,BP35:BP36)</f>
        <v>0</v>
      </c>
      <c r="BQ37" s="11">
        <f t="shared" si="35"/>
        <v>2545.3199999999997</v>
      </c>
      <c r="BR37" s="11">
        <f t="shared" si="35"/>
        <v>1392.88</v>
      </c>
      <c r="BS37" s="11">
        <f t="shared" si="35"/>
        <v>999.06</v>
      </c>
      <c r="BT37" s="11">
        <f t="shared" si="35"/>
        <v>514.04</v>
      </c>
      <c r="BU37" s="11">
        <f t="shared" si="35"/>
        <v>723.39</v>
      </c>
      <c r="BV37" s="11">
        <f t="shared" si="35"/>
        <v>2860.4</v>
      </c>
      <c r="BW37" s="11">
        <f t="shared" si="35"/>
        <v>6943.7</v>
      </c>
      <c r="BX37" s="11">
        <f t="shared" si="35"/>
        <v>0</v>
      </c>
      <c r="BY37" s="11">
        <f t="shared" si="35"/>
        <v>53632.090000000004</v>
      </c>
      <c r="BZ37" s="11">
        <f t="shared" si="35"/>
        <v>0</v>
      </c>
      <c r="CA37" s="11">
        <f t="shared" si="35"/>
        <v>0</v>
      </c>
      <c r="CB37" s="11">
        <f t="shared" si="35"/>
        <v>0</v>
      </c>
      <c r="CC37" s="11">
        <f t="shared" si="35"/>
        <v>88505.8</v>
      </c>
      <c r="CD37" s="11">
        <f t="shared" si="35"/>
        <v>0</v>
      </c>
      <c r="CE37" s="11">
        <f t="shared" si="35"/>
        <v>0</v>
      </c>
      <c r="CF37" s="11">
        <f t="shared" si="35"/>
        <v>0</v>
      </c>
      <c r="CG37" s="11">
        <f t="shared" si="35"/>
        <v>0</v>
      </c>
      <c r="CH37" s="11">
        <f t="shared" si="35"/>
        <v>0</v>
      </c>
      <c r="CI37" s="11">
        <f t="shared" si="35"/>
        <v>0</v>
      </c>
      <c r="CJ37" s="11">
        <f t="shared" si="35"/>
        <v>0</v>
      </c>
      <c r="CK37" s="11">
        <f t="shared" si="35"/>
        <v>0</v>
      </c>
      <c r="CL37" s="11">
        <f t="shared" si="35"/>
        <v>0</v>
      </c>
      <c r="CM37" s="11">
        <f t="shared" si="35"/>
        <v>0</v>
      </c>
      <c r="CN37" s="11">
        <f t="shared" si="35"/>
        <v>0</v>
      </c>
      <c r="CO37" s="11">
        <f t="shared" si="35"/>
        <v>0</v>
      </c>
      <c r="CP37" s="11">
        <f t="shared" si="35"/>
        <v>0</v>
      </c>
      <c r="CQ37" s="11">
        <f t="shared" si="35"/>
        <v>0</v>
      </c>
      <c r="CR37" s="11">
        <f t="shared" si="35"/>
        <v>0</v>
      </c>
      <c r="CS37" s="11">
        <f t="shared" si="35"/>
        <v>0</v>
      </c>
      <c r="CT37" s="11">
        <f t="shared" si="35"/>
        <v>0</v>
      </c>
      <c r="CU37" s="11">
        <f t="shared" si="35"/>
        <v>0</v>
      </c>
      <c r="CV37" s="11">
        <f t="shared" si="35"/>
        <v>0</v>
      </c>
      <c r="CW37" s="11">
        <f t="shared" si="35"/>
        <v>0</v>
      </c>
      <c r="CX37" s="11">
        <f t="shared" si="35"/>
        <v>0</v>
      </c>
      <c r="CY37" s="11">
        <f t="shared" ref="CY37" si="36">SUMPRODUCT($B35:$B36,CY35:CY36)</f>
        <v>599986.78</v>
      </c>
      <c r="CZ37" s="11">
        <f t="shared" ref="CZ37" si="37">SUMPRODUCT($B35:$B36,CZ35:CZ36)</f>
        <v>444140.59</v>
      </c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</row>
    <row r="38" spans="1:122" ht="18" customHeight="1">
      <c r="A38" s="13" t="s">
        <v>26</v>
      </c>
      <c r="B38" s="14">
        <f>IFERROR(VLOOKUP(A38,PRICELIST!$A$3:$D$138,4,0),"-")</f>
        <v>159.75</v>
      </c>
      <c r="C38" s="18">
        <v>78</v>
      </c>
      <c r="D38" s="18">
        <v>180</v>
      </c>
      <c r="E38" s="18"/>
      <c r="F38" s="18"/>
      <c r="G38" s="18">
        <v>14</v>
      </c>
      <c r="H38" s="18">
        <v>27</v>
      </c>
      <c r="I38" s="18">
        <v>23</v>
      </c>
      <c r="J38" s="18">
        <v>23</v>
      </c>
      <c r="K38" s="18"/>
      <c r="L38" s="18"/>
      <c r="M38" s="18"/>
      <c r="N38" s="18"/>
      <c r="O38" s="18"/>
      <c r="P38" s="18">
        <v>10</v>
      </c>
      <c r="Q38" s="18"/>
      <c r="R38" s="18"/>
      <c r="S38" s="18">
        <v>12</v>
      </c>
      <c r="T38" s="18">
        <v>6</v>
      </c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39"/>
      <c r="AL38" s="39"/>
      <c r="AM38" s="39">
        <v>33</v>
      </c>
      <c r="AN38" s="39">
        <v>7</v>
      </c>
      <c r="AO38" s="39"/>
      <c r="AP38" s="39"/>
      <c r="AQ38" s="39">
        <v>6</v>
      </c>
      <c r="AR38" s="39">
        <v>0</v>
      </c>
      <c r="AS38" s="39">
        <v>6</v>
      </c>
      <c r="AT38" s="39">
        <v>10</v>
      </c>
      <c r="AU38" s="39"/>
      <c r="AV38" s="39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39"/>
      <c r="BJ38" s="39"/>
      <c r="BK38" s="18"/>
      <c r="BL38" s="18"/>
      <c r="BM38" s="18"/>
      <c r="BN38" s="18"/>
      <c r="BO38" s="18"/>
      <c r="BP38" s="18"/>
      <c r="BQ38" s="18">
        <v>6</v>
      </c>
      <c r="BR38" s="18">
        <v>4</v>
      </c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>
        <v>210</v>
      </c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9">
        <f t="shared" ref="CY38:CY39" si="38">C38+E38+G38+I38+K38+M38+O38+Q38+S38+U38+W38+Y38+AA38+AC38+AE38+AG38+AI38+AK38+AM38+AO38+AQ38+AS38+AU38+AW38+AY38+BA38+BC38+BE38+BG38+BI38+BK38+BM38+BO38+BQ38+BS38+BU38+BW38+BY38+CA38+CC38+CE38+CG38+CI38+CK38+CM38+CO38+CQ38+CS38+CU38+CW38</f>
        <v>388</v>
      </c>
      <c r="CZ38" s="19">
        <f t="shared" ref="CZ38:CZ39" si="39">D38+F38+H38+J38+L38+N38+P38+R38+T38+V38+X38+Z38+AB38+AD38+AF38+AH38+AJ38+AL38+AN38+AP38+AR38+AT38+AV38+AX38+AZ38+BB38+BD38+BF38+BH38+BJ38+BL38+BN38+BP38+BR38+BT38+BV38+BX38+BZ38+CB38+CD38+CF38+CH38+CJ38+CL38+CN38+CP38+CR38+CT38+CV38+CX38</f>
        <v>267</v>
      </c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</row>
    <row r="39" spans="1:122" ht="18" customHeight="1">
      <c r="A39" s="13" t="s">
        <v>27</v>
      </c>
      <c r="B39" s="14">
        <f>IFERROR(VLOOKUP(A39,PRICELIST!$A$3:$D$138,4,0),"-")</f>
        <v>83.59</v>
      </c>
      <c r="C39" s="18">
        <v>43</v>
      </c>
      <c r="D39" s="18">
        <v>139</v>
      </c>
      <c r="E39" s="18"/>
      <c r="F39" s="18"/>
      <c r="G39" s="18"/>
      <c r="H39" s="18"/>
      <c r="I39" s="18">
        <v>7</v>
      </c>
      <c r="J39" s="18">
        <v>12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39"/>
      <c r="AL39" s="39"/>
      <c r="AM39" s="39">
        <v>8</v>
      </c>
      <c r="AN39" s="39">
        <v>1</v>
      </c>
      <c r="AO39" s="39"/>
      <c r="AP39" s="39"/>
      <c r="AQ39" s="39">
        <v>0</v>
      </c>
      <c r="AR39" s="39">
        <v>30</v>
      </c>
      <c r="AS39" s="39"/>
      <c r="AT39" s="39"/>
      <c r="AU39" s="39"/>
      <c r="AV39" s="39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39"/>
      <c r="BJ39" s="39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>
        <v>80</v>
      </c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9">
        <f t="shared" si="38"/>
        <v>138</v>
      </c>
      <c r="CZ39" s="19">
        <f t="shared" si="39"/>
        <v>182</v>
      </c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</row>
    <row r="40" spans="1:122" ht="18" customHeight="1">
      <c r="A40" s="9" t="s">
        <v>28</v>
      </c>
      <c r="B40" s="10"/>
      <c r="C40" s="11">
        <f>SUMPRODUCT($B38:$B39,C38:C39)</f>
        <v>16054.87</v>
      </c>
      <c r="D40" s="11">
        <f t="shared" ref="D40:BO40" si="40">SUMPRODUCT($B38:$B39,D38:D39)</f>
        <v>40374.01</v>
      </c>
      <c r="E40" s="11">
        <f t="shared" si="40"/>
        <v>0</v>
      </c>
      <c r="F40" s="11">
        <f t="shared" si="40"/>
        <v>0</v>
      </c>
      <c r="G40" s="11">
        <f t="shared" si="40"/>
        <v>2236.5</v>
      </c>
      <c r="H40" s="11">
        <f t="shared" si="40"/>
        <v>4313.25</v>
      </c>
      <c r="I40" s="11">
        <f t="shared" si="40"/>
        <v>4259.38</v>
      </c>
      <c r="J40" s="11">
        <f t="shared" si="40"/>
        <v>4677.33</v>
      </c>
      <c r="K40" s="11">
        <f t="shared" si="40"/>
        <v>0</v>
      </c>
      <c r="L40" s="11">
        <f t="shared" si="40"/>
        <v>0</v>
      </c>
      <c r="M40" s="11">
        <f t="shared" si="40"/>
        <v>0</v>
      </c>
      <c r="N40" s="11">
        <f t="shared" si="40"/>
        <v>0</v>
      </c>
      <c r="O40" s="11">
        <f t="shared" si="40"/>
        <v>0</v>
      </c>
      <c r="P40" s="11">
        <f t="shared" si="40"/>
        <v>1597.5</v>
      </c>
      <c r="Q40" s="11">
        <f t="shared" si="40"/>
        <v>0</v>
      </c>
      <c r="R40" s="11">
        <f t="shared" si="40"/>
        <v>0</v>
      </c>
      <c r="S40" s="11">
        <f t="shared" si="40"/>
        <v>1917</v>
      </c>
      <c r="T40" s="11">
        <f t="shared" si="40"/>
        <v>958.5</v>
      </c>
      <c r="U40" s="11">
        <f t="shared" si="40"/>
        <v>0</v>
      </c>
      <c r="V40" s="11">
        <f t="shared" si="40"/>
        <v>0</v>
      </c>
      <c r="W40" s="11">
        <f t="shared" si="40"/>
        <v>0</v>
      </c>
      <c r="X40" s="11">
        <f t="shared" si="40"/>
        <v>0</v>
      </c>
      <c r="Y40" s="11">
        <f t="shared" si="40"/>
        <v>0</v>
      </c>
      <c r="Z40" s="11">
        <f t="shared" si="40"/>
        <v>0</v>
      </c>
      <c r="AA40" s="11">
        <f t="shared" si="40"/>
        <v>0</v>
      </c>
      <c r="AB40" s="11">
        <f t="shared" si="40"/>
        <v>0</v>
      </c>
      <c r="AC40" s="11">
        <f t="shared" si="40"/>
        <v>0</v>
      </c>
      <c r="AD40" s="11">
        <f t="shared" si="40"/>
        <v>0</v>
      </c>
      <c r="AE40" s="11">
        <f t="shared" si="40"/>
        <v>0</v>
      </c>
      <c r="AF40" s="11">
        <f t="shared" si="40"/>
        <v>0</v>
      </c>
      <c r="AG40" s="11">
        <f t="shared" si="40"/>
        <v>0</v>
      </c>
      <c r="AH40" s="11">
        <f t="shared" si="40"/>
        <v>0</v>
      </c>
      <c r="AI40" s="11">
        <f t="shared" si="40"/>
        <v>0</v>
      </c>
      <c r="AJ40" s="11">
        <f t="shared" si="40"/>
        <v>0</v>
      </c>
      <c r="AK40" s="40">
        <f t="shared" si="40"/>
        <v>0</v>
      </c>
      <c r="AL40" s="40">
        <f t="shared" si="40"/>
        <v>0</v>
      </c>
      <c r="AM40" s="40">
        <f t="shared" si="40"/>
        <v>5940.47</v>
      </c>
      <c r="AN40" s="40">
        <f t="shared" si="40"/>
        <v>1201.8399999999999</v>
      </c>
      <c r="AO40" s="40">
        <f t="shared" si="40"/>
        <v>0</v>
      </c>
      <c r="AP40" s="40">
        <f t="shared" si="40"/>
        <v>0</v>
      </c>
      <c r="AQ40" s="40">
        <f t="shared" si="40"/>
        <v>958.5</v>
      </c>
      <c r="AR40" s="40">
        <f t="shared" si="40"/>
        <v>2507.7000000000003</v>
      </c>
      <c r="AS40" s="40">
        <f t="shared" si="40"/>
        <v>958.5</v>
      </c>
      <c r="AT40" s="40">
        <f t="shared" si="40"/>
        <v>1597.5</v>
      </c>
      <c r="AU40" s="40">
        <f t="shared" si="40"/>
        <v>0</v>
      </c>
      <c r="AV40" s="40">
        <f t="shared" si="40"/>
        <v>0</v>
      </c>
      <c r="AW40" s="11">
        <f t="shared" si="40"/>
        <v>0</v>
      </c>
      <c r="AX40" s="11">
        <f t="shared" si="40"/>
        <v>0</v>
      </c>
      <c r="AY40" s="11">
        <f t="shared" si="40"/>
        <v>0</v>
      </c>
      <c r="AZ40" s="11">
        <f t="shared" si="40"/>
        <v>0</v>
      </c>
      <c r="BA40" s="11">
        <f t="shared" si="40"/>
        <v>0</v>
      </c>
      <c r="BB40" s="11">
        <f t="shared" si="40"/>
        <v>0</v>
      </c>
      <c r="BC40" s="11">
        <f t="shared" si="40"/>
        <v>0</v>
      </c>
      <c r="BD40" s="11">
        <f t="shared" si="40"/>
        <v>0</v>
      </c>
      <c r="BE40" s="11">
        <f t="shared" si="40"/>
        <v>0</v>
      </c>
      <c r="BF40" s="11">
        <f t="shared" si="40"/>
        <v>0</v>
      </c>
      <c r="BG40" s="11">
        <f t="shared" si="40"/>
        <v>0</v>
      </c>
      <c r="BH40" s="11">
        <f t="shared" si="40"/>
        <v>0</v>
      </c>
      <c r="BI40" s="40">
        <f t="shared" si="40"/>
        <v>0</v>
      </c>
      <c r="BJ40" s="40">
        <f t="shared" si="40"/>
        <v>0</v>
      </c>
      <c r="BK40" s="11">
        <f t="shared" si="40"/>
        <v>0</v>
      </c>
      <c r="BL40" s="11">
        <f t="shared" si="40"/>
        <v>0</v>
      </c>
      <c r="BM40" s="11">
        <f t="shared" si="40"/>
        <v>0</v>
      </c>
      <c r="BN40" s="11">
        <f t="shared" si="40"/>
        <v>0</v>
      </c>
      <c r="BO40" s="11">
        <f t="shared" si="40"/>
        <v>0</v>
      </c>
      <c r="BP40" s="11">
        <f t="shared" ref="BP40:CX40" si="41">SUMPRODUCT($B38:$B39,BP38:BP39)</f>
        <v>0</v>
      </c>
      <c r="BQ40" s="11">
        <f t="shared" si="41"/>
        <v>958.5</v>
      </c>
      <c r="BR40" s="11">
        <f t="shared" si="41"/>
        <v>639</v>
      </c>
      <c r="BS40" s="11">
        <f t="shared" si="41"/>
        <v>0</v>
      </c>
      <c r="BT40" s="11">
        <f t="shared" si="41"/>
        <v>0</v>
      </c>
      <c r="BU40" s="11">
        <f t="shared" si="41"/>
        <v>0</v>
      </c>
      <c r="BV40" s="11">
        <f t="shared" si="41"/>
        <v>0</v>
      </c>
      <c r="BW40" s="11">
        <f t="shared" si="41"/>
        <v>0</v>
      </c>
      <c r="BX40" s="11">
        <f t="shared" si="41"/>
        <v>0</v>
      </c>
      <c r="BY40" s="11">
        <f t="shared" si="41"/>
        <v>0</v>
      </c>
      <c r="BZ40" s="11">
        <f t="shared" si="41"/>
        <v>0</v>
      </c>
      <c r="CA40" s="11">
        <f t="shared" si="41"/>
        <v>0</v>
      </c>
      <c r="CB40" s="11">
        <f t="shared" si="41"/>
        <v>0</v>
      </c>
      <c r="CC40" s="11">
        <f t="shared" si="41"/>
        <v>40234.699999999997</v>
      </c>
      <c r="CD40" s="11">
        <f t="shared" si="41"/>
        <v>0</v>
      </c>
      <c r="CE40" s="11">
        <f t="shared" si="41"/>
        <v>0</v>
      </c>
      <c r="CF40" s="11">
        <f t="shared" si="41"/>
        <v>0</v>
      </c>
      <c r="CG40" s="11">
        <f t="shared" si="41"/>
        <v>0</v>
      </c>
      <c r="CH40" s="11">
        <f t="shared" si="41"/>
        <v>0</v>
      </c>
      <c r="CI40" s="11">
        <f t="shared" si="41"/>
        <v>0</v>
      </c>
      <c r="CJ40" s="11">
        <f t="shared" si="41"/>
        <v>0</v>
      </c>
      <c r="CK40" s="11">
        <f t="shared" si="41"/>
        <v>0</v>
      </c>
      <c r="CL40" s="11">
        <f t="shared" si="41"/>
        <v>0</v>
      </c>
      <c r="CM40" s="11">
        <f t="shared" si="41"/>
        <v>0</v>
      </c>
      <c r="CN40" s="11">
        <f t="shared" si="41"/>
        <v>0</v>
      </c>
      <c r="CO40" s="11">
        <f t="shared" si="41"/>
        <v>0</v>
      </c>
      <c r="CP40" s="11">
        <f t="shared" si="41"/>
        <v>0</v>
      </c>
      <c r="CQ40" s="11">
        <f t="shared" si="41"/>
        <v>0</v>
      </c>
      <c r="CR40" s="11">
        <f t="shared" si="41"/>
        <v>0</v>
      </c>
      <c r="CS40" s="11">
        <f t="shared" si="41"/>
        <v>0</v>
      </c>
      <c r="CT40" s="11">
        <f t="shared" si="41"/>
        <v>0</v>
      </c>
      <c r="CU40" s="11">
        <f t="shared" si="41"/>
        <v>0</v>
      </c>
      <c r="CV40" s="11">
        <f t="shared" si="41"/>
        <v>0</v>
      </c>
      <c r="CW40" s="11">
        <f t="shared" si="41"/>
        <v>0</v>
      </c>
      <c r="CX40" s="11">
        <f t="shared" si="41"/>
        <v>0</v>
      </c>
      <c r="CY40" s="11">
        <f t="shared" ref="CY40" si="42">SUMPRODUCT($B38:$B39,CY38:CY39)</f>
        <v>73518.42</v>
      </c>
      <c r="CZ40" s="11">
        <f t="shared" ref="CZ40" si="43">SUMPRODUCT($B38:$B39,CZ38:CZ39)</f>
        <v>57866.630000000005</v>
      </c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</row>
    <row r="41" spans="1:122" ht="18" customHeight="1">
      <c r="A41" s="13" t="s">
        <v>29</v>
      </c>
      <c r="B41" s="14">
        <f>IFERROR(VLOOKUP(A41,PRICELIST!$A$3:$D$138,4,0),"-")</f>
        <v>78.790000000000006</v>
      </c>
      <c r="C41" s="18">
        <v>359</v>
      </c>
      <c r="D41" s="18">
        <v>703</v>
      </c>
      <c r="E41" s="18">
        <v>84</v>
      </c>
      <c r="F41" s="18">
        <v>36</v>
      </c>
      <c r="G41" s="18">
        <v>25</v>
      </c>
      <c r="H41" s="18">
        <v>36</v>
      </c>
      <c r="I41" s="18">
        <v>100</v>
      </c>
      <c r="J41" s="18">
        <v>77</v>
      </c>
      <c r="K41" s="18"/>
      <c r="L41" s="18"/>
      <c r="M41" s="18"/>
      <c r="N41" s="18">
        <v>34</v>
      </c>
      <c r="O41" s="18"/>
      <c r="P41" s="18">
        <v>7</v>
      </c>
      <c r="Q41" s="18">
        <v>700</v>
      </c>
      <c r="R41" s="18">
        <v>5</v>
      </c>
      <c r="S41" s="18">
        <v>16</v>
      </c>
      <c r="T41" s="18">
        <v>1</v>
      </c>
      <c r="U41" s="18">
        <v>43</v>
      </c>
      <c r="V41" s="18">
        <v>25</v>
      </c>
      <c r="W41" s="18"/>
      <c r="X41" s="18">
        <v>2</v>
      </c>
      <c r="Y41" s="18">
        <v>71</v>
      </c>
      <c r="Z41" s="18">
        <v>40</v>
      </c>
      <c r="AA41" s="18"/>
      <c r="AB41" s="18"/>
      <c r="AC41" s="18"/>
      <c r="AD41" s="18"/>
      <c r="AE41" s="18">
        <v>12</v>
      </c>
      <c r="AF41" s="18">
        <v>12</v>
      </c>
      <c r="AG41" s="18"/>
      <c r="AH41" s="18"/>
      <c r="AI41" s="18">
        <v>47</v>
      </c>
      <c r="AJ41" s="18">
        <v>58</v>
      </c>
      <c r="AK41" s="39"/>
      <c r="AL41" s="39"/>
      <c r="AM41" s="39">
        <v>108</v>
      </c>
      <c r="AN41" s="39">
        <v>28</v>
      </c>
      <c r="AO41" s="39">
        <v>20</v>
      </c>
      <c r="AP41" s="39">
        <v>0</v>
      </c>
      <c r="AQ41" s="39">
        <v>67</v>
      </c>
      <c r="AR41" s="39">
        <v>59</v>
      </c>
      <c r="AS41" s="39">
        <v>75</v>
      </c>
      <c r="AT41" s="39">
        <v>28</v>
      </c>
      <c r="AU41" s="39">
        <v>38</v>
      </c>
      <c r="AV41" s="39">
        <v>28</v>
      </c>
      <c r="AW41" s="18">
        <v>20</v>
      </c>
      <c r="AX41" s="18">
        <v>8</v>
      </c>
      <c r="AY41" s="18"/>
      <c r="AZ41" s="18"/>
      <c r="BA41" s="18"/>
      <c r="BB41" s="18"/>
      <c r="BC41" s="18">
        <v>8</v>
      </c>
      <c r="BD41" s="18">
        <v>17</v>
      </c>
      <c r="BE41" s="18">
        <v>20</v>
      </c>
      <c r="BF41" s="18">
        <v>8</v>
      </c>
      <c r="BG41" s="18">
        <v>7</v>
      </c>
      <c r="BH41" s="18"/>
      <c r="BI41" s="39">
        <v>20</v>
      </c>
      <c r="BJ41" s="39">
        <v>2</v>
      </c>
      <c r="BK41" s="18"/>
      <c r="BL41" s="18"/>
      <c r="BM41" s="18"/>
      <c r="BN41" s="18">
        <v>6</v>
      </c>
      <c r="BO41" s="18"/>
      <c r="BP41" s="18"/>
      <c r="BQ41" s="18">
        <v>10</v>
      </c>
      <c r="BR41" s="18">
        <v>4</v>
      </c>
      <c r="BS41" s="18"/>
      <c r="BT41" s="18"/>
      <c r="BU41" s="18">
        <v>7</v>
      </c>
      <c r="BV41" s="18">
        <v>12</v>
      </c>
      <c r="BW41" s="18"/>
      <c r="BX41" s="18"/>
      <c r="BY41" s="18">
        <v>-7</v>
      </c>
      <c r="BZ41" s="18"/>
      <c r="CA41" s="18"/>
      <c r="CB41" s="18"/>
      <c r="CC41" s="18">
        <v>252</v>
      </c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9">
        <f t="shared" ref="CY41:CY46" si="44">C41+E41+G41+I41+K41+M41+O41+Q41+S41+U41+W41+Y41+AA41+AC41+AE41+AG41+AI41+AK41+AM41+AO41+AQ41+AS41+AU41+AW41+AY41+BA41+BC41+BE41+BG41+BI41+BK41+BM41+BO41+BQ41+BS41+BU41+BW41+BY41+CA41+CC41+CE41+CG41+CI41+CK41+CM41+CO41+CQ41+CS41+CU41+CW41</f>
        <v>2102</v>
      </c>
      <c r="CZ41" s="19">
        <f t="shared" ref="CZ41:CZ46" si="45">D41+F41+H41+J41+L41+N41+P41+R41+T41+V41+X41+Z41+AB41+AD41+AF41+AH41+AJ41+AL41+AN41+AP41+AR41+AT41+AV41+AX41+AZ41+BB41+BD41+BF41+BH41+BJ41+BL41+BN41+BP41+BR41+BT41+BV41+BX41+BZ41+CB41+CD41+CF41+CH41+CJ41+CL41+CN41+CP41+CR41+CT41+CV41+CX41</f>
        <v>1236</v>
      </c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</row>
    <row r="42" spans="1:122" ht="18" customHeight="1">
      <c r="A42" s="13" t="s">
        <v>30</v>
      </c>
      <c r="B42" s="14">
        <f>IFERROR(VLOOKUP(A42,PRICELIST!$A$3:$D$138,4,0),"-")</f>
        <v>142.29</v>
      </c>
      <c r="C42" s="18">
        <v>199</v>
      </c>
      <c r="D42" s="18">
        <v>494</v>
      </c>
      <c r="E42" s="18">
        <v>40</v>
      </c>
      <c r="F42" s="18">
        <v>61</v>
      </c>
      <c r="G42" s="18">
        <v>6</v>
      </c>
      <c r="H42" s="18">
        <v>9</v>
      </c>
      <c r="I42" s="18">
        <v>8</v>
      </c>
      <c r="J42" s="18">
        <v>21</v>
      </c>
      <c r="K42" s="18"/>
      <c r="L42" s="18"/>
      <c r="M42" s="18">
        <v>18</v>
      </c>
      <c r="N42" s="18">
        <v>16</v>
      </c>
      <c r="O42" s="18"/>
      <c r="P42" s="18"/>
      <c r="Q42" s="18">
        <v>700</v>
      </c>
      <c r="R42" s="18"/>
      <c r="S42" s="18"/>
      <c r="T42" s="18">
        <v>7</v>
      </c>
      <c r="U42" s="18">
        <v>12</v>
      </c>
      <c r="V42" s="18">
        <v>4</v>
      </c>
      <c r="W42" s="18">
        <v>33</v>
      </c>
      <c r="X42" s="18">
        <v>38</v>
      </c>
      <c r="Y42" s="18"/>
      <c r="Z42" s="18">
        <v>63</v>
      </c>
      <c r="AA42" s="18"/>
      <c r="AB42" s="18"/>
      <c r="AC42" s="18"/>
      <c r="AD42" s="18"/>
      <c r="AE42" s="18"/>
      <c r="AF42" s="18"/>
      <c r="AG42" s="18"/>
      <c r="AH42" s="18"/>
      <c r="AI42" s="18">
        <v>13</v>
      </c>
      <c r="AJ42" s="18">
        <v>86</v>
      </c>
      <c r="AK42" s="39"/>
      <c r="AL42" s="39"/>
      <c r="AM42" s="39">
        <v>0</v>
      </c>
      <c r="AN42" s="39">
        <v>3</v>
      </c>
      <c r="AO42" s="39">
        <v>6</v>
      </c>
      <c r="AP42" s="39">
        <v>4</v>
      </c>
      <c r="AQ42" s="39">
        <v>17</v>
      </c>
      <c r="AR42" s="39">
        <v>21</v>
      </c>
      <c r="AS42" s="39">
        <v>3</v>
      </c>
      <c r="AT42" s="39">
        <v>5</v>
      </c>
      <c r="AU42" s="39">
        <v>14</v>
      </c>
      <c r="AV42" s="39">
        <v>22</v>
      </c>
      <c r="AW42" s="18"/>
      <c r="AX42" s="18"/>
      <c r="AY42" s="18"/>
      <c r="AZ42" s="18"/>
      <c r="BA42" s="18"/>
      <c r="BB42" s="18"/>
      <c r="BC42" s="18">
        <v>57</v>
      </c>
      <c r="BD42" s="18">
        <v>45</v>
      </c>
      <c r="BE42" s="18">
        <v>5</v>
      </c>
      <c r="BF42" s="18">
        <v>2</v>
      </c>
      <c r="BG42" s="18"/>
      <c r="BH42" s="18"/>
      <c r="BI42" s="39">
        <v>14</v>
      </c>
      <c r="BJ42" s="39">
        <v>14</v>
      </c>
      <c r="BK42" s="18"/>
      <c r="BL42" s="18"/>
      <c r="BM42" s="18"/>
      <c r="BN42" s="18"/>
      <c r="BO42" s="18"/>
      <c r="BP42" s="18"/>
      <c r="BQ42" s="18">
        <v>10</v>
      </c>
      <c r="BR42" s="18">
        <v>4</v>
      </c>
      <c r="BS42" s="18"/>
      <c r="BT42" s="18"/>
      <c r="BU42" s="18">
        <v>7</v>
      </c>
      <c r="BV42" s="18"/>
      <c r="BW42" s="18"/>
      <c r="BX42" s="18"/>
      <c r="BY42" s="18"/>
      <c r="BZ42" s="18"/>
      <c r="CA42" s="18"/>
      <c r="CB42" s="18"/>
      <c r="CC42" s="18">
        <v>42</v>
      </c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9">
        <f t="shared" si="44"/>
        <v>1204</v>
      </c>
      <c r="CZ42" s="19">
        <f t="shared" si="45"/>
        <v>919</v>
      </c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</row>
    <row r="43" spans="1:122" ht="18" customHeight="1">
      <c r="A43" s="13" t="s">
        <v>31</v>
      </c>
      <c r="B43" s="14">
        <f>IFERROR(VLOOKUP(A43,PRICELIST!$A$3:$D$138,4,0),"-")</f>
        <v>35.36</v>
      </c>
      <c r="C43" s="18">
        <v>726</v>
      </c>
      <c r="D43" s="18">
        <v>1333</v>
      </c>
      <c r="E43" s="18">
        <v>40</v>
      </c>
      <c r="F43" s="18">
        <v>27</v>
      </c>
      <c r="G43" s="18">
        <v>43</v>
      </c>
      <c r="H43" s="18">
        <v>53</v>
      </c>
      <c r="I43" s="18">
        <v>170</v>
      </c>
      <c r="J43" s="18">
        <v>163</v>
      </c>
      <c r="K43" s="18"/>
      <c r="L43" s="18"/>
      <c r="M43" s="18">
        <v>30</v>
      </c>
      <c r="N43" s="18">
        <v>30</v>
      </c>
      <c r="O43" s="18"/>
      <c r="P43" s="18">
        <v>60</v>
      </c>
      <c r="Q43" s="18">
        <v>130</v>
      </c>
      <c r="R43" s="18">
        <v>5</v>
      </c>
      <c r="S43" s="18">
        <v>42</v>
      </c>
      <c r="T43" s="18">
        <v>5</v>
      </c>
      <c r="U43" s="18">
        <v>42</v>
      </c>
      <c r="V43" s="18">
        <v>28</v>
      </c>
      <c r="W43" s="18"/>
      <c r="X43" s="18">
        <v>37</v>
      </c>
      <c r="Y43" s="18">
        <v>55</v>
      </c>
      <c r="Z43" s="18">
        <v>70</v>
      </c>
      <c r="AA43" s="18"/>
      <c r="AB43" s="18"/>
      <c r="AC43" s="18">
        <v>13</v>
      </c>
      <c r="AD43" s="18">
        <v>27</v>
      </c>
      <c r="AE43" s="18">
        <v>29</v>
      </c>
      <c r="AF43" s="18">
        <v>30</v>
      </c>
      <c r="AG43" s="18"/>
      <c r="AH43" s="18"/>
      <c r="AI43" s="18">
        <v>97</v>
      </c>
      <c r="AJ43" s="18">
        <v>157</v>
      </c>
      <c r="AK43" s="39"/>
      <c r="AL43" s="39"/>
      <c r="AM43" s="39">
        <v>295</v>
      </c>
      <c r="AN43" s="39">
        <v>53</v>
      </c>
      <c r="AO43" s="39">
        <v>43</v>
      </c>
      <c r="AP43" s="39">
        <v>0</v>
      </c>
      <c r="AQ43" s="39">
        <v>57</v>
      </c>
      <c r="AR43" s="39">
        <v>105</v>
      </c>
      <c r="AS43" s="39">
        <v>43</v>
      </c>
      <c r="AT43" s="39">
        <v>41</v>
      </c>
      <c r="AU43" s="39">
        <v>35</v>
      </c>
      <c r="AV43" s="39">
        <v>28</v>
      </c>
      <c r="AW43" s="18"/>
      <c r="AX43" s="18"/>
      <c r="AY43" s="18"/>
      <c r="AZ43" s="18"/>
      <c r="BA43" s="18"/>
      <c r="BB43" s="18"/>
      <c r="BC43" s="18"/>
      <c r="BD43" s="18"/>
      <c r="BE43" s="18">
        <v>25</v>
      </c>
      <c r="BF43" s="18">
        <v>10</v>
      </c>
      <c r="BG43" s="18"/>
      <c r="BH43" s="18">
        <v>2</v>
      </c>
      <c r="BI43" s="39">
        <v>62</v>
      </c>
      <c r="BJ43" s="39">
        <v>42</v>
      </c>
      <c r="BK43" s="18"/>
      <c r="BL43" s="18"/>
      <c r="BM43" s="18"/>
      <c r="BN43" s="18">
        <v>29</v>
      </c>
      <c r="BO43" s="18"/>
      <c r="BP43" s="18"/>
      <c r="BQ43" s="18"/>
      <c r="BR43" s="18"/>
      <c r="BS43" s="18"/>
      <c r="BT43" s="18"/>
      <c r="BU43" s="18">
        <v>12</v>
      </c>
      <c r="BV43" s="18">
        <v>37</v>
      </c>
      <c r="BW43" s="18"/>
      <c r="BX43" s="18"/>
      <c r="BY43" s="18"/>
      <c r="BZ43" s="18"/>
      <c r="CA43" s="18">
        <v>30</v>
      </c>
      <c r="CB43" s="18">
        <v>5</v>
      </c>
      <c r="CC43" s="18">
        <v>315</v>
      </c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9">
        <f t="shared" si="44"/>
        <v>2334</v>
      </c>
      <c r="CZ43" s="19">
        <f t="shared" si="45"/>
        <v>2377</v>
      </c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</row>
    <row r="44" spans="1:122" ht="18" customHeight="1">
      <c r="A44" s="13" t="s">
        <v>32</v>
      </c>
      <c r="B44" s="14">
        <f>IFERROR(VLOOKUP(A44,PRICELIST!$A$3:$D$138,4,0),"-")</f>
        <v>175.18</v>
      </c>
      <c r="C44" s="18">
        <v>54</v>
      </c>
      <c r="D44" s="18">
        <v>351</v>
      </c>
      <c r="E44" s="18">
        <v>24</v>
      </c>
      <c r="F44" s="18">
        <v>48</v>
      </c>
      <c r="G44" s="18">
        <v>3</v>
      </c>
      <c r="H44" s="18">
        <v>7</v>
      </c>
      <c r="I44" s="18">
        <v>7</v>
      </c>
      <c r="J44" s="18">
        <v>12</v>
      </c>
      <c r="K44" s="18"/>
      <c r="L44" s="18"/>
      <c r="M44" s="18">
        <v>12</v>
      </c>
      <c r="N44" s="18"/>
      <c r="O44" s="18"/>
      <c r="P44" s="18"/>
      <c r="Q44" s="18">
        <v>50</v>
      </c>
      <c r="R44" s="18"/>
      <c r="S44" s="18">
        <v>5</v>
      </c>
      <c r="T44" s="18">
        <v>5</v>
      </c>
      <c r="U44" s="18">
        <v>6</v>
      </c>
      <c r="V44" s="18">
        <v>29</v>
      </c>
      <c r="W44" s="18"/>
      <c r="X44" s="18">
        <v>12</v>
      </c>
      <c r="Y44" s="18"/>
      <c r="Z44" s="18"/>
      <c r="AA44" s="18"/>
      <c r="AB44" s="18"/>
      <c r="AC44" s="18"/>
      <c r="AD44" s="18"/>
      <c r="AE44" s="18">
        <v>2</v>
      </c>
      <c r="AF44" s="18">
        <v>3</v>
      </c>
      <c r="AG44" s="18"/>
      <c r="AH44" s="18"/>
      <c r="AI44" s="18"/>
      <c r="AJ44" s="18">
        <v>2</v>
      </c>
      <c r="AK44" s="39"/>
      <c r="AL44" s="39"/>
      <c r="AM44" s="39">
        <v>62</v>
      </c>
      <c r="AN44" s="39">
        <v>29</v>
      </c>
      <c r="AO44" s="39">
        <v>7</v>
      </c>
      <c r="AP44" s="39">
        <v>0</v>
      </c>
      <c r="AQ44" s="39">
        <v>17</v>
      </c>
      <c r="AR44" s="39">
        <v>53</v>
      </c>
      <c r="AS44" s="39"/>
      <c r="AT44" s="39"/>
      <c r="AU44" s="39">
        <v>13</v>
      </c>
      <c r="AV44" s="39">
        <v>25</v>
      </c>
      <c r="AW44" s="18"/>
      <c r="AX44" s="18"/>
      <c r="AY44" s="18"/>
      <c r="AZ44" s="18"/>
      <c r="BA44" s="18"/>
      <c r="BB44" s="18"/>
      <c r="BC44" s="18"/>
      <c r="BD44" s="18"/>
      <c r="BE44" s="18">
        <v>30</v>
      </c>
      <c r="BF44" s="18">
        <v>12</v>
      </c>
      <c r="BG44" s="18"/>
      <c r="BH44" s="18"/>
      <c r="BI44" s="39"/>
      <c r="BJ44" s="39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>
        <v>7</v>
      </c>
      <c r="BV44" s="18">
        <v>5</v>
      </c>
      <c r="BW44" s="18"/>
      <c r="BX44" s="18"/>
      <c r="BY44" s="18"/>
      <c r="BZ44" s="18"/>
      <c r="CA44" s="18"/>
      <c r="CB44" s="18"/>
      <c r="CC44" s="18">
        <v>21</v>
      </c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9">
        <f t="shared" si="44"/>
        <v>320</v>
      </c>
      <c r="CZ44" s="19">
        <f t="shared" si="45"/>
        <v>593</v>
      </c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</row>
    <row r="45" spans="1:122" ht="18" customHeight="1">
      <c r="A45" s="13" t="s">
        <v>33</v>
      </c>
      <c r="B45" s="14">
        <f>IFERROR(VLOOKUP(A45,PRICELIST!$A$3:$D$138,4,0),"-")</f>
        <v>42.72</v>
      </c>
      <c r="C45" s="18">
        <v>425</v>
      </c>
      <c r="D45" s="18">
        <v>1394</v>
      </c>
      <c r="E45" s="18">
        <v>56</v>
      </c>
      <c r="F45" s="18">
        <v>57</v>
      </c>
      <c r="G45" s="18">
        <v>90</v>
      </c>
      <c r="H45" s="18">
        <v>67</v>
      </c>
      <c r="I45" s="18">
        <v>98</v>
      </c>
      <c r="J45" s="18">
        <v>94</v>
      </c>
      <c r="K45" s="18"/>
      <c r="L45" s="18"/>
      <c r="M45" s="18">
        <v>30</v>
      </c>
      <c r="N45" s="18">
        <v>35</v>
      </c>
      <c r="O45" s="18">
        <v>1</v>
      </c>
      <c r="P45" s="18">
        <v>6</v>
      </c>
      <c r="Q45" s="18">
        <v>109</v>
      </c>
      <c r="R45" s="18">
        <v>1</v>
      </c>
      <c r="S45" s="18"/>
      <c r="T45" s="18">
        <v>21</v>
      </c>
      <c r="U45" s="18">
        <v>37</v>
      </c>
      <c r="V45" s="18">
        <v>35</v>
      </c>
      <c r="W45" s="18"/>
      <c r="X45" s="18"/>
      <c r="Y45" s="18">
        <v>12</v>
      </c>
      <c r="Z45" s="18">
        <v>50</v>
      </c>
      <c r="AA45" s="18">
        <v>3</v>
      </c>
      <c r="AB45" s="18">
        <v>18</v>
      </c>
      <c r="AC45" s="18">
        <v>9</v>
      </c>
      <c r="AD45" s="18">
        <v>9</v>
      </c>
      <c r="AE45" s="18">
        <v>29</v>
      </c>
      <c r="AF45" s="18">
        <v>89</v>
      </c>
      <c r="AG45" s="18"/>
      <c r="AH45" s="18"/>
      <c r="AI45" s="18">
        <v>81</v>
      </c>
      <c r="AJ45" s="18">
        <v>96</v>
      </c>
      <c r="AK45" s="39"/>
      <c r="AL45" s="39"/>
      <c r="AM45" s="39">
        <v>209</v>
      </c>
      <c r="AN45" s="39">
        <v>142</v>
      </c>
      <c r="AO45" s="39">
        <v>28</v>
      </c>
      <c r="AP45" s="39">
        <v>0</v>
      </c>
      <c r="AQ45" s="39">
        <v>0</v>
      </c>
      <c r="AR45" s="39">
        <v>63</v>
      </c>
      <c r="AS45" s="39">
        <v>49</v>
      </c>
      <c r="AT45" s="39">
        <v>21</v>
      </c>
      <c r="AU45" s="39">
        <v>45</v>
      </c>
      <c r="AV45" s="39">
        <v>0</v>
      </c>
      <c r="AW45" s="18">
        <v>30</v>
      </c>
      <c r="AX45" s="18">
        <v>12</v>
      </c>
      <c r="AY45" s="18"/>
      <c r="AZ45" s="18"/>
      <c r="BA45" s="18"/>
      <c r="BB45" s="18"/>
      <c r="BC45" s="18"/>
      <c r="BD45" s="18">
        <v>30</v>
      </c>
      <c r="BE45" s="18">
        <v>30</v>
      </c>
      <c r="BF45" s="18">
        <v>12</v>
      </c>
      <c r="BG45" s="18">
        <v>18</v>
      </c>
      <c r="BH45" s="18">
        <v>42</v>
      </c>
      <c r="BI45" s="39">
        <v>27</v>
      </c>
      <c r="BJ45" s="39">
        <v>36</v>
      </c>
      <c r="BK45" s="18">
        <v>26</v>
      </c>
      <c r="BL45" s="18">
        <v>6</v>
      </c>
      <c r="BM45" s="18">
        <v>17</v>
      </c>
      <c r="BN45" s="18">
        <v>25</v>
      </c>
      <c r="BO45" s="18"/>
      <c r="BP45" s="18"/>
      <c r="BQ45" s="18">
        <v>30</v>
      </c>
      <c r="BR45" s="18">
        <v>12</v>
      </c>
      <c r="BS45" s="18"/>
      <c r="BT45" s="18"/>
      <c r="BU45" s="18">
        <v>5</v>
      </c>
      <c r="BV45" s="18"/>
      <c r="BW45" s="18"/>
      <c r="BX45" s="18"/>
      <c r="BY45" s="18">
        <v>695</v>
      </c>
      <c r="BZ45" s="18"/>
      <c r="CA45" s="18">
        <v>18</v>
      </c>
      <c r="CB45" s="18">
        <v>4</v>
      </c>
      <c r="CC45" s="18">
        <v>273</v>
      </c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9">
        <f t="shared" si="44"/>
        <v>2480</v>
      </c>
      <c r="CZ45" s="19">
        <f t="shared" si="45"/>
        <v>2377</v>
      </c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</row>
    <row r="46" spans="1:122" ht="18" customHeight="1">
      <c r="A46" s="13" t="s">
        <v>34</v>
      </c>
      <c r="B46" s="14">
        <f>IFERROR(VLOOKUP(A46,PRICELIST!$A$3:$D$138,4,0),"-")</f>
        <v>84.28</v>
      </c>
      <c r="C46" s="18">
        <v>83</v>
      </c>
      <c r="D46" s="18">
        <v>399</v>
      </c>
      <c r="E46" s="18">
        <v>14</v>
      </c>
      <c r="F46" s="18">
        <v>27</v>
      </c>
      <c r="G46" s="18">
        <v>17</v>
      </c>
      <c r="H46" s="18">
        <v>24</v>
      </c>
      <c r="I46" s="18">
        <v>54</v>
      </c>
      <c r="J46" s="18">
        <v>41</v>
      </c>
      <c r="K46" s="18"/>
      <c r="L46" s="18"/>
      <c r="M46" s="18"/>
      <c r="N46" s="18"/>
      <c r="O46" s="18"/>
      <c r="P46" s="18"/>
      <c r="Q46" s="18">
        <v>100</v>
      </c>
      <c r="R46" s="18"/>
      <c r="S46" s="18">
        <v>31</v>
      </c>
      <c r="T46" s="18">
        <v>7</v>
      </c>
      <c r="U46" s="18">
        <v>25</v>
      </c>
      <c r="V46" s="18">
        <v>18</v>
      </c>
      <c r="W46" s="18">
        <v>5</v>
      </c>
      <c r="X46" s="18">
        <v>32</v>
      </c>
      <c r="Y46" s="18">
        <v>24</v>
      </c>
      <c r="Z46" s="18">
        <v>14</v>
      </c>
      <c r="AA46" s="18"/>
      <c r="AB46" s="18"/>
      <c r="AC46" s="18"/>
      <c r="AD46" s="18"/>
      <c r="AE46" s="18"/>
      <c r="AF46" s="18">
        <v>12</v>
      </c>
      <c r="AG46" s="18"/>
      <c r="AH46" s="18"/>
      <c r="AI46" s="18">
        <v>3</v>
      </c>
      <c r="AJ46" s="18">
        <v>24</v>
      </c>
      <c r="AK46" s="39"/>
      <c r="AL46" s="39"/>
      <c r="AM46" s="39">
        <v>78</v>
      </c>
      <c r="AN46" s="39">
        <v>8</v>
      </c>
      <c r="AO46" s="39">
        <v>18</v>
      </c>
      <c r="AP46" s="39">
        <v>0</v>
      </c>
      <c r="AQ46" s="39">
        <v>0</v>
      </c>
      <c r="AR46" s="39">
        <v>56</v>
      </c>
      <c r="AS46" s="39">
        <v>4</v>
      </c>
      <c r="AT46" s="39">
        <v>8</v>
      </c>
      <c r="AU46" s="39"/>
      <c r="AV46" s="39"/>
      <c r="AW46" s="18"/>
      <c r="AX46" s="18"/>
      <c r="AY46" s="18"/>
      <c r="AZ46" s="18"/>
      <c r="BA46" s="18"/>
      <c r="BB46" s="18"/>
      <c r="BC46" s="18">
        <v>17</v>
      </c>
      <c r="BD46" s="18"/>
      <c r="BE46" s="18"/>
      <c r="BF46" s="18"/>
      <c r="BG46" s="18"/>
      <c r="BH46" s="18"/>
      <c r="BI46" s="39">
        <v>15</v>
      </c>
      <c r="BJ46" s="39">
        <v>7</v>
      </c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>
        <v>4</v>
      </c>
      <c r="BV46" s="18">
        <v>2</v>
      </c>
      <c r="BW46" s="18"/>
      <c r="BX46" s="18"/>
      <c r="BY46" s="18"/>
      <c r="BZ46" s="18"/>
      <c r="CA46" s="18"/>
      <c r="CB46" s="18"/>
      <c r="CC46" s="18">
        <v>42</v>
      </c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9">
        <f t="shared" si="44"/>
        <v>534</v>
      </c>
      <c r="CZ46" s="19">
        <f t="shared" si="45"/>
        <v>679</v>
      </c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</row>
    <row r="47" spans="1:122" ht="18" customHeight="1">
      <c r="A47" s="9" t="s">
        <v>35</v>
      </c>
      <c r="B47" s="10"/>
      <c r="C47" s="11">
        <f>SUMPRODUCT($B41:$B46,C41:C46)</f>
        <v>116883.64</v>
      </c>
      <c r="D47" s="11">
        <f t="shared" ref="D47:BO47" si="46">SUMPRODUCT($B41:$B46,D41:D46)</f>
        <v>327483.08999999997</v>
      </c>
      <c r="E47" s="11">
        <f t="shared" si="46"/>
        <v>21500.92</v>
      </c>
      <c r="F47" s="11">
        <f t="shared" si="46"/>
        <v>25590.09</v>
      </c>
      <c r="G47" s="11">
        <f t="shared" si="46"/>
        <v>10147.07</v>
      </c>
      <c r="H47" s="11">
        <f t="shared" si="46"/>
        <v>12102.35</v>
      </c>
      <c r="I47" s="11">
        <f t="shared" si="46"/>
        <v>24992.46</v>
      </c>
      <c r="J47" s="11">
        <f t="shared" si="46"/>
        <v>24391.920000000002</v>
      </c>
      <c r="K47" s="11">
        <f t="shared" si="46"/>
        <v>0</v>
      </c>
      <c r="L47" s="11">
        <f t="shared" si="46"/>
        <v>0</v>
      </c>
      <c r="M47" s="11">
        <f t="shared" si="46"/>
        <v>7005.7799999999988</v>
      </c>
      <c r="N47" s="11">
        <f t="shared" si="46"/>
        <v>7511.5</v>
      </c>
      <c r="O47" s="11">
        <f t="shared" si="46"/>
        <v>42.72</v>
      </c>
      <c r="P47" s="11">
        <f t="shared" si="46"/>
        <v>2929.4500000000003</v>
      </c>
      <c r="Q47" s="11">
        <f t="shared" si="46"/>
        <v>181196.28</v>
      </c>
      <c r="R47" s="11">
        <f t="shared" si="46"/>
        <v>613.47</v>
      </c>
      <c r="S47" s="11">
        <f t="shared" si="46"/>
        <v>6234.34</v>
      </c>
      <c r="T47" s="11">
        <f t="shared" si="46"/>
        <v>3614.6</v>
      </c>
      <c r="U47" s="11">
        <f t="shared" si="46"/>
        <v>11319.29</v>
      </c>
      <c r="V47" s="11">
        <f t="shared" si="46"/>
        <v>11621.45</v>
      </c>
      <c r="W47" s="11">
        <f t="shared" si="46"/>
        <v>5116.9699999999993</v>
      </c>
      <c r="X47" s="11">
        <f t="shared" si="46"/>
        <v>11672.039999999997</v>
      </c>
      <c r="Y47" s="11">
        <f t="shared" si="46"/>
        <v>10074.25</v>
      </c>
      <c r="Z47" s="11">
        <f t="shared" si="46"/>
        <v>17906.989999999998</v>
      </c>
      <c r="AA47" s="11">
        <f t="shared" si="46"/>
        <v>128.16</v>
      </c>
      <c r="AB47" s="11">
        <f t="shared" si="46"/>
        <v>768.96</v>
      </c>
      <c r="AC47" s="11">
        <f t="shared" si="46"/>
        <v>844.16000000000008</v>
      </c>
      <c r="AD47" s="11">
        <f t="shared" si="46"/>
        <v>1339.2</v>
      </c>
      <c r="AE47" s="11">
        <f t="shared" si="46"/>
        <v>3560.16</v>
      </c>
      <c r="AF47" s="11">
        <f t="shared" si="46"/>
        <v>7345.2599999999993</v>
      </c>
      <c r="AG47" s="11">
        <f t="shared" si="46"/>
        <v>0</v>
      </c>
      <c r="AH47" s="11">
        <f t="shared" si="46"/>
        <v>0</v>
      </c>
      <c r="AI47" s="11">
        <f t="shared" si="46"/>
        <v>12695.98</v>
      </c>
      <c r="AJ47" s="11">
        <f t="shared" si="46"/>
        <v>28832.48</v>
      </c>
      <c r="AK47" s="40">
        <f t="shared" si="46"/>
        <v>0</v>
      </c>
      <c r="AL47" s="40">
        <f t="shared" si="46"/>
        <v>0</v>
      </c>
      <c r="AM47" s="40">
        <f t="shared" si="46"/>
        <v>45304</v>
      </c>
      <c r="AN47" s="40">
        <f t="shared" si="46"/>
        <v>16327.77</v>
      </c>
      <c r="AO47" s="40">
        <f t="shared" si="46"/>
        <v>7889.48</v>
      </c>
      <c r="AP47" s="40">
        <f t="shared" si="46"/>
        <v>569.16</v>
      </c>
      <c r="AQ47" s="40">
        <f t="shared" si="46"/>
        <v>12691.44</v>
      </c>
      <c r="AR47" s="40">
        <f t="shared" si="46"/>
        <v>28045.08</v>
      </c>
      <c r="AS47" s="40">
        <f t="shared" si="46"/>
        <v>10287.000000000002</v>
      </c>
      <c r="AT47" s="40">
        <f t="shared" si="46"/>
        <v>5938.69</v>
      </c>
      <c r="AU47" s="40">
        <f t="shared" si="46"/>
        <v>10423.42</v>
      </c>
      <c r="AV47" s="40">
        <f t="shared" si="46"/>
        <v>10706.08</v>
      </c>
      <c r="AW47" s="11">
        <f t="shared" si="46"/>
        <v>2857.4</v>
      </c>
      <c r="AX47" s="11">
        <f t="shared" si="46"/>
        <v>1142.96</v>
      </c>
      <c r="AY47" s="11">
        <f t="shared" si="46"/>
        <v>0</v>
      </c>
      <c r="AZ47" s="11">
        <f t="shared" si="46"/>
        <v>0</v>
      </c>
      <c r="BA47" s="11">
        <f t="shared" si="46"/>
        <v>0</v>
      </c>
      <c r="BB47" s="11">
        <f t="shared" si="46"/>
        <v>0</v>
      </c>
      <c r="BC47" s="11">
        <f t="shared" si="46"/>
        <v>10173.61</v>
      </c>
      <c r="BD47" s="11">
        <f t="shared" si="46"/>
        <v>9024.08</v>
      </c>
      <c r="BE47" s="11">
        <f t="shared" si="46"/>
        <v>9708.2500000000018</v>
      </c>
      <c r="BF47" s="11">
        <f t="shared" si="46"/>
        <v>3883.2999999999997</v>
      </c>
      <c r="BG47" s="11">
        <f t="shared" si="46"/>
        <v>1320.4900000000002</v>
      </c>
      <c r="BH47" s="11">
        <f t="shared" si="46"/>
        <v>1864.96</v>
      </c>
      <c r="BI47" s="40">
        <f t="shared" si="46"/>
        <v>8177.8200000000006</v>
      </c>
      <c r="BJ47" s="40">
        <f t="shared" si="46"/>
        <v>5762.64</v>
      </c>
      <c r="BK47" s="11">
        <f t="shared" si="46"/>
        <v>1110.72</v>
      </c>
      <c r="BL47" s="11">
        <f t="shared" si="46"/>
        <v>256.32</v>
      </c>
      <c r="BM47" s="11">
        <f t="shared" si="46"/>
        <v>726.24</v>
      </c>
      <c r="BN47" s="11">
        <f t="shared" si="46"/>
        <v>2566.1800000000003</v>
      </c>
      <c r="BO47" s="11">
        <f t="shared" si="46"/>
        <v>0</v>
      </c>
      <c r="BP47" s="11">
        <f t="shared" ref="BP47:CX47" si="47">SUMPRODUCT($B41:$B46,BP41:BP46)</f>
        <v>0</v>
      </c>
      <c r="BQ47" s="11">
        <f t="shared" si="47"/>
        <v>3492.4</v>
      </c>
      <c r="BR47" s="11">
        <f t="shared" si="47"/>
        <v>1396.96</v>
      </c>
      <c r="BS47" s="11">
        <f t="shared" si="47"/>
        <v>0</v>
      </c>
      <c r="BT47" s="11">
        <f t="shared" si="47"/>
        <v>0</v>
      </c>
      <c r="BU47" s="11">
        <f t="shared" si="47"/>
        <v>3748.8599999999997</v>
      </c>
      <c r="BV47" s="11">
        <f t="shared" si="47"/>
        <v>3298.26</v>
      </c>
      <c r="BW47" s="11">
        <f t="shared" si="47"/>
        <v>0</v>
      </c>
      <c r="BX47" s="11">
        <f t="shared" si="47"/>
        <v>0</v>
      </c>
      <c r="BY47" s="11">
        <f t="shared" si="47"/>
        <v>29138.87</v>
      </c>
      <c r="BZ47" s="11">
        <f t="shared" si="47"/>
        <v>0</v>
      </c>
      <c r="CA47" s="11">
        <f t="shared" si="47"/>
        <v>1829.76</v>
      </c>
      <c r="CB47" s="11">
        <f t="shared" si="47"/>
        <v>347.68</v>
      </c>
      <c r="CC47" s="11">
        <f t="shared" si="47"/>
        <v>55850.76</v>
      </c>
      <c r="CD47" s="11">
        <f t="shared" si="47"/>
        <v>0</v>
      </c>
      <c r="CE47" s="11">
        <f t="shared" si="47"/>
        <v>0</v>
      </c>
      <c r="CF47" s="11">
        <f t="shared" si="47"/>
        <v>0</v>
      </c>
      <c r="CG47" s="11">
        <f t="shared" si="47"/>
        <v>0</v>
      </c>
      <c r="CH47" s="11">
        <f t="shared" si="47"/>
        <v>0</v>
      </c>
      <c r="CI47" s="11">
        <f t="shared" si="47"/>
        <v>0</v>
      </c>
      <c r="CJ47" s="11">
        <f t="shared" si="47"/>
        <v>0</v>
      </c>
      <c r="CK47" s="11">
        <f t="shared" si="47"/>
        <v>0</v>
      </c>
      <c r="CL47" s="11">
        <f t="shared" si="47"/>
        <v>0</v>
      </c>
      <c r="CM47" s="11">
        <f t="shared" si="47"/>
        <v>0</v>
      </c>
      <c r="CN47" s="11">
        <f t="shared" si="47"/>
        <v>0</v>
      </c>
      <c r="CO47" s="11">
        <f t="shared" si="47"/>
        <v>0</v>
      </c>
      <c r="CP47" s="11">
        <f t="shared" si="47"/>
        <v>0</v>
      </c>
      <c r="CQ47" s="11">
        <f t="shared" si="47"/>
        <v>0</v>
      </c>
      <c r="CR47" s="11">
        <f t="shared" si="47"/>
        <v>0</v>
      </c>
      <c r="CS47" s="11">
        <f t="shared" si="47"/>
        <v>0</v>
      </c>
      <c r="CT47" s="11">
        <f t="shared" si="47"/>
        <v>0</v>
      </c>
      <c r="CU47" s="11">
        <f t="shared" si="47"/>
        <v>0</v>
      </c>
      <c r="CV47" s="11">
        <f t="shared" si="47"/>
        <v>0</v>
      </c>
      <c r="CW47" s="11">
        <f t="shared" si="47"/>
        <v>0</v>
      </c>
      <c r="CX47" s="11">
        <f t="shared" si="47"/>
        <v>0</v>
      </c>
      <c r="CY47" s="11">
        <f t="shared" ref="CY47" si="48">SUMPRODUCT($B41:$B46,CY41:CY46)</f>
        <v>626472.69999999995</v>
      </c>
      <c r="CZ47" s="11">
        <f t="shared" ref="CZ47" si="49">SUMPRODUCT($B41:$B46,CZ41:CZ46)</f>
        <v>574852.97000000009</v>
      </c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</row>
    <row r="48" spans="1:122" ht="18" customHeight="1">
      <c r="A48" s="4" t="s">
        <v>81</v>
      </c>
      <c r="B48" s="14">
        <f>IFERROR(VLOOKUP(A48,PRICELIST!$A$3:$D$138,4,0),"-")</f>
        <v>201.26</v>
      </c>
      <c r="C48" s="18">
        <v>207</v>
      </c>
      <c r="D48" s="18">
        <v>409</v>
      </c>
      <c r="E48" s="18">
        <v>15</v>
      </c>
      <c r="F48" s="18">
        <v>185</v>
      </c>
      <c r="G48" s="18">
        <v>22</v>
      </c>
      <c r="H48" s="18">
        <v>20</v>
      </c>
      <c r="I48" s="18">
        <v>110</v>
      </c>
      <c r="J48" s="18">
        <v>98</v>
      </c>
      <c r="K48" s="18"/>
      <c r="L48" s="18"/>
      <c r="M48" s="18">
        <v>1</v>
      </c>
      <c r="N48" s="18">
        <v>30</v>
      </c>
      <c r="O48" s="18"/>
      <c r="P48" s="18">
        <v>10</v>
      </c>
      <c r="Q48" s="18"/>
      <c r="R48" s="18">
        <v>5</v>
      </c>
      <c r="S48" s="18">
        <v>4</v>
      </c>
      <c r="T48" s="18">
        <v>0</v>
      </c>
      <c r="U48" s="18">
        <v>37</v>
      </c>
      <c r="V48" s="18">
        <v>48</v>
      </c>
      <c r="W48" s="18"/>
      <c r="X48" s="18"/>
      <c r="Y48" s="18"/>
      <c r="Z48" s="18"/>
      <c r="AA48" s="18">
        <v>1</v>
      </c>
      <c r="AB48" s="18">
        <v>39</v>
      </c>
      <c r="AC48" s="18"/>
      <c r="AD48" s="18">
        <v>8</v>
      </c>
      <c r="AE48" s="18"/>
      <c r="AF48" s="18">
        <v>27</v>
      </c>
      <c r="AG48" s="18"/>
      <c r="AH48" s="18"/>
      <c r="AI48" s="18">
        <v>23</v>
      </c>
      <c r="AJ48" s="18">
        <v>16</v>
      </c>
      <c r="AK48" s="39">
        <v>10</v>
      </c>
      <c r="AL48" s="39">
        <v>30</v>
      </c>
      <c r="AM48" s="39">
        <v>70</v>
      </c>
      <c r="AN48" s="39">
        <v>14</v>
      </c>
      <c r="AO48" s="39">
        <v>9</v>
      </c>
      <c r="AP48" s="39">
        <v>1</v>
      </c>
      <c r="AQ48" s="39"/>
      <c r="AR48" s="39"/>
      <c r="AS48" s="39">
        <v>26</v>
      </c>
      <c r="AT48" s="39">
        <v>20</v>
      </c>
      <c r="AU48" s="39">
        <v>23</v>
      </c>
      <c r="AV48" s="39">
        <v>17</v>
      </c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39"/>
      <c r="BJ48" s="39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>
        <v>14</v>
      </c>
      <c r="BV48" s="18">
        <v>12</v>
      </c>
      <c r="BW48" s="18"/>
      <c r="BX48" s="18"/>
      <c r="BY48" s="18"/>
      <c r="BZ48" s="18"/>
      <c r="CA48" s="18">
        <v>8</v>
      </c>
      <c r="CB48" s="18">
        <v>2</v>
      </c>
      <c r="CC48" s="18">
        <v>160</v>
      </c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9">
        <f t="shared" ref="CY48" si="50">C48+E48+G48+I48+K48+M48+O48+Q48+S48+U48+W48+Y48+AA48+AC48+AE48+AG48+AI48+AK48+AM48+AO48+AQ48+AS48+AU48+AW48+AY48+BA48+BC48+BE48+BG48+BI48+BK48+BM48+BO48+BQ48+BS48+BU48+BW48+BY48+CA48+CC48+CE48+CG48+CI48+CK48+CM48+CO48+CQ48+CS48+CU48+CW48</f>
        <v>740</v>
      </c>
      <c r="CZ48" s="19">
        <f t="shared" ref="CZ48" si="51">D48+F48+H48+J48+L48+N48+P48+R48+T48+V48+X48+Z48+AB48+AD48+AF48+AH48+AJ48+AL48+AN48+AP48+AR48+AT48+AV48+AX48+AZ48+BB48+BD48+BF48+BH48+BJ48+BL48+BN48+BP48+BR48+BT48+BV48+BX48+BZ48+CB48+CD48+CF48+CH48+CJ48+CL48+CN48+CP48+CR48+CT48+CV48+CX48</f>
        <v>991</v>
      </c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</row>
    <row r="49" spans="1:122" ht="18" customHeight="1">
      <c r="A49" s="9" t="s">
        <v>77</v>
      </c>
      <c r="B49" s="15"/>
      <c r="C49" s="11">
        <f>SUMPRODUCT($B48*C48)</f>
        <v>41660.82</v>
      </c>
      <c r="D49" s="11">
        <f t="shared" ref="D49:BO49" si="52">SUMPRODUCT($B48*D48)</f>
        <v>82315.34</v>
      </c>
      <c r="E49" s="11">
        <f t="shared" si="52"/>
        <v>3018.8999999999996</v>
      </c>
      <c r="F49" s="11">
        <f t="shared" si="52"/>
        <v>37233.1</v>
      </c>
      <c r="G49" s="11">
        <f t="shared" si="52"/>
        <v>4427.7199999999993</v>
      </c>
      <c r="H49" s="11">
        <f t="shared" si="52"/>
        <v>4025.2</v>
      </c>
      <c r="I49" s="11">
        <f t="shared" si="52"/>
        <v>22138.6</v>
      </c>
      <c r="J49" s="11">
        <f t="shared" si="52"/>
        <v>19723.48</v>
      </c>
      <c r="K49" s="11">
        <f t="shared" si="52"/>
        <v>0</v>
      </c>
      <c r="L49" s="11">
        <f t="shared" si="52"/>
        <v>0</v>
      </c>
      <c r="M49" s="11">
        <f t="shared" si="52"/>
        <v>201.26</v>
      </c>
      <c r="N49" s="11">
        <f t="shared" si="52"/>
        <v>6037.7999999999993</v>
      </c>
      <c r="O49" s="11">
        <f t="shared" si="52"/>
        <v>0</v>
      </c>
      <c r="P49" s="11">
        <f t="shared" si="52"/>
        <v>2012.6</v>
      </c>
      <c r="Q49" s="11">
        <f t="shared" si="52"/>
        <v>0</v>
      </c>
      <c r="R49" s="11">
        <f t="shared" si="52"/>
        <v>1006.3</v>
      </c>
      <c r="S49" s="11">
        <f t="shared" si="52"/>
        <v>805.04</v>
      </c>
      <c r="T49" s="11">
        <f t="shared" si="52"/>
        <v>0</v>
      </c>
      <c r="U49" s="11">
        <f t="shared" si="52"/>
        <v>7446.62</v>
      </c>
      <c r="V49" s="11">
        <f t="shared" si="52"/>
        <v>9660.48</v>
      </c>
      <c r="W49" s="11">
        <f t="shared" si="52"/>
        <v>0</v>
      </c>
      <c r="X49" s="11">
        <f t="shared" si="52"/>
        <v>0</v>
      </c>
      <c r="Y49" s="11">
        <f t="shared" si="52"/>
        <v>0</v>
      </c>
      <c r="Z49" s="11">
        <f t="shared" si="52"/>
        <v>0</v>
      </c>
      <c r="AA49" s="11">
        <f t="shared" si="52"/>
        <v>201.26</v>
      </c>
      <c r="AB49" s="11">
        <f t="shared" si="52"/>
        <v>7849.1399999999994</v>
      </c>
      <c r="AC49" s="11">
        <f t="shared" si="52"/>
        <v>0</v>
      </c>
      <c r="AD49" s="11">
        <f t="shared" si="52"/>
        <v>1610.08</v>
      </c>
      <c r="AE49" s="11">
        <f t="shared" si="52"/>
        <v>0</v>
      </c>
      <c r="AF49" s="11">
        <f t="shared" si="52"/>
        <v>5434.0199999999995</v>
      </c>
      <c r="AG49" s="11">
        <f t="shared" si="52"/>
        <v>0</v>
      </c>
      <c r="AH49" s="11">
        <f t="shared" si="52"/>
        <v>0</v>
      </c>
      <c r="AI49" s="11">
        <f t="shared" si="52"/>
        <v>4628.9799999999996</v>
      </c>
      <c r="AJ49" s="11">
        <f t="shared" si="52"/>
        <v>3220.16</v>
      </c>
      <c r="AK49" s="40">
        <f t="shared" si="52"/>
        <v>2012.6</v>
      </c>
      <c r="AL49" s="40">
        <f t="shared" si="52"/>
        <v>6037.7999999999993</v>
      </c>
      <c r="AM49" s="40">
        <f t="shared" si="52"/>
        <v>14088.199999999999</v>
      </c>
      <c r="AN49" s="40">
        <f t="shared" si="52"/>
        <v>2817.64</v>
      </c>
      <c r="AO49" s="40">
        <f t="shared" si="52"/>
        <v>1811.34</v>
      </c>
      <c r="AP49" s="40">
        <f t="shared" si="52"/>
        <v>201.26</v>
      </c>
      <c r="AQ49" s="40">
        <f t="shared" si="52"/>
        <v>0</v>
      </c>
      <c r="AR49" s="40">
        <f t="shared" si="52"/>
        <v>0</v>
      </c>
      <c r="AS49" s="40">
        <f t="shared" si="52"/>
        <v>5232.76</v>
      </c>
      <c r="AT49" s="40">
        <f t="shared" si="52"/>
        <v>4025.2</v>
      </c>
      <c r="AU49" s="40">
        <f t="shared" si="52"/>
        <v>4628.9799999999996</v>
      </c>
      <c r="AV49" s="40">
        <f t="shared" si="52"/>
        <v>3421.42</v>
      </c>
      <c r="AW49" s="11">
        <f t="shared" si="52"/>
        <v>0</v>
      </c>
      <c r="AX49" s="11">
        <f t="shared" si="52"/>
        <v>0</v>
      </c>
      <c r="AY49" s="11">
        <f t="shared" si="52"/>
        <v>0</v>
      </c>
      <c r="AZ49" s="11">
        <f t="shared" si="52"/>
        <v>0</v>
      </c>
      <c r="BA49" s="11">
        <f t="shared" si="52"/>
        <v>0</v>
      </c>
      <c r="BB49" s="11">
        <f t="shared" si="52"/>
        <v>0</v>
      </c>
      <c r="BC49" s="11">
        <f t="shared" si="52"/>
        <v>0</v>
      </c>
      <c r="BD49" s="11">
        <f t="shared" si="52"/>
        <v>0</v>
      </c>
      <c r="BE49" s="11">
        <f t="shared" si="52"/>
        <v>0</v>
      </c>
      <c r="BF49" s="11">
        <f t="shared" si="52"/>
        <v>0</v>
      </c>
      <c r="BG49" s="11">
        <f t="shared" si="52"/>
        <v>0</v>
      </c>
      <c r="BH49" s="11">
        <f t="shared" si="52"/>
        <v>0</v>
      </c>
      <c r="BI49" s="40">
        <f t="shared" si="52"/>
        <v>0</v>
      </c>
      <c r="BJ49" s="40">
        <f t="shared" si="52"/>
        <v>0</v>
      </c>
      <c r="BK49" s="11">
        <f t="shared" si="52"/>
        <v>0</v>
      </c>
      <c r="BL49" s="11">
        <f t="shared" si="52"/>
        <v>0</v>
      </c>
      <c r="BM49" s="11">
        <f t="shared" si="52"/>
        <v>0</v>
      </c>
      <c r="BN49" s="11">
        <f t="shared" si="52"/>
        <v>0</v>
      </c>
      <c r="BO49" s="11">
        <f t="shared" si="52"/>
        <v>0</v>
      </c>
      <c r="BP49" s="11">
        <f t="shared" ref="BP49:CX49" si="53">SUMPRODUCT($B48*BP48)</f>
        <v>0</v>
      </c>
      <c r="BQ49" s="11">
        <f t="shared" si="53"/>
        <v>0</v>
      </c>
      <c r="BR49" s="11">
        <f t="shared" si="53"/>
        <v>0</v>
      </c>
      <c r="BS49" s="11">
        <f t="shared" si="53"/>
        <v>0</v>
      </c>
      <c r="BT49" s="11">
        <f t="shared" si="53"/>
        <v>0</v>
      </c>
      <c r="BU49" s="11">
        <f t="shared" si="53"/>
        <v>2817.64</v>
      </c>
      <c r="BV49" s="11">
        <f t="shared" si="53"/>
        <v>2415.12</v>
      </c>
      <c r="BW49" s="11">
        <f t="shared" si="53"/>
        <v>0</v>
      </c>
      <c r="BX49" s="11">
        <f t="shared" si="53"/>
        <v>0</v>
      </c>
      <c r="BY49" s="11">
        <f t="shared" si="53"/>
        <v>0</v>
      </c>
      <c r="BZ49" s="11">
        <f t="shared" si="53"/>
        <v>0</v>
      </c>
      <c r="CA49" s="11">
        <f t="shared" si="53"/>
        <v>1610.08</v>
      </c>
      <c r="CB49" s="11">
        <f t="shared" si="53"/>
        <v>402.52</v>
      </c>
      <c r="CC49" s="11">
        <f t="shared" si="53"/>
        <v>32201.599999999999</v>
      </c>
      <c r="CD49" s="11">
        <f t="shared" si="53"/>
        <v>0</v>
      </c>
      <c r="CE49" s="11">
        <f t="shared" si="53"/>
        <v>0</v>
      </c>
      <c r="CF49" s="11">
        <f t="shared" si="53"/>
        <v>0</v>
      </c>
      <c r="CG49" s="11">
        <f t="shared" si="53"/>
        <v>0</v>
      </c>
      <c r="CH49" s="11">
        <f t="shared" si="53"/>
        <v>0</v>
      </c>
      <c r="CI49" s="11">
        <f t="shared" si="53"/>
        <v>0</v>
      </c>
      <c r="CJ49" s="11">
        <f t="shared" si="53"/>
        <v>0</v>
      </c>
      <c r="CK49" s="11">
        <f t="shared" si="53"/>
        <v>0</v>
      </c>
      <c r="CL49" s="11">
        <f t="shared" si="53"/>
        <v>0</v>
      </c>
      <c r="CM49" s="11">
        <f t="shared" si="53"/>
        <v>0</v>
      </c>
      <c r="CN49" s="11">
        <f t="shared" si="53"/>
        <v>0</v>
      </c>
      <c r="CO49" s="11">
        <f t="shared" si="53"/>
        <v>0</v>
      </c>
      <c r="CP49" s="11">
        <f t="shared" si="53"/>
        <v>0</v>
      </c>
      <c r="CQ49" s="11">
        <f t="shared" si="53"/>
        <v>0</v>
      </c>
      <c r="CR49" s="11">
        <f t="shared" si="53"/>
        <v>0</v>
      </c>
      <c r="CS49" s="11">
        <f t="shared" si="53"/>
        <v>0</v>
      </c>
      <c r="CT49" s="11">
        <f t="shared" si="53"/>
        <v>0</v>
      </c>
      <c r="CU49" s="11">
        <f t="shared" si="53"/>
        <v>0</v>
      </c>
      <c r="CV49" s="11">
        <f t="shared" si="53"/>
        <v>0</v>
      </c>
      <c r="CW49" s="11">
        <f t="shared" si="53"/>
        <v>0</v>
      </c>
      <c r="CX49" s="11">
        <f t="shared" si="53"/>
        <v>0</v>
      </c>
      <c r="CY49" s="11">
        <f t="shared" ref="CY49" si="54">SUMPRODUCT($B48*CY48)</f>
        <v>148932.4</v>
      </c>
      <c r="CZ49" s="11">
        <f t="shared" ref="CZ49" si="55">SUMPRODUCT($B48*CZ48)</f>
        <v>199448.66</v>
      </c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</row>
    <row r="50" spans="1:122" ht="18" customHeight="1">
      <c r="A50" s="4" t="s">
        <v>82</v>
      </c>
      <c r="B50" s="14">
        <f>IFERROR(VLOOKUP(A50,PRICELIST!$A$3:$D$138,4,0),"-")</f>
        <v>170.19</v>
      </c>
      <c r="C50" s="18">
        <v>72</v>
      </c>
      <c r="D50" s="18">
        <v>125</v>
      </c>
      <c r="E50" s="18">
        <v>3</v>
      </c>
      <c r="F50" s="18">
        <v>11</v>
      </c>
      <c r="G50" s="18">
        <v>3</v>
      </c>
      <c r="H50" s="18">
        <v>6</v>
      </c>
      <c r="I50" s="18">
        <v>0</v>
      </c>
      <c r="J50" s="18">
        <v>7</v>
      </c>
      <c r="K50" s="18"/>
      <c r="L50" s="18"/>
      <c r="M50" s="18"/>
      <c r="N50" s="18">
        <v>30</v>
      </c>
      <c r="O50" s="18">
        <v>17</v>
      </c>
      <c r="P50" s="18">
        <v>17</v>
      </c>
      <c r="Q50" s="18"/>
      <c r="R50" s="18"/>
      <c r="S50" s="18"/>
      <c r="T50" s="18"/>
      <c r="U50" s="18">
        <v>19</v>
      </c>
      <c r="V50" s="18">
        <v>23</v>
      </c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>
        <v>5</v>
      </c>
      <c r="AJ50" s="18">
        <v>45</v>
      </c>
      <c r="AK50" s="39"/>
      <c r="AL50" s="39"/>
      <c r="AM50" s="39">
        <v>17</v>
      </c>
      <c r="AN50" s="39">
        <v>10</v>
      </c>
      <c r="AO50" s="39"/>
      <c r="AP50" s="39"/>
      <c r="AQ50" s="39"/>
      <c r="AR50" s="39"/>
      <c r="AS50" s="39"/>
      <c r="AT50" s="39"/>
      <c r="AU50" s="39"/>
      <c r="AV50" s="39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39"/>
      <c r="BJ50" s="39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>
        <v>9</v>
      </c>
      <c r="BV50" s="18">
        <v>7</v>
      </c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9">
        <f t="shared" ref="CY50:CY52" si="56">C50+E50+G50+I50+K50+M50+O50+Q50+S50+U50+W50+Y50+AA50+AC50+AE50+AG50+AI50+AK50+AM50+AO50+AQ50+AS50+AU50+AW50+AY50+BA50+BC50+BE50+BG50+BI50+BK50+BM50+BO50+BQ50+BS50+BU50+BW50+BY50+CA50+CC50+CE50+CG50+CI50+CK50+CM50+CO50+CQ50+CS50+CU50+CW50</f>
        <v>145</v>
      </c>
      <c r="CZ50" s="19">
        <f t="shared" ref="CZ50:CZ52" si="57">D50+F50+H50+J50+L50+N50+P50+R50+T50+V50+X50+Z50+AB50+AD50+AF50+AH50+AJ50+AL50+AN50+AP50+AR50+AT50+AV50+AX50+AZ50+BB50+BD50+BF50+BH50+BJ50+BL50+BN50+BP50+BR50+BT50+BV50+BX50+BZ50+CB50+CD50+CF50+CH50+CJ50+CL50+CN50+CP50+CR50+CT50+CV50+CX50</f>
        <v>281</v>
      </c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</row>
    <row r="51" spans="1:122" ht="18" customHeight="1">
      <c r="A51" s="4" t="s">
        <v>83</v>
      </c>
      <c r="B51" s="14">
        <f>IFERROR(VLOOKUP(A51,PRICELIST!$A$3:$D$138,4,0),"-")</f>
        <v>209.89</v>
      </c>
      <c r="C51" s="18">
        <v>28</v>
      </c>
      <c r="D51" s="18">
        <v>307</v>
      </c>
      <c r="E51" s="18"/>
      <c r="F51" s="18"/>
      <c r="G51" s="18">
        <v>9</v>
      </c>
      <c r="H51" s="18">
        <v>5</v>
      </c>
      <c r="I51" s="18">
        <v>6</v>
      </c>
      <c r="J51" s="18">
        <v>10</v>
      </c>
      <c r="K51" s="18"/>
      <c r="L51" s="18"/>
      <c r="M51" s="18">
        <v>24</v>
      </c>
      <c r="N51" s="18">
        <v>48</v>
      </c>
      <c r="O51" s="18">
        <v>12</v>
      </c>
      <c r="P51" s="18">
        <v>8</v>
      </c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>
        <v>12</v>
      </c>
      <c r="AB51" s="18">
        <v>24</v>
      </c>
      <c r="AC51" s="18"/>
      <c r="AD51" s="18"/>
      <c r="AE51" s="18"/>
      <c r="AF51" s="18"/>
      <c r="AG51" s="18"/>
      <c r="AH51" s="18"/>
      <c r="AI51" s="18"/>
      <c r="AJ51" s="18">
        <v>58</v>
      </c>
      <c r="AK51" s="39"/>
      <c r="AL51" s="39"/>
      <c r="AM51" s="39">
        <v>2</v>
      </c>
      <c r="AN51" s="39">
        <v>0</v>
      </c>
      <c r="AO51" s="39"/>
      <c r="AP51" s="39"/>
      <c r="AQ51" s="39"/>
      <c r="AR51" s="39"/>
      <c r="AS51" s="39"/>
      <c r="AT51" s="39"/>
      <c r="AU51" s="39"/>
      <c r="AV51" s="39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39"/>
      <c r="BJ51" s="39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9">
        <f t="shared" si="56"/>
        <v>93</v>
      </c>
      <c r="CZ51" s="19">
        <f t="shared" si="57"/>
        <v>460</v>
      </c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</row>
    <row r="52" spans="1:122" ht="18" customHeight="1">
      <c r="A52" s="4" t="s">
        <v>84</v>
      </c>
      <c r="B52" s="14">
        <f>IFERROR(VLOOKUP(A52,PRICELIST!$A$3:$D$138,4,0),"-")</f>
        <v>302.79000000000002</v>
      </c>
      <c r="C52" s="18">
        <v>20</v>
      </c>
      <c r="D52" s="18">
        <v>90</v>
      </c>
      <c r="E52" s="18"/>
      <c r="F52" s="18"/>
      <c r="G52" s="18"/>
      <c r="H52" s="18">
        <v>7</v>
      </c>
      <c r="I52" s="18">
        <v>3</v>
      </c>
      <c r="J52" s="18">
        <v>12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>
        <v>3</v>
      </c>
      <c r="V52" s="18">
        <v>7</v>
      </c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>
        <v>0</v>
      </c>
      <c r="AJ52" s="18">
        <v>27</v>
      </c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39"/>
      <c r="BJ52" s="39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>
        <v>12</v>
      </c>
      <c r="BV52" s="18">
        <v>12</v>
      </c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9">
        <f t="shared" si="56"/>
        <v>38</v>
      </c>
      <c r="CZ52" s="19">
        <f t="shared" si="57"/>
        <v>155</v>
      </c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</row>
    <row r="53" spans="1:122" ht="18" customHeight="1">
      <c r="A53" s="9" t="s">
        <v>89</v>
      </c>
      <c r="B53" s="15"/>
      <c r="C53" s="11">
        <f>SUMPRODUCT($B50:$B52,C50:C52)</f>
        <v>24186.399999999998</v>
      </c>
      <c r="D53" s="11">
        <f t="shared" ref="D53:BO53" si="58">SUMPRODUCT($B50:$B52,D50:D52)</f>
        <v>112961.08</v>
      </c>
      <c r="E53" s="11">
        <f t="shared" si="58"/>
        <v>510.57</v>
      </c>
      <c r="F53" s="11">
        <f t="shared" si="58"/>
        <v>1872.09</v>
      </c>
      <c r="G53" s="11">
        <f t="shared" si="58"/>
        <v>2399.58</v>
      </c>
      <c r="H53" s="11">
        <f t="shared" si="58"/>
        <v>4190.12</v>
      </c>
      <c r="I53" s="11">
        <f t="shared" si="58"/>
        <v>2167.71</v>
      </c>
      <c r="J53" s="11">
        <f t="shared" si="58"/>
        <v>6923.71</v>
      </c>
      <c r="K53" s="11">
        <f t="shared" si="58"/>
        <v>0</v>
      </c>
      <c r="L53" s="11">
        <f t="shared" si="58"/>
        <v>0</v>
      </c>
      <c r="M53" s="11">
        <f t="shared" si="58"/>
        <v>5037.3599999999997</v>
      </c>
      <c r="N53" s="11">
        <f t="shared" si="58"/>
        <v>15180.419999999998</v>
      </c>
      <c r="O53" s="11">
        <f t="shared" si="58"/>
        <v>5411.91</v>
      </c>
      <c r="P53" s="11">
        <f t="shared" si="58"/>
        <v>4572.3500000000004</v>
      </c>
      <c r="Q53" s="11">
        <f t="shared" si="58"/>
        <v>0</v>
      </c>
      <c r="R53" s="11">
        <f t="shared" si="58"/>
        <v>0</v>
      </c>
      <c r="S53" s="11">
        <f t="shared" si="58"/>
        <v>0</v>
      </c>
      <c r="T53" s="11">
        <f t="shared" si="58"/>
        <v>0</v>
      </c>
      <c r="U53" s="11">
        <f t="shared" si="58"/>
        <v>4141.9800000000005</v>
      </c>
      <c r="V53" s="11">
        <f t="shared" si="58"/>
        <v>6033.9</v>
      </c>
      <c r="W53" s="11">
        <f t="shared" si="58"/>
        <v>0</v>
      </c>
      <c r="X53" s="11">
        <f t="shared" si="58"/>
        <v>0</v>
      </c>
      <c r="Y53" s="11">
        <f t="shared" si="58"/>
        <v>0</v>
      </c>
      <c r="Z53" s="11">
        <f t="shared" si="58"/>
        <v>0</v>
      </c>
      <c r="AA53" s="11">
        <f t="shared" si="58"/>
        <v>2518.6799999999998</v>
      </c>
      <c r="AB53" s="11">
        <f t="shared" si="58"/>
        <v>5037.3599999999997</v>
      </c>
      <c r="AC53" s="11">
        <f t="shared" si="58"/>
        <v>0</v>
      </c>
      <c r="AD53" s="11">
        <f t="shared" si="58"/>
        <v>0</v>
      </c>
      <c r="AE53" s="11">
        <f t="shared" si="58"/>
        <v>0</v>
      </c>
      <c r="AF53" s="11">
        <f t="shared" si="58"/>
        <v>0</v>
      </c>
      <c r="AG53" s="11">
        <f t="shared" si="58"/>
        <v>0</v>
      </c>
      <c r="AH53" s="11">
        <f t="shared" si="58"/>
        <v>0</v>
      </c>
      <c r="AI53" s="11">
        <f t="shared" si="58"/>
        <v>850.95</v>
      </c>
      <c r="AJ53" s="11">
        <f t="shared" si="58"/>
        <v>28007.5</v>
      </c>
      <c r="AK53" s="40">
        <f t="shared" si="58"/>
        <v>0</v>
      </c>
      <c r="AL53" s="40">
        <f t="shared" si="58"/>
        <v>0</v>
      </c>
      <c r="AM53" s="40">
        <f t="shared" si="58"/>
        <v>3313.01</v>
      </c>
      <c r="AN53" s="40">
        <f t="shared" si="58"/>
        <v>1701.9</v>
      </c>
      <c r="AO53" s="40">
        <f t="shared" si="58"/>
        <v>0</v>
      </c>
      <c r="AP53" s="40">
        <f t="shared" si="58"/>
        <v>0</v>
      </c>
      <c r="AQ53" s="40">
        <f t="shared" si="58"/>
        <v>0</v>
      </c>
      <c r="AR53" s="40">
        <f t="shared" si="58"/>
        <v>0</v>
      </c>
      <c r="AS53" s="40">
        <f t="shared" si="58"/>
        <v>0</v>
      </c>
      <c r="AT53" s="40">
        <f t="shared" si="58"/>
        <v>0</v>
      </c>
      <c r="AU53" s="40">
        <f t="shared" si="58"/>
        <v>0</v>
      </c>
      <c r="AV53" s="40">
        <f t="shared" si="58"/>
        <v>0</v>
      </c>
      <c r="AW53" s="11">
        <f t="shared" si="58"/>
        <v>0</v>
      </c>
      <c r="AX53" s="11">
        <f t="shared" si="58"/>
        <v>0</v>
      </c>
      <c r="AY53" s="11">
        <f t="shared" si="58"/>
        <v>0</v>
      </c>
      <c r="AZ53" s="11">
        <f t="shared" si="58"/>
        <v>0</v>
      </c>
      <c r="BA53" s="11">
        <f t="shared" si="58"/>
        <v>0</v>
      </c>
      <c r="BB53" s="11">
        <f t="shared" si="58"/>
        <v>0</v>
      </c>
      <c r="BC53" s="11">
        <f t="shared" si="58"/>
        <v>0</v>
      </c>
      <c r="BD53" s="11">
        <f t="shared" si="58"/>
        <v>0</v>
      </c>
      <c r="BE53" s="11">
        <f t="shared" si="58"/>
        <v>0</v>
      </c>
      <c r="BF53" s="11">
        <f t="shared" si="58"/>
        <v>0</v>
      </c>
      <c r="BG53" s="11">
        <f t="shared" si="58"/>
        <v>0</v>
      </c>
      <c r="BH53" s="11">
        <f t="shared" si="58"/>
        <v>0</v>
      </c>
      <c r="BI53" s="40">
        <f t="shared" si="58"/>
        <v>0</v>
      </c>
      <c r="BJ53" s="40">
        <f t="shared" si="58"/>
        <v>0</v>
      </c>
      <c r="BK53" s="11">
        <f t="shared" si="58"/>
        <v>0</v>
      </c>
      <c r="BL53" s="11">
        <f t="shared" si="58"/>
        <v>0</v>
      </c>
      <c r="BM53" s="11">
        <f t="shared" si="58"/>
        <v>0</v>
      </c>
      <c r="BN53" s="11">
        <f t="shared" si="58"/>
        <v>0</v>
      </c>
      <c r="BO53" s="11">
        <f t="shared" si="58"/>
        <v>0</v>
      </c>
      <c r="BP53" s="11">
        <f t="shared" ref="BP53:CX53" si="59">SUMPRODUCT($B50:$B52,BP50:BP52)</f>
        <v>0</v>
      </c>
      <c r="BQ53" s="11">
        <f t="shared" si="59"/>
        <v>0</v>
      </c>
      <c r="BR53" s="11">
        <f t="shared" si="59"/>
        <v>0</v>
      </c>
      <c r="BS53" s="11">
        <f t="shared" si="59"/>
        <v>0</v>
      </c>
      <c r="BT53" s="11">
        <f t="shared" si="59"/>
        <v>0</v>
      </c>
      <c r="BU53" s="11">
        <f t="shared" si="59"/>
        <v>5165.1900000000005</v>
      </c>
      <c r="BV53" s="11">
        <f t="shared" si="59"/>
        <v>4824.8100000000004</v>
      </c>
      <c r="BW53" s="11">
        <f t="shared" si="59"/>
        <v>0</v>
      </c>
      <c r="BX53" s="11">
        <f t="shared" si="59"/>
        <v>0</v>
      </c>
      <c r="BY53" s="11">
        <f t="shared" si="59"/>
        <v>0</v>
      </c>
      <c r="BZ53" s="11">
        <f t="shared" si="59"/>
        <v>0</v>
      </c>
      <c r="CA53" s="11">
        <f t="shared" si="59"/>
        <v>0</v>
      </c>
      <c r="CB53" s="11">
        <f t="shared" si="59"/>
        <v>0</v>
      </c>
      <c r="CC53" s="11">
        <f t="shared" si="59"/>
        <v>0</v>
      </c>
      <c r="CD53" s="11">
        <f t="shared" si="59"/>
        <v>0</v>
      </c>
      <c r="CE53" s="11">
        <f t="shared" si="59"/>
        <v>0</v>
      </c>
      <c r="CF53" s="11">
        <f t="shared" si="59"/>
        <v>0</v>
      </c>
      <c r="CG53" s="11">
        <f t="shared" si="59"/>
        <v>0</v>
      </c>
      <c r="CH53" s="11">
        <f t="shared" si="59"/>
        <v>0</v>
      </c>
      <c r="CI53" s="11">
        <f t="shared" si="59"/>
        <v>0</v>
      </c>
      <c r="CJ53" s="11">
        <f t="shared" si="59"/>
        <v>0</v>
      </c>
      <c r="CK53" s="11">
        <f t="shared" si="59"/>
        <v>0</v>
      </c>
      <c r="CL53" s="11">
        <f t="shared" si="59"/>
        <v>0</v>
      </c>
      <c r="CM53" s="11">
        <f t="shared" si="59"/>
        <v>0</v>
      </c>
      <c r="CN53" s="11">
        <f t="shared" si="59"/>
        <v>0</v>
      </c>
      <c r="CO53" s="11">
        <f t="shared" si="59"/>
        <v>0</v>
      </c>
      <c r="CP53" s="11">
        <f t="shared" si="59"/>
        <v>0</v>
      </c>
      <c r="CQ53" s="11">
        <f t="shared" si="59"/>
        <v>0</v>
      </c>
      <c r="CR53" s="11">
        <f t="shared" si="59"/>
        <v>0</v>
      </c>
      <c r="CS53" s="11">
        <f t="shared" si="59"/>
        <v>0</v>
      </c>
      <c r="CT53" s="11">
        <f t="shared" si="59"/>
        <v>0</v>
      </c>
      <c r="CU53" s="11">
        <f t="shared" si="59"/>
        <v>0</v>
      </c>
      <c r="CV53" s="11">
        <f t="shared" si="59"/>
        <v>0</v>
      </c>
      <c r="CW53" s="11">
        <f t="shared" si="59"/>
        <v>0</v>
      </c>
      <c r="CX53" s="11">
        <f t="shared" si="59"/>
        <v>0</v>
      </c>
      <c r="CY53" s="11">
        <f t="shared" ref="CY53" si="60">SUMPRODUCT($B50:$B52,CY50:CY52)</f>
        <v>55703.34</v>
      </c>
      <c r="CZ53" s="11">
        <f t="shared" ref="CZ53" si="61">SUMPRODUCT($B50:$B52,CZ50:CZ52)</f>
        <v>191305.24</v>
      </c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</row>
    <row r="54" spans="1:122" ht="18" customHeight="1">
      <c r="A54" s="13" t="s">
        <v>36</v>
      </c>
      <c r="B54" s="14">
        <f>IFERROR(VLOOKUP(A54,PRICELIST!$A$3:$D$138,4,0),"-")</f>
        <v>508.18</v>
      </c>
      <c r="C54" s="18">
        <v>80</v>
      </c>
      <c r="D54" s="18">
        <v>180</v>
      </c>
      <c r="E54" s="18"/>
      <c r="F54" s="18"/>
      <c r="G54" s="18">
        <v>18</v>
      </c>
      <c r="H54" s="18">
        <v>9</v>
      </c>
      <c r="I54" s="18">
        <v>1</v>
      </c>
      <c r="J54" s="18">
        <v>15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>
        <v>1</v>
      </c>
      <c r="V54" s="18">
        <v>1</v>
      </c>
      <c r="W54" s="18"/>
      <c r="X54" s="18">
        <v>7</v>
      </c>
      <c r="Y54" s="18"/>
      <c r="Z54" s="18"/>
      <c r="AA54" s="18"/>
      <c r="AB54" s="18"/>
      <c r="AC54" s="18"/>
      <c r="AD54" s="18"/>
      <c r="AE54" s="18"/>
      <c r="AF54" s="18">
        <v>15</v>
      </c>
      <c r="AG54" s="18"/>
      <c r="AH54" s="18"/>
      <c r="AI54" s="18">
        <v>0</v>
      </c>
      <c r="AJ54" s="18">
        <v>18</v>
      </c>
      <c r="AK54" s="39"/>
      <c r="AL54" s="39"/>
      <c r="AM54" s="39">
        <v>6</v>
      </c>
      <c r="AN54" s="39">
        <v>6</v>
      </c>
      <c r="AO54" s="39"/>
      <c r="AP54" s="39"/>
      <c r="AQ54" s="39">
        <v>0</v>
      </c>
      <c r="AR54" s="39">
        <v>20</v>
      </c>
      <c r="AS54" s="39">
        <v>0</v>
      </c>
      <c r="AT54" s="39">
        <v>13</v>
      </c>
      <c r="AU54" s="39"/>
      <c r="AV54" s="39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39"/>
      <c r="BJ54" s="39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>
        <v>5</v>
      </c>
      <c r="BV54" s="18">
        <v>2</v>
      </c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9">
        <f t="shared" ref="CY54:CY58" si="62">C54+E54+G54+I54+K54+M54+O54+Q54+S54+U54+W54+Y54+AA54+AC54+AE54+AG54+AI54+AK54+AM54+AO54+AQ54+AS54+AU54+AW54+AY54+BA54+BC54+BE54+BG54+BI54+BK54+BM54+BO54+BQ54+BS54+BU54+BW54+BY54+CA54+CC54+CE54+CG54+CI54+CK54+CM54+CO54+CQ54+CS54+CU54+CW54</f>
        <v>111</v>
      </c>
      <c r="CZ54" s="19">
        <f t="shared" ref="CZ54:CZ58" si="63">D54+F54+H54+J54+L54+N54+P54+R54+T54+V54+X54+Z54+AB54+AD54+AF54+AH54+AJ54+AL54+AN54+AP54+AR54+AT54+AV54+AX54+AZ54+BB54+BD54+BF54+BH54+BJ54+BL54+BN54+BP54+BR54+BT54+BV54+BX54+BZ54+CB54+CD54+CF54+CH54+CJ54+CL54+CN54+CP54+CR54+CT54+CV54+CX54</f>
        <v>286</v>
      </c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</row>
    <row r="55" spans="1:122" ht="18" customHeight="1">
      <c r="A55" s="13" t="s">
        <v>37</v>
      </c>
      <c r="B55" s="14">
        <f>IFERROR(VLOOKUP(A55,PRICELIST!$A$3:$D$138,4,0),"-")</f>
        <v>115.71</v>
      </c>
      <c r="C55" s="18"/>
      <c r="D55" s="18">
        <v>10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>
        <v>30</v>
      </c>
      <c r="AC55" s="18"/>
      <c r="AD55" s="18"/>
      <c r="AE55" s="18"/>
      <c r="AF55" s="18"/>
      <c r="AG55" s="18"/>
      <c r="AH55" s="18"/>
      <c r="AI55" s="18"/>
      <c r="AJ55" s="18"/>
      <c r="AK55" s="39"/>
      <c r="AL55" s="39"/>
      <c r="AM55" s="39"/>
      <c r="AN55" s="39"/>
      <c r="AO55" s="39"/>
      <c r="AP55" s="39"/>
      <c r="AQ55" s="39">
        <v>0</v>
      </c>
      <c r="AR55" s="39">
        <v>10</v>
      </c>
      <c r="AS55" s="39"/>
      <c r="AT55" s="39"/>
      <c r="AU55" s="39"/>
      <c r="AV55" s="39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39"/>
      <c r="BJ55" s="39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9">
        <f t="shared" si="62"/>
        <v>0</v>
      </c>
      <c r="CZ55" s="19">
        <f t="shared" si="63"/>
        <v>50</v>
      </c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</row>
    <row r="56" spans="1:122" ht="18" customHeight="1">
      <c r="A56" s="13" t="s">
        <v>38</v>
      </c>
      <c r="B56" s="14">
        <f>IFERROR(VLOOKUP(A56,PRICELIST!$A$3:$D$138,4,0),"-")</f>
        <v>207.64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39"/>
      <c r="BJ56" s="39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9">
        <f t="shared" si="62"/>
        <v>0</v>
      </c>
      <c r="CZ56" s="19">
        <f t="shared" si="63"/>
        <v>0</v>
      </c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</row>
    <row r="57" spans="1:122" ht="18" customHeight="1">
      <c r="A57" s="13" t="s">
        <v>39</v>
      </c>
      <c r="B57" s="14">
        <f>IFERROR(VLOOKUP(A57,PRICELIST!$A$3:$D$138,4,0),"-")</f>
        <v>576.96</v>
      </c>
      <c r="C57" s="18">
        <v>9</v>
      </c>
      <c r="D57" s="18">
        <v>70</v>
      </c>
      <c r="E57" s="18">
        <v>21</v>
      </c>
      <c r="F57" s="18">
        <v>98</v>
      </c>
      <c r="G57" s="18">
        <v>19</v>
      </c>
      <c r="H57" s="18">
        <v>19</v>
      </c>
      <c r="I57" s="18">
        <v>12</v>
      </c>
      <c r="J57" s="18">
        <v>16</v>
      </c>
      <c r="K57" s="18"/>
      <c r="L57" s="18"/>
      <c r="M57" s="18"/>
      <c r="N57" s="18">
        <v>52</v>
      </c>
      <c r="O57" s="18"/>
      <c r="P57" s="18"/>
      <c r="Q57" s="18"/>
      <c r="R57" s="18"/>
      <c r="S57" s="18">
        <v>13</v>
      </c>
      <c r="T57" s="18">
        <v>7</v>
      </c>
      <c r="U57" s="18">
        <v>48</v>
      </c>
      <c r="V57" s="18">
        <v>32</v>
      </c>
      <c r="W57" s="18"/>
      <c r="X57" s="18">
        <v>2</v>
      </c>
      <c r="Y57" s="18"/>
      <c r="Z57" s="18"/>
      <c r="AA57" s="18">
        <v>19</v>
      </c>
      <c r="AB57" s="18">
        <v>22</v>
      </c>
      <c r="AC57" s="18"/>
      <c r="AD57" s="18"/>
      <c r="AE57" s="18"/>
      <c r="AF57" s="18">
        <v>20</v>
      </c>
      <c r="AG57" s="18"/>
      <c r="AH57" s="18"/>
      <c r="AI57" s="18">
        <v>133</v>
      </c>
      <c r="AJ57" s="18">
        <v>30</v>
      </c>
      <c r="AK57" s="39"/>
      <c r="AL57" s="39"/>
      <c r="AM57" s="39">
        <v>25</v>
      </c>
      <c r="AN57" s="39">
        <v>13</v>
      </c>
      <c r="AO57" s="39">
        <v>0</v>
      </c>
      <c r="AP57" s="39">
        <v>1</v>
      </c>
      <c r="AQ57" s="39">
        <v>48</v>
      </c>
      <c r="AR57" s="39">
        <v>22</v>
      </c>
      <c r="AS57" s="39"/>
      <c r="AT57" s="39"/>
      <c r="AU57" s="39">
        <v>0</v>
      </c>
      <c r="AV57" s="39">
        <v>7</v>
      </c>
      <c r="AW57" s="18"/>
      <c r="AX57" s="18"/>
      <c r="AY57" s="18"/>
      <c r="AZ57" s="18"/>
      <c r="BA57" s="18"/>
      <c r="BB57" s="18"/>
      <c r="BC57" s="18"/>
      <c r="BD57" s="18"/>
      <c r="BE57" s="18">
        <v>15</v>
      </c>
      <c r="BF57" s="18">
        <v>5</v>
      </c>
      <c r="BG57" s="18">
        <v>5</v>
      </c>
      <c r="BH57" s="18">
        <v>7</v>
      </c>
      <c r="BI57" s="39"/>
      <c r="BJ57" s="39"/>
      <c r="BK57" s="18"/>
      <c r="BL57" s="18"/>
      <c r="BM57" s="18"/>
      <c r="BN57" s="18">
        <v>1</v>
      </c>
      <c r="BO57" s="18"/>
      <c r="BP57" s="18"/>
      <c r="BQ57" s="18"/>
      <c r="BR57" s="18"/>
      <c r="BS57" s="18"/>
      <c r="BT57" s="18"/>
      <c r="BU57" s="18">
        <v>21</v>
      </c>
      <c r="BV57" s="18">
        <v>20</v>
      </c>
      <c r="BW57" s="18"/>
      <c r="BX57" s="18"/>
      <c r="BY57" s="18"/>
      <c r="BZ57" s="18"/>
      <c r="CA57" s="18"/>
      <c r="CB57" s="18"/>
      <c r="CC57" s="18">
        <v>60</v>
      </c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9">
        <f t="shared" si="62"/>
        <v>448</v>
      </c>
      <c r="CZ57" s="19">
        <f t="shared" si="63"/>
        <v>444</v>
      </c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</row>
    <row r="58" spans="1:122" ht="18" customHeight="1">
      <c r="A58" s="13" t="s">
        <v>40</v>
      </c>
      <c r="B58" s="14">
        <f>IFERROR(VLOOKUP(A58,PRICELIST!$A$3:$D$138,4,0),"-")</f>
        <v>635.30999999999995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>
        <v>4</v>
      </c>
      <c r="W58" s="18">
        <v>1</v>
      </c>
      <c r="X58" s="18">
        <v>6</v>
      </c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>
        <v>0</v>
      </c>
      <c r="AJ58" s="18">
        <v>7</v>
      </c>
      <c r="AK58" s="39"/>
      <c r="AL58" s="39"/>
      <c r="AM58" s="39">
        <v>0</v>
      </c>
      <c r="AN58" s="39">
        <v>5</v>
      </c>
      <c r="AO58" s="39"/>
      <c r="AP58" s="39"/>
      <c r="AQ58" s="39">
        <v>0</v>
      </c>
      <c r="AR58" s="39">
        <v>7</v>
      </c>
      <c r="AS58" s="39">
        <v>0</v>
      </c>
      <c r="AT58" s="39">
        <v>3</v>
      </c>
      <c r="AU58" s="39"/>
      <c r="AV58" s="39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39"/>
      <c r="BJ58" s="39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9">
        <f t="shared" si="62"/>
        <v>1</v>
      </c>
      <c r="CZ58" s="19">
        <f t="shared" si="63"/>
        <v>32</v>
      </c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</row>
    <row r="59" spans="1:122" ht="18" customHeight="1">
      <c r="A59" s="9" t="s">
        <v>41</v>
      </c>
      <c r="B59" s="10"/>
      <c r="C59" s="11">
        <f>SUMPRODUCT($B54:$B58,C54:C58)</f>
        <v>45847.040000000001</v>
      </c>
      <c r="D59" s="11">
        <f t="shared" ref="D59:BO59" si="64">SUMPRODUCT($B54:$B58,D54:D58)</f>
        <v>133016.70000000001</v>
      </c>
      <c r="E59" s="11">
        <f t="shared" si="64"/>
        <v>12116.16</v>
      </c>
      <c r="F59" s="11">
        <f t="shared" si="64"/>
        <v>56542.080000000002</v>
      </c>
      <c r="G59" s="11">
        <f t="shared" si="64"/>
        <v>20109.480000000003</v>
      </c>
      <c r="H59" s="11">
        <f t="shared" si="64"/>
        <v>15535.86</v>
      </c>
      <c r="I59" s="11">
        <f t="shared" si="64"/>
        <v>7431.7000000000007</v>
      </c>
      <c r="J59" s="11">
        <f t="shared" si="64"/>
        <v>16854.060000000001</v>
      </c>
      <c r="K59" s="11">
        <f t="shared" si="64"/>
        <v>0</v>
      </c>
      <c r="L59" s="11">
        <f t="shared" si="64"/>
        <v>0</v>
      </c>
      <c r="M59" s="11">
        <f t="shared" si="64"/>
        <v>0</v>
      </c>
      <c r="N59" s="11">
        <f t="shared" si="64"/>
        <v>30001.920000000002</v>
      </c>
      <c r="O59" s="11">
        <f t="shared" si="64"/>
        <v>0</v>
      </c>
      <c r="P59" s="11">
        <f t="shared" si="64"/>
        <v>0</v>
      </c>
      <c r="Q59" s="11">
        <f t="shared" si="64"/>
        <v>0</v>
      </c>
      <c r="R59" s="11">
        <f t="shared" si="64"/>
        <v>0</v>
      </c>
      <c r="S59" s="11">
        <f t="shared" si="64"/>
        <v>7500.4800000000005</v>
      </c>
      <c r="T59" s="11">
        <f t="shared" si="64"/>
        <v>4038.7200000000003</v>
      </c>
      <c r="U59" s="11">
        <f t="shared" si="64"/>
        <v>28202.260000000002</v>
      </c>
      <c r="V59" s="11">
        <f t="shared" si="64"/>
        <v>21512.14</v>
      </c>
      <c r="W59" s="11">
        <f t="shared" si="64"/>
        <v>635.30999999999995</v>
      </c>
      <c r="X59" s="11">
        <f t="shared" si="64"/>
        <v>8523.0400000000009</v>
      </c>
      <c r="Y59" s="11">
        <f t="shared" si="64"/>
        <v>0</v>
      </c>
      <c r="Z59" s="11">
        <f t="shared" si="64"/>
        <v>0</v>
      </c>
      <c r="AA59" s="11">
        <f t="shared" si="64"/>
        <v>10962.240000000002</v>
      </c>
      <c r="AB59" s="11">
        <f t="shared" si="64"/>
        <v>16164.42</v>
      </c>
      <c r="AC59" s="11">
        <f t="shared" si="64"/>
        <v>0</v>
      </c>
      <c r="AD59" s="11">
        <f t="shared" si="64"/>
        <v>0</v>
      </c>
      <c r="AE59" s="11">
        <f t="shared" si="64"/>
        <v>0</v>
      </c>
      <c r="AF59" s="11">
        <f t="shared" si="64"/>
        <v>19161.900000000001</v>
      </c>
      <c r="AG59" s="11">
        <f t="shared" si="64"/>
        <v>0</v>
      </c>
      <c r="AH59" s="11">
        <f t="shared" si="64"/>
        <v>0</v>
      </c>
      <c r="AI59" s="11">
        <f t="shared" si="64"/>
        <v>76735.680000000008</v>
      </c>
      <c r="AJ59" s="11">
        <f t="shared" si="64"/>
        <v>30903.21</v>
      </c>
      <c r="AK59" s="40">
        <f t="shared" si="64"/>
        <v>0</v>
      </c>
      <c r="AL59" s="40">
        <f t="shared" si="64"/>
        <v>0</v>
      </c>
      <c r="AM59" s="40">
        <f t="shared" si="64"/>
        <v>17473.080000000002</v>
      </c>
      <c r="AN59" s="40">
        <f t="shared" si="64"/>
        <v>13726.11</v>
      </c>
      <c r="AO59" s="40">
        <f t="shared" si="64"/>
        <v>0</v>
      </c>
      <c r="AP59" s="40">
        <f t="shared" si="64"/>
        <v>576.96</v>
      </c>
      <c r="AQ59" s="40">
        <f t="shared" si="64"/>
        <v>27694.080000000002</v>
      </c>
      <c r="AR59" s="40">
        <f t="shared" si="64"/>
        <v>28460.989999999998</v>
      </c>
      <c r="AS59" s="40">
        <f t="shared" si="64"/>
        <v>0</v>
      </c>
      <c r="AT59" s="40">
        <f t="shared" si="64"/>
        <v>8512.27</v>
      </c>
      <c r="AU59" s="40">
        <f t="shared" si="64"/>
        <v>0</v>
      </c>
      <c r="AV59" s="40">
        <f t="shared" si="64"/>
        <v>4038.7200000000003</v>
      </c>
      <c r="AW59" s="11">
        <f t="shared" si="64"/>
        <v>0</v>
      </c>
      <c r="AX59" s="11">
        <f t="shared" si="64"/>
        <v>0</v>
      </c>
      <c r="AY59" s="11">
        <f t="shared" si="64"/>
        <v>0</v>
      </c>
      <c r="AZ59" s="11">
        <f t="shared" si="64"/>
        <v>0</v>
      </c>
      <c r="BA59" s="11">
        <f t="shared" si="64"/>
        <v>0</v>
      </c>
      <c r="BB59" s="11">
        <f t="shared" si="64"/>
        <v>0</v>
      </c>
      <c r="BC59" s="11">
        <f t="shared" si="64"/>
        <v>0</v>
      </c>
      <c r="BD59" s="11">
        <f t="shared" si="64"/>
        <v>0</v>
      </c>
      <c r="BE59" s="11">
        <f t="shared" si="64"/>
        <v>8654.4000000000015</v>
      </c>
      <c r="BF59" s="11">
        <f t="shared" si="64"/>
        <v>2884.8</v>
      </c>
      <c r="BG59" s="11">
        <f t="shared" si="64"/>
        <v>2884.8</v>
      </c>
      <c r="BH59" s="11">
        <f t="shared" si="64"/>
        <v>4038.7200000000003</v>
      </c>
      <c r="BI59" s="40">
        <f t="shared" si="64"/>
        <v>0</v>
      </c>
      <c r="BJ59" s="40">
        <f t="shared" si="64"/>
        <v>0</v>
      </c>
      <c r="BK59" s="11">
        <f t="shared" si="64"/>
        <v>0</v>
      </c>
      <c r="BL59" s="11">
        <f t="shared" si="64"/>
        <v>0</v>
      </c>
      <c r="BM59" s="11">
        <f t="shared" si="64"/>
        <v>0</v>
      </c>
      <c r="BN59" s="11">
        <f t="shared" si="64"/>
        <v>576.96</v>
      </c>
      <c r="BO59" s="11">
        <f t="shared" si="64"/>
        <v>0</v>
      </c>
      <c r="BP59" s="11">
        <f t="shared" ref="BP59:CX59" si="65">SUMPRODUCT($B54:$B58,BP54:BP58)</f>
        <v>0</v>
      </c>
      <c r="BQ59" s="11">
        <f t="shared" si="65"/>
        <v>0</v>
      </c>
      <c r="BR59" s="11">
        <f t="shared" si="65"/>
        <v>0</v>
      </c>
      <c r="BS59" s="11">
        <f t="shared" si="65"/>
        <v>0</v>
      </c>
      <c r="BT59" s="11">
        <f t="shared" si="65"/>
        <v>0</v>
      </c>
      <c r="BU59" s="11">
        <f t="shared" si="65"/>
        <v>14657.06</v>
      </c>
      <c r="BV59" s="11">
        <f t="shared" si="65"/>
        <v>12555.560000000001</v>
      </c>
      <c r="BW59" s="11">
        <f t="shared" si="65"/>
        <v>0</v>
      </c>
      <c r="BX59" s="11">
        <f t="shared" si="65"/>
        <v>0</v>
      </c>
      <c r="BY59" s="11">
        <f t="shared" si="65"/>
        <v>0</v>
      </c>
      <c r="BZ59" s="11">
        <f t="shared" si="65"/>
        <v>0</v>
      </c>
      <c r="CA59" s="11">
        <f t="shared" si="65"/>
        <v>0</v>
      </c>
      <c r="CB59" s="11">
        <f t="shared" si="65"/>
        <v>0</v>
      </c>
      <c r="CC59" s="11">
        <f t="shared" si="65"/>
        <v>34617.600000000006</v>
      </c>
      <c r="CD59" s="11">
        <f t="shared" si="65"/>
        <v>0</v>
      </c>
      <c r="CE59" s="11">
        <f t="shared" si="65"/>
        <v>0</v>
      </c>
      <c r="CF59" s="11">
        <f t="shared" si="65"/>
        <v>0</v>
      </c>
      <c r="CG59" s="11">
        <f t="shared" si="65"/>
        <v>0</v>
      </c>
      <c r="CH59" s="11">
        <f t="shared" si="65"/>
        <v>0</v>
      </c>
      <c r="CI59" s="11">
        <f t="shared" si="65"/>
        <v>0</v>
      </c>
      <c r="CJ59" s="11">
        <f t="shared" si="65"/>
        <v>0</v>
      </c>
      <c r="CK59" s="11">
        <f t="shared" si="65"/>
        <v>0</v>
      </c>
      <c r="CL59" s="11">
        <f t="shared" si="65"/>
        <v>0</v>
      </c>
      <c r="CM59" s="11">
        <f t="shared" si="65"/>
        <v>0</v>
      </c>
      <c r="CN59" s="11">
        <f t="shared" si="65"/>
        <v>0</v>
      </c>
      <c r="CO59" s="11">
        <f t="shared" si="65"/>
        <v>0</v>
      </c>
      <c r="CP59" s="11">
        <f t="shared" si="65"/>
        <v>0</v>
      </c>
      <c r="CQ59" s="11">
        <f t="shared" si="65"/>
        <v>0</v>
      </c>
      <c r="CR59" s="11">
        <f t="shared" si="65"/>
        <v>0</v>
      </c>
      <c r="CS59" s="11">
        <f t="shared" si="65"/>
        <v>0</v>
      </c>
      <c r="CT59" s="11">
        <f t="shared" si="65"/>
        <v>0</v>
      </c>
      <c r="CU59" s="11">
        <f t="shared" si="65"/>
        <v>0</v>
      </c>
      <c r="CV59" s="11">
        <f t="shared" si="65"/>
        <v>0</v>
      </c>
      <c r="CW59" s="11">
        <f t="shared" si="65"/>
        <v>0</v>
      </c>
      <c r="CX59" s="11">
        <f t="shared" si="65"/>
        <v>0</v>
      </c>
      <c r="CY59" s="11">
        <f t="shared" ref="CY59" si="66">SUMPRODUCT($B54:$B58,CY54:CY58)</f>
        <v>315521.37</v>
      </c>
      <c r="CZ59" s="11">
        <f t="shared" ref="CZ59" si="67">SUMPRODUCT($B54:$B58,CZ54:CZ58)</f>
        <v>427625.14</v>
      </c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</row>
    <row r="60" spans="1:122" ht="18" customHeight="1">
      <c r="A60" s="13" t="s">
        <v>133</v>
      </c>
      <c r="B60" s="14">
        <f>IFERROR(VLOOKUP(A60,PRICELIST!$A$3:$D$138,4,0),"-")</f>
        <v>23.41</v>
      </c>
      <c r="C60" s="18"/>
      <c r="D60" s="18">
        <v>200</v>
      </c>
      <c r="E60" s="18">
        <v>3</v>
      </c>
      <c r="F60" s="18">
        <v>27</v>
      </c>
      <c r="G60" s="18"/>
      <c r="H60" s="18"/>
      <c r="I60" s="18"/>
      <c r="J60" s="18"/>
      <c r="K60" s="18"/>
      <c r="L60" s="18"/>
      <c r="M60" s="18"/>
      <c r="N60" s="18">
        <v>30</v>
      </c>
      <c r="O60" s="18"/>
      <c r="P60" s="18"/>
      <c r="Q60" s="18"/>
      <c r="R60" s="18">
        <v>30</v>
      </c>
      <c r="S60" s="18"/>
      <c r="T60" s="18">
        <v>10</v>
      </c>
      <c r="U60" s="18"/>
      <c r="V60" s="18">
        <v>30</v>
      </c>
      <c r="W60" s="18"/>
      <c r="X60" s="18"/>
      <c r="Y60" s="18"/>
      <c r="Z60" s="18"/>
      <c r="AA60" s="18"/>
      <c r="AB60" s="18">
        <v>30</v>
      </c>
      <c r="AC60" s="18"/>
      <c r="AD60" s="18"/>
      <c r="AE60" s="18"/>
      <c r="AF60" s="18"/>
      <c r="AG60" s="18">
        <v>5</v>
      </c>
      <c r="AH60" s="18">
        <v>5</v>
      </c>
      <c r="AI60" s="18"/>
      <c r="AJ60" s="18">
        <v>30</v>
      </c>
      <c r="AK60" s="39">
        <v>3</v>
      </c>
      <c r="AL60" s="39">
        <v>17</v>
      </c>
      <c r="AM60" s="39">
        <v>30</v>
      </c>
      <c r="AN60" s="39">
        <v>0</v>
      </c>
      <c r="AO60" s="39"/>
      <c r="AP60" s="39"/>
      <c r="AQ60" s="39"/>
      <c r="AR60" s="39"/>
      <c r="AS60" s="39"/>
      <c r="AT60" s="39"/>
      <c r="AU60" s="39">
        <v>15</v>
      </c>
      <c r="AV60" s="39">
        <v>29</v>
      </c>
      <c r="AW60" s="18"/>
      <c r="AX60" s="18"/>
      <c r="AY60" s="18"/>
      <c r="AZ60" s="18"/>
      <c r="BA60" s="18"/>
      <c r="BB60" s="18"/>
      <c r="BC60" s="18"/>
      <c r="BD60" s="18"/>
      <c r="BE60" s="18">
        <v>5</v>
      </c>
      <c r="BF60" s="18">
        <v>5</v>
      </c>
      <c r="BG60" s="18"/>
      <c r="BH60" s="18"/>
      <c r="BI60" s="39"/>
      <c r="BJ60" s="39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9">
        <f t="shared" ref="CY60" si="68">C60+E60+G60+I60+K60+M60+O60+Q60+S60+U60+W60+Y60+AA60+AC60+AE60+AG60+AI60+AK60+AM60+AO60+AQ60+AS60+AU60+AW60+AY60+BA60+BC60+BE60+BG60+BI60+BK60+BM60+BO60+BQ60+BS60+BU60+BW60+BY60+CA60+CC60+CE60+CG60+CI60+CK60+CM60+CO60+CQ60+CS60+CU60+CW60</f>
        <v>61</v>
      </c>
      <c r="CZ60" s="19">
        <f t="shared" ref="CZ60" si="69">D60+F60+H60+J60+L60+N60+P60+R60+T60+V60+X60+Z60+AB60+AD60+AF60+AH60+AJ60+AL60+AN60+AP60+AR60+AT60+AV60+AX60+AZ60+BB60+BD60+BF60+BH60+BJ60+BL60+BN60+BP60+BR60+BT60+BV60+BX60+BZ60+CB60+CD60+CF60+CH60+CJ60+CL60+CN60+CP60+CR60+CT60+CV60+CX60</f>
        <v>443</v>
      </c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</row>
    <row r="61" spans="1:122" ht="18" customHeight="1">
      <c r="A61" s="13" t="s">
        <v>42</v>
      </c>
      <c r="B61" s="14">
        <f>IFERROR(VLOOKUP(A61,PRICELIST!$A$3:$D$138,4,0),"-")</f>
        <v>23.57</v>
      </c>
      <c r="C61" s="18">
        <v>710</v>
      </c>
      <c r="D61" s="18">
        <v>1185</v>
      </c>
      <c r="E61" s="18">
        <v>176</v>
      </c>
      <c r="F61" s="18">
        <v>124</v>
      </c>
      <c r="G61" s="18">
        <v>115</v>
      </c>
      <c r="H61" s="18">
        <v>77</v>
      </c>
      <c r="I61" s="18">
        <v>313</v>
      </c>
      <c r="J61" s="18">
        <v>184</v>
      </c>
      <c r="K61" s="18"/>
      <c r="L61" s="18"/>
      <c r="M61" s="18"/>
      <c r="N61" s="18">
        <v>30</v>
      </c>
      <c r="O61" s="18">
        <v>2</v>
      </c>
      <c r="P61" s="18">
        <v>12</v>
      </c>
      <c r="Q61" s="18">
        <v>10</v>
      </c>
      <c r="R61" s="18"/>
      <c r="S61" s="18">
        <v>20</v>
      </c>
      <c r="T61" s="18"/>
      <c r="U61" s="18">
        <v>83</v>
      </c>
      <c r="V61" s="18">
        <v>27</v>
      </c>
      <c r="W61" s="18">
        <v>61</v>
      </c>
      <c r="X61" s="18">
        <v>19</v>
      </c>
      <c r="Y61" s="18">
        <v>60</v>
      </c>
      <c r="Z61" s="18">
        <v>190</v>
      </c>
      <c r="AA61" s="18">
        <v>5</v>
      </c>
      <c r="AB61" s="18">
        <v>22</v>
      </c>
      <c r="AC61" s="18"/>
      <c r="AD61" s="18"/>
      <c r="AE61" s="18">
        <v>49</v>
      </c>
      <c r="AF61" s="18">
        <v>1</v>
      </c>
      <c r="AG61" s="18"/>
      <c r="AH61" s="18"/>
      <c r="AI61" s="18">
        <v>86</v>
      </c>
      <c r="AJ61" s="18">
        <v>167</v>
      </c>
      <c r="AK61" s="39">
        <v>5</v>
      </c>
      <c r="AL61" s="39">
        <v>78</v>
      </c>
      <c r="AM61" s="39">
        <v>171</v>
      </c>
      <c r="AN61" s="39">
        <v>109</v>
      </c>
      <c r="AO61" s="39">
        <v>10</v>
      </c>
      <c r="AP61" s="39">
        <v>0</v>
      </c>
      <c r="AQ61" s="39">
        <v>199</v>
      </c>
      <c r="AR61" s="39">
        <v>101</v>
      </c>
      <c r="AS61" s="39">
        <v>37</v>
      </c>
      <c r="AT61" s="39">
        <v>20</v>
      </c>
      <c r="AU61" s="39">
        <v>14</v>
      </c>
      <c r="AV61" s="39">
        <v>4</v>
      </c>
      <c r="AW61" s="18">
        <v>6</v>
      </c>
      <c r="AX61" s="18">
        <v>4</v>
      </c>
      <c r="AY61" s="18"/>
      <c r="AZ61" s="18"/>
      <c r="BA61" s="18"/>
      <c r="BB61" s="18"/>
      <c r="BC61" s="18">
        <v>5</v>
      </c>
      <c r="BD61" s="18">
        <v>28</v>
      </c>
      <c r="BE61" s="18">
        <v>30</v>
      </c>
      <c r="BF61" s="18">
        <v>10</v>
      </c>
      <c r="BG61" s="18"/>
      <c r="BH61" s="18"/>
      <c r="BI61" s="39"/>
      <c r="BJ61" s="39"/>
      <c r="BK61" s="18"/>
      <c r="BL61" s="18"/>
      <c r="BM61" s="18"/>
      <c r="BN61" s="18"/>
      <c r="BO61" s="18"/>
      <c r="BP61" s="18"/>
      <c r="BQ61" s="18">
        <v>20</v>
      </c>
      <c r="BR61" s="18">
        <v>10</v>
      </c>
      <c r="BS61" s="18"/>
      <c r="BT61" s="18"/>
      <c r="BU61" s="18">
        <v>13</v>
      </c>
      <c r="BV61" s="18">
        <v>17</v>
      </c>
      <c r="BW61" s="18"/>
      <c r="BX61" s="18"/>
      <c r="BY61" s="18">
        <v>160</v>
      </c>
      <c r="BZ61" s="18"/>
      <c r="CA61" s="18"/>
      <c r="CB61" s="18"/>
      <c r="CC61" s="18">
        <v>570</v>
      </c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9">
        <f t="shared" ref="CY61:CY66" si="70">C61+E61+G61+I61+K61+M61+O61+Q61+S61+U61+W61+Y61+AA61+AC61+AE61+AG61+AI61+AK61+AM61+AO61+AQ61+AS61+AU61+AW61+AY61+BA61+BC61+BE61+BG61+BI61+BK61+BM61+BO61+BQ61+BS61+BU61+BW61+BY61+CA61+CC61+CE61+CG61+CI61+CK61+CM61+CO61+CQ61+CS61+CU61+CW61</f>
        <v>2930</v>
      </c>
      <c r="CZ61" s="19">
        <f t="shared" ref="CZ61:CZ66" si="71">D61+F61+H61+J61+L61+N61+P61+R61+T61+V61+X61+Z61+AB61+AD61+AF61+AH61+AJ61+AL61+AN61+AP61+AR61+AT61+AV61+AX61+AZ61+BB61+BD61+BF61+BH61+BJ61+BL61+BN61+BP61+BR61+BT61+BV61+BX61+BZ61+CB61+CD61+CF61+CH61+CJ61+CL61+CN61+CP61+CR61+CT61+CV61+CX61</f>
        <v>2419</v>
      </c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</row>
    <row r="62" spans="1:122" ht="18" customHeight="1">
      <c r="A62" s="13" t="s">
        <v>43</v>
      </c>
      <c r="B62" s="14">
        <f>IFERROR(VLOOKUP(A62,PRICELIST!$A$3:$D$138,4,0),"-")</f>
        <v>66.7</v>
      </c>
      <c r="C62" s="18">
        <v>58</v>
      </c>
      <c r="D62" s="18">
        <v>103</v>
      </c>
      <c r="E62" s="18">
        <v>42</v>
      </c>
      <c r="F62" s="18">
        <v>3</v>
      </c>
      <c r="G62" s="18"/>
      <c r="H62" s="18"/>
      <c r="I62" s="18">
        <v>21</v>
      </c>
      <c r="J62" s="18">
        <v>21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>
        <v>13</v>
      </c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39"/>
      <c r="AL62" s="39"/>
      <c r="AM62" s="39">
        <v>101</v>
      </c>
      <c r="AN62" s="39">
        <v>19</v>
      </c>
      <c r="AO62" s="39"/>
      <c r="AP62" s="39"/>
      <c r="AQ62" s="39">
        <v>32</v>
      </c>
      <c r="AR62" s="39">
        <v>60</v>
      </c>
      <c r="AS62" s="39"/>
      <c r="AT62" s="39"/>
      <c r="AU62" s="39">
        <v>0</v>
      </c>
      <c r="AV62" s="39">
        <v>5</v>
      </c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39"/>
      <c r="BJ62" s="39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>
        <v>16</v>
      </c>
      <c r="BV62" s="18">
        <v>17</v>
      </c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9">
        <f t="shared" si="70"/>
        <v>283</v>
      </c>
      <c r="CZ62" s="19">
        <f t="shared" si="71"/>
        <v>228</v>
      </c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</row>
    <row r="63" spans="1:122" ht="18" customHeight="1">
      <c r="A63" s="13" t="s">
        <v>44</v>
      </c>
      <c r="B63" s="14">
        <f>IFERROR(VLOOKUP(A63,PRICELIST!$A$3:$D$138,4,0),"-")</f>
        <v>67.819999999999993</v>
      </c>
      <c r="C63" s="18">
        <v>113</v>
      </c>
      <c r="D63" s="18">
        <v>302</v>
      </c>
      <c r="E63" s="18"/>
      <c r="F63" s="18"/>
      <c r="G63" s="18"/>
      <c r="H63" s="18"/>
      <c r="I63" s="18">
        <v>12</v>
      </c>
      <c r="J63" s="18">
        <v>17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>
        <v>14</v>
      </c>
      <c r="V63" s="18">
        <v>6</v>
      </c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39"/>
      <c r="AL63" s="39"/>
      <c r="AM63" s="39">
        <v>8</v>
      </c>
      <c r="AN63" s="39">
        <v>9</v>
      </c>
      <c r="AO63" s="39">
        <v>0</v>
      </c>
      <c r="AP63" s="39">
        <v>9</v>
      </c>
      <c r="AQ63" s="39">
        <v>0</v>
      </c>
      <c r="AR63" s="39">
        <v>50</v>
      </c>
      <c r="AS63" s="39"/>
      <c r="AT63" s="39"/>
      <c r="AU63" s="39"/>
      <c r="AV63" s="39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39"/>
      <c r="BJ63" s="39"/>
      <c r="BK63" s="18">
        <v>2</v>
      </c>
      <c r="BL63" s="18">
        <v>8</v>
      </c>
      <c r="BM63" s="18"/>
      <c r="BN63" s="18"/>
      <c r="BO63" s="18"/>
      <c r="BP63" s="18"/>
      <c r="BQ63" s="18"/>
      <c r="BR63" s="18"/>
      <c r="BS63" s="18"/>
      <c r="BT63" s="18"/>
      <c r="BU63" s="18">
        <v>14</v>
      </c>
      <c r="BV63" s="18">
        <v>8</v>
      </c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9">
        <f t="shared" si="70"/>
        <v>163</v>
      </c>
      <c r="CZ63" s="19">
        <f t="shared" si="71"/>
        <v>409</v>
      </c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</row>
    <row r="64" spans="1:122" ht="18" customHeight="1">
      <c r="A64" s="13" t="s">
        <v>45</v>
      </c>
      <c r="B64" s="14">
        <f>IFERROR(VLOOKUP(A64,PRICELIST!$A$3:$D$138,4,0),"-")</f>
        <v>9.58</v>
      </c>
      <c r="C64" s="18">
        <v>70</v>
      </c>
      <c r="D64" s="18">
        <v>251</v>
      </c>
      <c r="E64" s="18"/>
      <c r="F64" s="18"/>
      <c r="G64" s="18">
        <v>9</v>
      </c>
      <c r="H64" s="18">
        <v>11</v>
      </c>
      <c r="I64" s="18"/>
      <c r="J64" s="18"/>
      <c r="K64" s="18"/>
      <c r="L64" s="18"/>
      <c r="M64" s="18"/>
      <c r="N64" s="18"/>
      <c r="O64" s="18"/>
      <c r="P64" s="18"/>
      <c r="Q64" s="18">
        <v>20</v>
      </c>
      <c r="R64" s="18"/>
      <c r="S64" s="18"/>
      <c r="T64" s="18"/>
      <c r="U64" s="18">
        <v>10</v>
      </c>
      <c r="V64" s="18"/>
      <c r="W64" s="18">
        <v>0</v>
      </c>
      <c r="X64" s="18">
        <v>31</v>
      </c>
      <c r="Y64" s="18"/>
      <c r="Z64" s="18"/>
      <c r="AA64" s="18"/>
      <c r="AB64" s="18">
        <v>24</v>
      </c>
      <c r="AC64" s="18"/>
      <c r="AD64" s="18"/>
      <c r="AE64" s="18"/>
      <c r="AF64" s="18"/>
      <c r="AG64" s="18"/>
      <c r="AH64" s="18"/>
      <c r="AI64" s="18"/>
      <c r="AJ64" s="18"/>
      <c r="AK64" s="39"/>
      <c r="AL64" s="39"/>
      <c r="AM64" s="39">
        <v>69</v>
      </c>
      <c r="AN64" s="39">
        <v>20</v>
      </c>
      <c r="AO64" s="39"/>
      <c r="AP64" s="39"/>
      <c r="AQ64" s="39">
        <v>0</v>
      </c>
      <c r="AR64" s="39">
        <v>3</v>
      </c>
      <c r="AS64" s="39"/>
      <c r="AT64" s="39"/>
      <c r="AU64" s="39">
        <v>0</v>
      </c>
      <c r="AV64" s="39">
        <v>10</v>
      </c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39"/>
      <c r="BJ64" s="39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>
        <v>10</v>
      </c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9">
        <f t="shared" si="70"/>
        <v>188</v>
      </c>
      <c r="CZ64" s="19">
        <f t="shared" si="71"/>
        <v>350</v>
      </c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</row>
    <row r="65" spans="1:122" ht="18" customHeight="1">
      <c r="A65" s="13" t="s">
        <v>46</v>
      </c>
      <c r="B65" s="14">
        <f>IFERROR(VLOOKUP(A65,PRICELIST!$A$3:$D$138,4,0),"-")</f>
        <v>23.41</v>
      </c>
      <c r="C65" s="18">
        <v>82</v>
      </c>
      <c r="D65" s="18">
        <v>186</v>
      </c>
      <c r="E65" s="18"/>
      <c r="F65" s="18"/>
      <c r="G65" s="18"/>
      <c r="H65" s="18"/>
      <c r="I65" s="18">
        <v>38</v>
      </c>
      <c r="J65" s="18">
        <v>35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>
        <v>30</v>
      </c>
      <c r="V65" s="18">
        <v>10</v>
      </c>
      <c r="W65" s="18"/>
      <c r="X65" s="18"/>
      <c r="Y65" s="18"/>
      <c r="Z65" s="18"/>
      <c r="AA65" s="18"/>
      <c r="AB65" s="18">
        <v>51</v>
      </c>
      <c r="AC65" s="18"/>
      <c r="AD65" s="18"/>
      <c r="AE65" s="18"/>
      <c r="AF65" s="18"/>
      <c r="AG65" s="18"/>
      <c r="AH65" s="18"/>
      <c r="AI65" s="18"/>
      <c r="AJ65" s="18"/>
      <c r="AK65" s="39"/>
      <c r="AL65" s="39"/>
      <c r="AM65" s="39">
        <v>81</v>
      </c>
      <c r="AN65" s="39">
        <v>27</v>
      </c>
      <c r="AO65" s="39"/>
      <c r="AP65" s="39"/>
      <c r="AQ65" s="39">
        <v>47</v>
      </c>
      <c r="AR65" s="39">
        <v>153</v>
      </c>
      <c r="AS65" s="39"/>
      <c r="AT65" s="39"/>
      <c r="AU65" s="39">
        <v>0</v>
      </c>
      <c r="AV65" s="39">
        <v>5</v>
      </c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39"/>
      <c r="BJ65" s="39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>
        <v>340</v>
      </c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9">
        <f t="shared" si="70"/>
        <v>618</v>
      </c>
      <c r="CZ65" s="19">
        <f t="shared" si="71"/>
        <v>467</v>
      </c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</row>
    <row r="66" spans="1:122" ht="18" customHeight="1">
      <c r="A66" s="13" t="s">
        <v>47</v>
      </c>
      <c r="B66" s="14">
        <f>IFERROR(VLOOKUP(A66,PRICELIST!$A$3:$D$138,4,0),"-")</f>
        <v>23.57</v>
      </c>
      <c r="C66" s="18">
        <v>31</v>
      </c>
      <c r="D66" s="18">
        <v>776</v>
      </c>
      <c r="E66" s="18"/>
      <c r="F66" s="18"/>
      <c r="G66" s="18">
        <v>13</v>
      </c>
      <c r="H66" s="18">
        <v>20</v>
      </c>
      <c r="I66" s="18">
        <v>19</v>
      </c>
      <c r="J66" s="18">
        <v>15</v>
      </c>
      <c r="K66" s="18"/>
      <c r="L66" s="18"/>
      <c r="M66" s="18"/>
      <c r="N66" s="18"/>
      <c r="O66" s="18">
        <v>1</v>
      </c>
      <c r="P66" s="18"/>
      <c r="Q66" s="18"/>
      <c r="R66" s="18"/>
      <c r="S66" s="18"/>
      <c r="T66" s="18"/>
      <c r="U66" s="18">
        <v>41</v>
      </c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39"/>
      <c r="AL66" s="39"/>
      <c r="AM66" s="39">
        <v>24</v>
      </c>
      <c r="AN66" s="39">
        <v>5</v>
      </c>
      <c r="AO66" s="39"/>
      <c r="AP66" s="39"/>
      <c r="AQ66" s="39">
        <v>10</v>
      </c>
      <c r="AR66" s="39">
        <v>20</v>
      </c>
      <c r="AS66" s="39">
        <v>13</v>
      </c>
      <c r="AT66" s="39">
        <v>8</v>
      </c>
      <c r="AU66" s="39">
        <v>11</v>
      </c>
      <c r="AV66" s="39">
        <v>9</v>
      </c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39"/>
      <c r="BJ66" s="39"/>
      <c r="BK66" s="18">
        <v>7</v>
      </c>
      <c r="BL66" s="18">
        <v>1</v>
      </c>
      <c r="BM66" s="18"/>
      <c r="BN66" s="18"/>
      <c r="BO66" s="18"/>
      <c r="BP66" s="18"/>
      <c r="BQ66" s="18">
        <v>7</v>
      </c>
      <c r="BR66" s="18">
        <v>3</v>
      </c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>
        <v>60</v>
      </c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9">
        <f t="shared" si="70"/>
        <v>237</v>
      </c>
      <c r="CZ66" s="19">
        <f t="shared" si="71"/>
        <v>857</v>
      </c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</row>
    <row r="67" spans="1:122" ht="18" customHeight="1">
      <c r="A67" s="13" t="s">
        <v>49</v>
      </c>
      <c r="B67" s="14">
        <f>IFERROR(VLOOKUP(A67,PRICELIST!$A$3:$D$138,4,0),"-")</f>
        <v>132.43</v>
      </c>
      <c r="C67" s="18">
        <v>407</v>
      </c>
      <c r="D67" s="18">
        <v>428</v>
      </c>
      <c r="E67" s="18">
        <v>172</v>
      </c>
      <c r="F67" s="18">
        <v>51</v>
      </c>
      <c r="G67" s="18">
        <v>30</v>
      </c>
      <c r="H67" s="18">
        <v>12</v>
      </c>
      <c r="I67" s="18">
        <v>172</v>
      </c>
      <c r="J67" s="18">
        <v>161</v>
      </c>
      <c r="K67" s="18"/>
      <c r="L67" s="18"/>
      <c r="M67" s="18">
        <v>60</v>
      </c>
      <c r="N67" s="18">
        <v>127</v>
      </c>
      <c r="O67" s="18"/>
      <c r="P67" s="18">
        <v>4</v>
      </c>
      <c r="Q67" s="18">
        <v>410</v>
      </c>
      <c r="R67" s="18">
        <v>2</v>
      </c>
      <c r="S67" s="18">
        <v>8</v>
      </c>
      <c r="T67" s="18">
        <v>2</v>
      </c>
      <c r="U67" s="18">
        <v>13</v>
      </c>
      <c r="V67" s="18"/>
      <c r="W67" s="18">
        <v>13</v>
      </c>
      <c r="X67" s="18">
        <v>0</v>
      </c>
      <c r="Y67" s="18">
        <v>120</v>
      </c>
      <c r="Z67" s="18">
        <v>88</v>
      </c>
      <c r="AA67" s="18">
        <v>73</v>
      </c>
      <c r="AB67" s="18">
        <v>17</v>
      </c>
      <c r="AC67" s="18">
        <v>13</v>
      </c>
      <c r="AD67" s="18">
        <v>7</v>
      </c>
      <c r="AE67" s="18"/>
      <c r="AF67" s="18">
        <v>30</v>
      </c>
      <c r="AG67" s="18"/>
      <c r="AH67" s="18"/>
      <c r="AI67" s="18">
        <v>45</v>
      </c>
      <c r="AJ67" s="18">
        <v>118</v>
      </c>
      <c r="AK67" s="39">
        <v>5</v>
      </c>
      <c r="AL67" s="39">
        <v>18</v>
      </c>
      <c r="AM67" s="39">
        <v>92</v>
      </c>
      <c r="AN67" s="39">
        <v>32</v>
      </c>
      <c r="AO67" s="39">
        <v>6</v>
      </c>
      <c r="AP67" s="39">
        <v>4</v>
      </c>
      <c r="AQ67" s="39">
        <v>29</v>
      </c>
      <c r="AR67" s="39">
        <v>31</v>
      </c>
      <c r="AS67" s="39">
        <v>10</v>
      </c>
      <c r="AT67" s="39">
        <v>11</v>
      </c>
      <c r="AU67" s="39">
        <v>8</v>
      </c>
      <c r="AV67" s="39">
        <v>6</v>
      </c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39"/>
      <c r="BJ67" s="39"/>
      <c r="BK67" s="18"/>
      <c r="BL67" s="18"/>
      <c r="BM67" s="18"/>
      <c r="BN67" s="18"/>
      <c r="BO67" s="18"/>
      <c r="BP67" s="18"/>
      <c r="BQ67" s="18">
        <v>5</v>
      </c>
      <c r="BR67" s="18">
        <v>5</v>
      </c>
      <c r="BS67" s="18"/>
      <c r="BT67" s="18"/>
      <c r="BU67" s="18">
        <v>2</v>
      </c>
      <c r="BV67" s="18">
        <v>3</v>
      </c>
      <c r="BW67" s="18"/>
      <c r="BX67" s="18"/>
      <c r="BY67" s="18"/>
      <c r="BZ67" s="18"/>
      <c r="CA67" s="18"/>
      <c r="CB67" s="18"/>
      <c r="CC67" s="18">
        <v>240</v>
      </c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9">
        <f t="shared" ref="CY67:CY68" si="72">C67+E67+G67+I67+K67+M67+O67+Q67+S67+U67+W67+Y67+AA67+AC67+AE67+AG67+AI67+AK67+AM67+AO67+AQ67+AS67+AU67+AW67+AY67+BA67+BC67+BE67+BG67+BI67+BK67+BM67+BO67+BQ67+BS67+BU67+BW67+BY67+CA67+CC67+CE67+CG67+CI67+CK67+CM67+CO67+CQ67+CS67+CU67+CW67</f>
        <v>1933</v>
      </c>
      <c r="CZ67" s="19">
        <f t="shared" ref="CZ67:CZ68" si="73">D67+F67+H67+J67+L67+N67+P67+R67+T67+V67+X67+Z67+AB67+AD67+AF67+AH67+AJ67+AL67+AN67+AP67+AR67+AT67+AV67+AX67+AZ67+BB67+BD67+BF67+BH67+BJ67+BL67+BN67+BP67+BR67+BT67+BV67+BX67+BZ67+CB67+CD67+CF67+CH67+CJ67+CL67+CN67+CP67+CR67+CT67+CV67+CX67</f>
        <v>1157</v>
      </c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</row>
    <row r="68" spans="1:122" ht="18" customHeight="1">
      <c r="A68" s="13" t="s">
        <v>50</v>
      </c>
      <c r="B68" s="14">
        <f>IFERROR(VLOOKUP(A68,PRICELIST!$A$3:$D$138,4,0),"-")</f>
        <v>94.7</v>
      </c>
      <c r="C68" s="18">
        <v>408</v>
      </c>
      <c r="D68" s="18">
        <v>1200</v>
      </c>
      <c r="E68" s="18">
        <v>66</v>
      </c>
      <c r="F68" s="18">
        <v>234</v>
      </c>
      <c r="G68" s="18">
        <v>29</v>
      </c>
      <c r="H68" s="18">
        <v>33</v>
      </c>
      <c r="I68" s="18">
        <v>106</v>
      </c>
      <c r="J68" s="18">
        <v>99</v>
      </c>
      <c r="K68" s="18"/>
      <c r="L68" s="18"/>
      <c r="M68" s="18">
        <v>96</v>
      </c>
      <c r="N68" s="18">
        <v>128</v>
      </c>
      <c r="O68" s="18"/>
      <c r="P68" s="18"/>
      <c r="Q68" s="18">
        <v>60</v>
      </c>
      <c r="R68" s="18">
        <v>2</v>
      </c>
      <c r="S68" s="18">
        <v>3</v>
      </c>
      <c r="T68" s="18">
        <v>7</v>
      </c>
      <c r="U68" s="18">
        <v>31</v>
      </c>
      <c r="V68" s="18">
        <v>1</v>
      </c>
      <c r="W68" s="18">
        <v>5</v>
      </c>
      <c r="X68" s="18">
        <v>24</v>
      </c>
      <c r="Y68" s="18"/>
      <c r="Z68" s="18"/>
      <c r="AA68" s="18">
        <v>8</v>
      </c>
      <c r="AB68" s="18">
        <v>21</v>
      </c>
      <c r="AC68" s="18">
        <v>18</v>
      </c>
      <c r="AD68" s="18">
        <v>22</v>
      </c>
      <c r="AE68" s="18"/>
      <c r="AF68" s="18"/>
      <c r="AG68" s="18"/>
      <c r="AH68" s="18"/>
      <c r="AI68" s="18">
        <v>7</v>
      </c>
      <c r="AJ68" s="18">
        <v>49</v>
      </c>
      <c r="AK68" s="39"/>
      <c r="AL68" s="39"/>
      <c r="AM68" s="39">
        <v>21</v>
      </c>
      <c r="AN68" s="39">
        <v>38</v>
      </c>
      <c r="AO68" s="39"/>
      <c r="AP68" s="39"/>
      <c r="AQ68" s="39">
        <v>76</v>
      </c>
      <c r="AR68" s="39">
        <v>244</v>
      </c>
      <c r="AS68" s="39">
        <v>9</v>
      </c>
      <c r="AT68" s="39">
        <v>12</v>
      </c>
      <c r="AU68" s="39">
        <v>9</v>
      </c>
      <c r="AV68" s="39">
        <v>8</v>
      </c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39"/>
      <c r="BJ68" s="39"/>
      <c r="BK68" s="18"/>
      <c r="BL68" s="18"/>
      <c r="BM68" s="18"/>
      <c r="BN68" s="18"/>
      <c r="BO68" s="18"/>
      <c r="BP68" s="18"/>
      <c r="BQ68" s="18">
        <v>4</v>
      </c>
      <c r="BR68" s="18">
        <v>6</v>
      </c>
      <c r="BS68" s="18">
        <v>5</v>
      </c>
      <c r="BT68" s="18">
        <v>5</v>
      </c>
      <c r="BU68" s="18">
        <v>8</v>
      </c>
      <c r="BV68" s="18">
        <v>3</v>
      </c>
      <c r="BW68" s="18"/>
      <c r="BX68" s="18"/>
      <c r="BY68" s="18"/>
      <c r="BZ68" s="18"/>
      <c r="CA68" s="18">
        <v>6</v>
      </c>
      <c r="CB68" s="18">
        <v>4</v>
      </c>
      <c r="CC68" s="18">
        <v>160</v>
      </c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9">
        <f t="shared" si="72"/>
        <v>1135</v>
      </c>
      <c r="CZ68" s="19">
        <f t="shared" si="73"/>
        <v>2140</v>
      </c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</row>
    <row r="69" spans="1:122" ht="18" customHeight="1">
      <c r="A69" s="13" t="s">
        <v>51</v>
      </c>
      <c r="B69" s="14">
        <f>IFERROR(VLOOKUP(A69,PRICELIST!$A$3:$D$138,4,0),"-")</f>
        <v>58.82</v>
      </c>
      <c r="C69" s="18">
        <v>45</v>
      </c>
      <c r="D69" s="18">
        <v>201</v>
      </c>
      <c r="E69" s="18"/>
      <c r="F69" s="18"/>
      <c r="G69" s="18">
        <v>36</v>
      </c>
      <c r="H69" s="18">
        <v>29</v>
      </c>
      <c r="I69" s="18"/>
      <c r="J69" s="18"/>
      <c r="K69" s="18"/>
      <c r="L69" s="18"/>
      <c r="M69" s="18"/>
      <c r="N69" s="18"/>
      <c r="O69" s="18"/>
      <c r="P69" s="18">
        <v>1</v>
      </c>
      <c r="Q69" s="18">
        <v>10</v>
      </c>
      <c r="R69" s="18">
        <v>32</v>
      </c>
      <c r="S69" s="18">
        <v>4</v>
      </c>
      <c r="T69" s="18">
        <v>0</v>
      </c>
      <c r="U69" s="18">
        <v>3</v>
      </c>
      <c r="V69" s="18">
        <v>27</v>
      </c>
      <c r="W69" s="18">
        <v>16</v>
      </c>
      <c r="X69" s="18">
        <v>21</v>
      </c>
      <c r="Y69" s="18"/>
      <c r="Z69" s="18"/>
      <c r="AA69" s="18"/>
      <c r="AB69" s="18"/>
      <c r="AC69" s="18"/>
      <c r="AD69" s="18"/>
      <c r="AE69" s="18">
        <v>3</v>
      </c>
      <c r="AF69" s="18"/>
      <c r="AG69" s="18"/>
      <c r="AH69" s="18"/>
      <c r="AI69" s="18">
        <v>3</v>
      </c>
      <c r="AJ69" s="18">
        <v>69</v>
      </c>
      <c r="AK69" s="39"/>
      <c r="AL69" s="39"/>
      <c r="AM69" s="39">
        <v>70</v>
      </c>
      <c r="AN69" s="39">
        <v>30</v>
      </c>
      <c r="AO69" s="39">
        <v>3</v>
      </c>
      <c r="AP69" s="39">
        <v>4</v>
      </c>
      <c r="AQ69" s="39">
        <v>25</v>
      </c>
      <c r="AR69" s="39">
        <v>55</v>
      </c>
      <c r="AS69" s="39">
        <v>26</v>
      </c>
      <c r="AT69" s="39">
        <v>15</v>
      </c>
      <c r="AU69" s="39">
        <v>8</v>
      </c>
      <c r="AV69" s="39">
        <v>9</v>
      </c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39"/>
      <c r="BJ69" s="39"/>
      <c r="BK69" s="18"/>
      <c r="BL69" s="18"/>
      <c r="BM69" s="18"/>
      <c r="BN69" s="18"/>
      <c r="BO69" s="18"/>
      <c r="BP69" s="18"/>
      <c r="BQ69" s="18">
        <v>6</v>
      </c>
      <c r="BR69" s="18">
        <v>4</v>
      </c>
      <c r="BS69" s="18"/>
      <c r="BT69" s="18"/>
      <c r="BU69" s="18"/>
      <c r="BV69" s="18"/>
      <c r="BW69" s="18"/>
      <c r="BX69" s="18"/>
      <c r="BY69" s="18"/>
      <c r="BZ69" s="18"/>
      <c r="CA69" s="18">
        <v>8</v>
      </c>
      <c r="CB69" s="18">
        <v>2</v>
      </c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9">
        <f t="shared" ref="CY69:CY70" si="74">C69+E69+G69+I69+K69+M69+O69+Q69+S69+U69+W69+Y69+AA69+AC69+AE69+AG69+AI69+AK69+AM69+AO69+AQ69+AS69+AU69+AW69+AY69+BA69+BC69+BE69+BG69+BI69+BK69+BM69+BO69+BQ69+BS69+BU69+BW69+BY69+CA69+CC69+CE69+CG69+CI69+CK69+CM69+CO69+CQ69+CS69+CU69+CW69</f>
        <v>266</v>
      </c>
      <c r="CZ69" s="19">
        <f t="shared" ref="CZ69:CZ70" si="75">D69+F69+H69+J69+L69+N69+P69+R69+T69+V69+X69+Z69+AB69+AD69+AF69+AH69+AJ69+AL69+AN69+AP69+AR69+AT69+AV69+AX69+AZ69+BB69+BD69+BF69+BH69+BJ69+BL69+BN69+BP69+BR69+BT69+BV69+BX69+BZ69+CB69+CD69+CF69+CH69+CJ69+CL69+CN69+CP69+CR69+CT69+CV69+CX69</f>
        <v>499</v>
      </c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</row>
    <row r="70" spans="1:122" ht="18" customHeight="1">
      <c r="A70" s="13" t="s">
        <v>52</v>
      </c>
      <c r="B70" s="14">
        <f>IFERROR(VLOOKUP(A70,PRICELIST!$A$3:$D$138,4,0),"-")</f>
        <v>61.39</v>
      </c>
      <c r="C70" s="18">
        <v>42</v>
      </c>
      <c r="D70" s="18">
        <v>225</v>
      </c>
      <c r="E70" s="18"/>
      <c r="F70" s="18"/>
      <c r="G70" s="18">
        <v>5</v>
      </c>
      <c r="H70" s="18">
        <v>23</v>
      </c>
      <c r="I70" s="18"/>
      <c r="J70" s="18"/>
      <c r="K70" s="18"/>
      <c r="L70" s="18"/>
      <c r="M70" s="18"/>
      <c r="N70" s="18"/>
      <c r="O70" s="18"/>
      <c r="P70" s="18"/>
      <c r="Q70" s="18"/>
      <c r="R70" s="18">
        <v>27</v>
      </c>
      <c r="S70" s="18"/>
      <c r="T70" s="18"/>
      <c r="U70" s="18">
        <v>21</v>
      </c>
      <c r="V70" s="18">
        <v>5</v>
      </c>
      <c r="W70" s="18">
        <v>6</v>
      </c>
      <c r="X70" s="18">
        <v>24</v>
      </c>
      <c r="Y70" s="18"/>
      <c r="Z70" s="18"/>
      <c r="AA70" s="18"/>
      <c r="AB70" s="18"/>
      <c r="AC70" s="18"/>
      <c r="AD70" s="18"/>
      <c r="AE70" s="18"/>
      <c r="AF70" s="18">
        <v>6</v>
      </c>
      <c r="AG70" s="18"/>
      <c r="AH70" s="18"/>
      <c r="AI70" s="18">
        <v>5</v>
      </c>
      <c r="AJ70" s="18">
        <v>56</v>
      </c>
      <c r="AK70" s="39"/>
      <c r="AL70" s="39"/>
      <c r="AM70" s="39">
        <v>45</v>
      </c>
      <c r="AN70" s="39">
        <v>10</v>
      </c>
      <c r="AO70" s="39">
        <v>0</v>
      </c>
      <c r="AP70" s="39">
        <v>2</v>
      </c>
      <c r="AQ70" s="39">
        <v>20</v>
      </c>
      <c r="AR70" s="39">
        <v>42</v>
      </c>
      <c r="AS70" s="39">
        <v>18</v>
      </c>
      <c r="AT70" s="39">
        <v>1</v>
      </c>
      <c r="AU70" s="39">
        <v>12</v>
      </c>
      <c r="AV70" s="39">
        <v>8</v>
      </c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39"/>
      <c r="BJ70" s="39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>
        <v>7</v>
      </c>
      <c r="BV70" s="18">
        <v>4</v>
      </c>
      <c r="BW70" s="18"/>
      <c r="BX70" s="18"/>
      <c r="BY70" s="18"/>
      <c r="BZ70" s="18"/>
      <c r="CA70" s="18"/>
      <c r="CB70" s="18"/>
      <c r="CC70" s="18">
        <v>40</v>
      </c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9">
        <f t="shared" si="74"/>
        <v>221</v>
      </c>
      <c r="CZ70" s="19">
        <f t="shared" si="75"/>
        <v>433</v>
      </c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</row>
    <row r="71" spans="1:122" ht="18" customHeight="1">
      <c r="A71" s="9" t="s">
        <v>48</v>
      </c>
      <c r="B71" s="10"/>
      <c r="C71" s="11">
        <f t="shared" ref="C71:AJ71" si="76">SUMPRODUCT($B60:$B70,C60:C70)</f>
        <v>129349.73999999999</v>
      </c>
      <c r="D71" s="11">
        <f t="shared" si="76"/>
        <v>280968.96000000002</v>
      </c>
      <c r="E71" s="11">
        <f t="shared" si="76"/>
        <v>36048.11</v>
      </c>
      <c r="F71" s="11">
        <f t="shared" si="76"/>
        <v>32668.58</v>
      </c>
      <c r="G71" s="11">
        <f t="shared" si="76"/>
        <v>12246.850000000002</v>
      </c>
      <c r="H71" s="11">
        <f t="shared" si="76"/>
        <v>10223.68</v>
      </c>
      <c r="I71" s="11">
        <f t="shared" si="76"/>
        <v>43745.520000000004</v>
      </c>
      <c r="J71" s="11">
        <f t="shared" si="76"/>
        <v>38759.950000000004</v>
      </c>
      <c r="K71" s="11">
        <f t="shared" si="76"/>
        <v>0</v>
      </c>
      <c r="L71" s="11">
        <f t="shared" si="76"/>
        <v>0</v>
      </c>
      <c r="M71" s="11">
        <f t="shared" si="76"/>
        <v>17037</v>
      </c>
      <c r="N71" s="11">
        <f t="shared" si="76"/>
        <v>30349.61</v>
      </c>
      <c r="O71" s="11">
        <f t="shared" si="76"/>
        <v>70.710000000000008</v>
      </c>
      <c r="P71" s="11">
        <f t="shared" si="76"/>
        <v>871.38000000000011</v>
      </c>
      <c r="Q71" s="11">
        <f t="shared" si="76"/>
        <v>60993.8</v>
      </c>
      <c r="R71" s="11">
        <f t="shared" si="76"/>
        <v>4696.33</v>
      </c>
      <c r="S71" s="11">
        <f t="shared" si="76"/>
        <v>2050.2200000000003</v>
      </c>
      <c r="T71" s="11">
        <f t="shared" si="76"/>
        <v>1161.8600000000001</v>
      </c>
      <c r="U71" s="11">
        <f t="shared" si="76"/>
        <v>11660.3</v>
      </c>
      <c r="V71" s="11">
        <f t="shared" si="76"/>
        <v>3969.5</v>
      </c>
      <c r="W71" s="11">
        <f t="shared" si="76"/>
        <v>4942.3200000000006</v>
      </c>
      <c r="X71" s="11">
        <f t="shared" si="76"/>
        <v>5726.1900000000005</v>
      </c>
      <c r="Y71" s="11">
        <f t="shared" si="76"/>
        <v>17305.8</v>
      </c>
      <c r="Z71" s="11">
        <f t="shared" si="76"/>
        <v>16132.14</v>
      </c>
      <c r="AA71" s="11">
        <f t="shared" si="76"/>
        <v>10542.840000000002</v>
      </c>
      <c r="AB71" s="11">
        <f t="shared" si="76"/>
        <v>6884.6799999999994</v>
      </c>
      <c r="AC71" s="11">
        <f t="shared" si="76"/>
        <v>3426.1900000000005</v>
      </c>
      <c r="AD71" s="11">
        <f t="shared" si="76"/>
        <v>3010.41</v>
      </c>
      <c r="AE71" s="11">
        <f t="shared" si="76"/>
        <v>1331.39</v>
      </c>
      <c r="AF71" s="11">
        <f t="shared" si="76"/>
        <v>4364.8100000000004</v>
      </c>
      <c r="AG71" s="11">
        <f t="shared" si="76"/>
        <v>117.05</v>
      </c>
      <c r="AH71" s="11">
        <f t="shared" si="76"/>
        <v>117.05</v>
      </c>
      <c r="AI71" s="11">
        <f t="shared" si="76"/>
        <v>9132.68</v>
      </c>
      <c r="AJ71" s="11">
        <f t="shared" si="76"/>
        <v>32401.95</v>
      </c>
      <c r="AK71" s="40">
        <f t="shared" ref="AK71:BN71" si="77">SUMPRODUCT($B60:$B70,AK60:AK70)</f>
        <v>850.23</v>
      </c>
      <c r="AL71" s="40">
        <f t="shared" si="77"/>
        <v>4620.17</v>
      </c>
      <c r="AM71" s="40">
        <f t="shared" si="77"/>
        <v>36187.150000000009</v>
      </c>
      <c r="AN71" s="40">
        <f t="shared" si="77"/>
        <v>15603.19</v>
      </c>
      <c r="AO71" s="40">
        <f t="shared" si="77"/>
        <v>1206.74</v>
      </c>
      <c r="AP71" s="40">
        <f t="shared" si="77"/>
        <v>1498.1599999999999</v>
      </c>
      <c r="AQ71" s="40">
        <f t="shared" si="77"/>
        <v>21896.77</v>
      </c>
      <c r="AR71" s="40">
        <f t="shared" si="77"/>
        <v>46881.049999999988</v>
      </c>
      <c r="AS71" s="40">
        <f t="shared" si="77"/>
        <v>5989.4400000000005</v>
      </c>
      <c r="AT71" s="40">
        <f t="shared" si="77"/>
        <v>4196.7800000000007</v>
      </c>
      <c r="AU71" s="40">
        <f t="shared" si="77"/>
        <v>4059.38</v>
      </c>
      <c r="AV71" s="40">
        <f t="shared" si="77"/>
        <v>4104.33</v>
      </c>
      <c r="AW71" s="11">
        <f t="shared" si="77"/>
        <v>141.42000000000002</v>
      </c>
      <c r="AX71" s="11">
        <f t="shared" si="77"/>
        <v>94.28</v>
      </c>
      <c r="AY71" s="11">
        <f t="shared" si="77"/>
        <v>0</v>
      </c>
      <c r="AZ71" s="11">
        <f t="shared" si="77"/>
        <v>0</v>
      </c>
      <c r="BA71" s="11">
        <f t="shared" si="77"/>
        <v>0</v>
      </c>
      <c r="BB71" s="11">
        <f t="shared" si="77"/>
        <v>0</v>
      </c>
      <c r="BC71" s="11">
        <f t="shared" si="77"/>
        <v>117.85</v>
      </c>
      <c r="BD71" s="11">
        <f t="shared" si="77"/>
        <v>659.96</v>
      </c>
      <c r="BE71" s="11">
        <f t="shared" si="77"/>
        <v>824.15</v>
      </c>
      <c r="BF71" s="11">
        <f t="shared" si="77"/>
        <v>352.75</v>
      </c>
      <c r="BG71" s="11">
        <f t="shared" si="77"/>
        <v>0</v>
      </c>
      <c r="BH71" s="11">
        <f t="shared" si="77"/>
        <v>0</v>
      </c>
      <c r="BI71" s="40">
        <f t="shared" si="77"/>
        <v>0</v>
      </c>
      <c r="BJ71" s="40">
        <f t="shared" si="77"/>
        <v>0</v>
      </c>
      <c r="BK71" s="11">
        <f t="shared" si="77"/>
        <v>300.63</v>
      </c>
      <c r="BL71" s="11">
        <f t="shared" si="77"/>
        <v>566.13</v>
      </c>
      <c r="BM71" s="11">
        <f t="shared" si="77"/>
        <v>0</v>
      </c>
      <c r="BN71" s="11">
        <f t="shared" si="77"/>
        <v>0</v>
      </c>
      <c r="BO71" s="11">
        <f t="shared" ref="BO71:CT71" si="78">SUMPRODUCT($B60:$B70,BO60:BO70)</f>
        <v>0</v>
      </c>
      <c r="BP71" s="11">
        <f t="shared" si="78"/>
        <v>0</v>
      </c>
      <c r="BQ71" s="11">
        <f t="shared" si="78"/>
        <v>2030.26</v>
      </c>
      <c r="BR71" s="11">
        <f t="shared" si="78"/>
        <v>1772.0400000000002</v>
      </c>
      <c r="BS71" s="11">
        <f t="shared" si="78"/>
        <v>473.5</v>
      </c>
      <c r="BT71" s="11">
        <f t="shared" si="78"/>
        <v>473.5</v>
      </c>
      <c r="BU71" s="11">
        <f t="shared" si="78"/>
        <v>3775.28</v>
      </c>
      <c r="BV71" s="11">
        <f t="shared" si="78"/>
        <v>3004.1</v>
      </c>
      <c r="BW71" s="11">
        <f t="shared" si="78"/>
        <v>0</v>
      </c>
      <c r="BX71" s="11">
        <f t="shared" si="78"/>
        <v>0</v>
      </c>
      <c r="BY71" s="11">
        <f t="shared" si="78"/>
        <v>3771.2</v>
      </c>
      <c r="BZ71" s="11">
        <f t="shared" si="78"/>
        <v>0</v>
      </c>
      <c r="CA71" s="11">
        <f t="shared" si="78"/>
        <v>1038.76</v>
      </c>
      <c r="CB71" s="11">
        <f t="shared" si="78"/>
        <v>496.44</v>
      </c>
      <c r="CC71" s="11">
        <f t="shared" si="78"/>
        <v>72295.100000000006</v>
      </c>
      <c r="CD71" s="11">
        <f t="shared" si="78"/>
        <v>0</v>
      </c>
      <c r="CE71" s="11">
        <f t="shared" si="78"/>
        <v>0</v>
      </c>
      <c r="CF71" s="11">
        <f t="shared" si="78"/>
        <v>0</v>
      </c>
      <c r="CG71" s="11">
        <f t="shared" si="78"/>
        <v>0</v>
      </c>
      <c r="CH71" s="11">
        <f t="shared" si="78"/>
        <v>0</v>
      </c>
      <c r="CI71" s="11">
        <f t="shared" si="78"/>
        <v>0</v>
      </c>
      <c r="CJ71" s="11">
        <f t="shared" si="78"/>
        <v>0</v>
      </c>
      <c r="CK71" s="11">
        <f t="shared" si="78"/>
        <v>0</v>
      </c>
      <c r="CL71" s="11">
        <f t="shared" si="78"/>
        <v>0</v>
      </c>
      <c r="CM71" s="11">
        <f t="shared" si="78"/>
        <v>0</v>
      </c>
      <c r="CN71" s="11">
        <f t="shared" si="78"/>
        <v>0</v>
      </c>
      <c r="CO71" s="11">
        <f t="shared" si="78"/>
        <v>0</v>
      </c>
      <c r="CP71" s="11">
        <f t="shared" si="78"/>
        <v>0</v>
      </c>
      <c r="CQ71" s="11">
        <f t="shared" si="78"/>
        <v>0</v>
      </c>
      <c r="CR71" s="11">
        <f t="shared" si="78"/>
        <v>0</v>
      </c>
      <c r="CS71" s="11">
        <f t="shared" si="78"/>
        <v>0</v>
      </c>
      <c r="CT71" s="11">
        <f t="shared" si="78"/>
        <v>0</v>
      </c>
      <c r="CU71" s="11">
        <f t="shared" ref="CU71:CZ71" si="79">SUMPRODUCT($B60:$B70,CU60:CU70)</f>
        <v>0</v>
      </c>
      <c r="CV71" s="11">
        <f t="shared" si="79"/>
        <v>0</v>
      </c>
      <c r="CW71" s="11">
        <f t="shared" si="79"/>
        <v>0</v>
      </c>
      <c r="CX71" s="11">
        <f t="shared" si="79"/>
        <v>0</v>
      </c>
      <c r="CY71" s="11">
        <f t="shared" si="79"/>
        <v>514958.38</v>
      </c>
      <c r="CZ71" s="11">
        <f t="shared" si="79"/>
        <v>556629.96000000008</v>
      </c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</row>
    <row r="72" spans="1:122" ht="18" customHeight="1">
      <c r="A72" s="13" t="s">
        <v>85</v>
      </c>
      <c r="B72" s="14">
        <f>IFERROR(VLOOKUP(A72,PRICELIST!$A$3:$D$138,4,0),"-")</f>
        <v>165.86</v>
      </c>
      <c r="C72" s="18">
        <v>90</v>
      </c>
      <c r="D72" s="18">
        <v>384</v>
      </c>
      <c r="E72" s="18">
        <v>53</v>
      </c>
      <c r="F72" s="18">
        <v>21</v>
      </c>
      <c r="G72" s="18">
        <v>51</v>
      </c>
      <c r="H72" s="18">
        <v>30</v>
      </c>
      <c r="I72" s="18">
        <v>220</v>
      </c>
      <c r="J72" s="18">
        <v>139</v>
      </c>
      <c r="K72" s="18"/>
      <c r="L72" s="18"/>
      <c r="M72" s="18"/>
      <c r="N72" s="18"/>
      <c r="O72" s="18">
        <v>15</v>
      </c>
      <c r="P72" s="18">
        <v>34</v>
      </c>
      <c r="Q72" s="18">
        <v>50</v>
      </c>
      <c r="R72" s="18">
        <v>5</v>
      </c>
      <c r="S72" s="18">
        <v>16</v>
      </c>
      <c r="T72" s="18">
        <v>4</v>
      </c>
      <c r="U72" s="18">
        <v>23</v>
      </c>
      <c r="V72" s="18">
        <v>21</v>
      </c>
      <c r="W72" s="18">
        <v>5</v>
      </c>
      <c r="X72" s="18">
        <v>1</v>
      </c>
      <c r="Y72" s="18">
        <v>13</v>
      </c>
      <c r="Z72" s="18">
        <v>48</v>
      </c>
      <c r="AA72" s="18"/>
      <c r="AB72" s="18">
        <v>4</v>
      </c>
      <c r="AC72" s="18">
        <v>10</v>
      </c>
      <c r="AD72" s="18">
        <v>10</v>
      </c>
      <c r="AE72" s="18">
        <v>12</v>
      </c>
      <c r="AF72" s="18">
        <v>43</v>
      </c>
      <c r="AG72" s="18"/>
      <c r="AH72" s="18"/>
      <c r="AI72" s="18"/>
      <c r="AJ72" s="18"/>
      <c r="AK72" s="39"/>
      <c r="AL72" s="39"/>
      <c r="AM72" s="39">
        <v>108</v>
      </c>
      <c r="AN72" s="39">
        <v>16</v>
      </c>
      <c r="AO72" s="39">
        <v>9</v>
      </c>
      <c r="AP72" s="39">
        <v>1</v>
      </c>
      <c r="AQ72" s="39">
        <v>32</v>
      </c>
      <c r="AR72" s="39">
        <v>48</v>
      </c>
      <c r="AS72" s="39">
        <v>23</v>
      </c>
      <c r="AT72" s="39">
        <v>18</v>
      </c>
      <c r="AU72" s="39">
        <v>5</v>
      </c>
      <c r="AV72" s="39">
        <v>5</v>
      </c>
      <c r="AW72" s="18"/>
      <c r="AX72" s="18"/>
      <c r="AY72" s="18"/>
      <c r="AZ72" s="18"/>
      <c r="BA72" s="18"/>
      <c r="BB72" s="18"/>
      <c r="BC72" s="18">
        <v>8</v>
      </c>
      <c r="BD72" s="18">
        <v>20</v>
      </c>
      <c r="BE72" s="18">
        <v>6</v>
      </c>
      <c r="BF72" s="18">
        <v>4</v>
      </c>
      <c r="BG72" s="18"/>
      <c r="BH72" s="18">
        <v>1</v>
      </c>
      <c r="BI72" s="39"/>
      <c r="BJ72" s="39"/>
      <c r="BK72" s="18"/>
      <c r="BL72" s="18"/>
      <c r="BM72" s="18"/>
      <c r="BN72" s="18">
        <v>4</v>
      </c>
      <c r="BO72" s="18"/>
      <c r="BP72" s="18"/>
      <c r="BQ72" s="18">
        <v>30</v>
      </c>
      <c r="BR72" s="18">
        <v>10</v>
      </c>
      <c r="BS72" s="18"/>
      <c r="BT72" s="18"/>
      <c r="BU72" s="18">
        <v>4</v>
      </c>
      <c r="BV72" s="18"/>
      <c r="BW72" s="18">
        <v>30</v>
      </c>
      <c r="BX72" s="18"/>
      <c r="BY72" s="18">
        <v>-20</v>
      </c>
      <c r="BZ72" s="18"/>
      <c r="CA72" s="18">
        <v>15</v>
      </c>
      <c r="CB72" s="18">
        <v>5</v>
      </c>
      <c r="CC72" s="18">
        <v>540</v>
      </c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9">
        <f t="shared" ref="CY72:CY78" si="80">C72+E72+G72+I72+K72+M72+O72+Q72+S72+U72+W72+Y72+AA72+AC72+AE72+AG72+AI72+AK72+AM72+AO72+AQ72+AS72+AU72+AW72+AY72+BA72+BC72+BE72+BG72+BI72+BK72+BM72+BO72+BQ72+BS72+BU72+BW72+BY72+CA72+CC72+CE72+CG72+CI72+CK72+CM72+CO72+CQ72+CS72+CU72+CW72</f>
        <v>1348</v>
      </c>
      <c r="CZ72" s="19">
        <f t="shared" ref="CZ72:CZ78" si="81">D72+F72+H72+J72+L72+N72+P72+R72+T72+V72+X72+Z72+AB72+AD72+AF72+AH72+AJ72+AL72+AN72+AP72+AR72+AT72+AV72+AX72+AZ72+BB72+BD72+BF72+BH72+BJ72+BL72+BN72+BP72+BR72+BT72+BV72+BX72+BZ72+CB72+CD72+CF72+CH72+CJ72+CL72+CN72+CP72+CR72+CT72+CV72+CX72</f>
        <v>876</v>
      </c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</row>
    <row r="73" spans="1:122" ht="18" customHeight="1">
      <c r="A73" s="13" t="s">
        <v>53</v>
      </c>
      <c r="B73" s="14">
        <f>IFERROR(VLOOKUP(A73,PRICELIST!$A$3:$D$138,4,0),"-")</f>
        <v>82.93</v>
      </c>
      <c r="C73" s="18">
        <v>18</v>
      </c>
      <c r="D73" s="18">
        <v>51</v>
      </c>
      <c r="E73" s="18">
        <v>6</v>
      </c>
      <c r="F73" s="18">
        <v>11</v>
      </c>
      <c r="G73" s="18">
        <v>19</v>
      </c>
      <c r="H73" s="18">
        <v>20</v>
      </c>
      <c r="I73" s="18">
        <v>68</v>
      </c>
      <c r="J73" s="18">
        <v>53</v>
      </c>
      <c r="K73" s="18"/>
      <c r="L73" s="18"/>
      <c r="M73" s="18"/>
      <c r="N73" s="18"/>
      <c r="O73" s="18"/>
      <c r="P73" s="18"/>
      <c r="Q73" s="18">
        <v>40</v>
      </c>
      <c r="R73" s="18">
        <v>0</v>
      </c>
      <c r="S73" s="18">
        <v>20</v>
      </c>
      <c r="T73" s="18">
        <v>7</v>
      </c>
      <c r="U73" s="18">
        <v>20</v>
      </c>
      <c r="V73" s="18">
        <v>27</v>
      </c>
      <c r="W73" s="18">
        <v>2</v>
      </c>
      <c r="X73" s="18">
        <v>0</v>
      </c>
      <c r="Y73" s="18"/>
      <c r="Z73" s="18"/>
      <c r="AA73" s="18"/>
      <c r="AB73" s="18"/>
      <c r="AC73" s="18">
        <v>6</v>
      </c>
      <c r="AD73" s="18">
        <v>6</v>
      </c>
      <c r="AE73" s="18"/>
      <c r="AF73" s="18">
        <v>10</v>
      </c>
      <c r="AG73" s="18"/>
      <c r="AH73" s="18"/>
      <c r="AI73" s="18"/>
      <c r="AJ73" s="18"/>
      <c r="AK73" s="39"/>
      <c r="AL73" s="39"/>
      <c r="AM73" s="39">
        <v>29</v>
      </c>
      <c r="AN73" s="39">
        <v>10</v>
      </c>
      <c r="AO73" s="39">
        <v>3</v>
      </c>
      <c r="AP73" s="39">
        <v>4</v>
      </c>
      <c r="AQ73" s="39">
        <v>5</v>
      </c>
      <c r="AR73" s="39">
        <v>15</v>
      </c>
      <c r="AS73" s="39">
        <v>16</v>
      </c>
      <c r="AT73" s="39">
        <v>11</v>
      </c>
      <c r="AU73" s="39">
        <v>6</v>
      </c>
      <c r="AV73" s="39">
        <v>13</v>
      </c>
      <c r="AW73" s="18"/>
      <c r="AX73" s="18"/>
      <c r="AY73" s="18"/>
      <c r="AZ73" s="18"/>
      <c r="BA73" s="18"/>
      <c r="BB73" s="18"/>
      <c r="BC73" s="18">
        <v>12</v>
      </c>
      <c r="BD73" s="18">
        <v>26</v>
      </c>
      <c r="BE73" s="18"/>
      <c r="BF73" s="18"/>
      <c r="BG73" s="18"/>
      <c r="BH73" s="18"/>
      <c r="BI73" s="39"/>
      <c r="BJ73" s="39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>
        <v>13</v>
      </c>
      <c r="BW73" s="18"/>
      <c r="BX73" s="18"/>
      <c r="BY73" s="18">
        <v>60</v>
      </c>
      <c r="BZ73" s="18"/>
      <c r="CA73" s="18"/>
      <c r="CB73" s="18"/>
      <c r="CC73" s="18">
        <v>150</v>
      </c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9">
        <f t="shared" si="80"/>
        <v>480</v>
      </c>
      <c r="CZ73" s="19">
        <f t="shared" si="81"/>
        <v>277</v>
      </c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</row>
    <row r="74" spans="1:122" ht="18" customHeight="1">
      <c r="A74" s="13" t="s">
        <v>54</v>
      </c>
      <c r="B74" s="14">
        <f>IFERROR(VLOOKUP(A74,PRICELIST!$A$3:$D$138,4,0),"-")</f>
        <v>96.43</v>
      </c>
      <c r="C74" s="18">
        <v>130</v>
      </c>
      <c r="D74" s="18">
        <v>85</v>
      </c>
      <c r="E74" s="18"/>
      <c r="F74" s="18"/>
      <c r="G74" s="18"/>
      <c r="H74" s="18"/>
      <c r="I74" s="18">
        <v>23</v>
      </c>
      <c r="J74" s="18">
        <v>13</v>
      </c>
      <c r="K74" s="18"/>
      <c r="L74" s="18"/>
      <c r="M74" s="18"/>
      <c r="N74" s="18"/>
      <c r="O74" s="18"/>
      <c r="P74" s="18">
        <v>9</v>
      </c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39"/>
      <c r="AL74" s="39"/>
      <c r="AM74" s="39">
        <v>70</v>
      </c>
      <c r="AN74" s="39">
        <v>18</v>
      </c>
      <c r="AO74" s="39"/>
      <c r="AP74" s="39"/>
      <c r="AQ74" s="39">
        <v>25</v>
      </c>
      <c r="AR74" s="39">
        <v>60</v>
      </c>
      <c r="AS74" s="39">
        <v>10</v>
      </c>
      <c r="AT74" s="39">
        <v>8</v>
      </c>
      <c r="AU74" s="39">
        <v>3</v>
      </c>
      <c r="AV74" s="39">
        <v>19</v>
      </c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39"/>
      <c r="BJ74" s="39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>
        <v>30</v>
      </c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9">
        <f t="shared" si="80"/>
        <v>291</v>
      </c>
      <c r="CZ74" s="19">
        <f t="shared" si="81"/>
        <v>212</v>
      </c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</row>
    <row r="75" spans="1:122" ht="18" customHeight="1">
      <c r="A75" s="13" t="s">
        <v>55</v>
      </c>
      <c r="B75" s="14">
        <f>IFERROR(VLOOKUP(A75,PRICELIST!$A$3:$D$138,4,0),"-")</f>
        <v>47.57</v>
      </c>
      <c r="C75" s="18">
        <v>12.5</v>
      </c>
      <c r="D75" s="18">
        <v>40</v>
      </c>
      <c r="E75" s="18">
        <v>51</v>
      </c>
      <c r="F75" s="18">
        <v>29</v>
      </c>
      <c r="G75" s="18">
        <v>37</v>
      </c>
      <c r="H75" s="18">
        <v>31</v>
      </c>
      <c r="I75" s="18">
        <v>17</v>
      </c>
      <c r="J75" s="18">
        <v>18</v>
      </c>
      <c r="K75" s="18"/>
      <c r="L75" s="18"/>
      <c r="M75" s="18"/>
      <c r="N75" s="18"/>
      <c r="O75" s="18">
        <v>12</v>
      </c>
      <c r="P75" s="18"/>
      <c r="Q75" s="18">
        <v>10</v>
      </c>
      <c r="R75" s="18"/>
      <c r="S75" s="18"/>
      <c r="T75" s="18"/>
      <c r="U75" s="18">
        <v>9</v>
      </c>
      <c r="V75" s="18">
        <v>11</v>
      </c>
      <c r="W75" s="18">
        <v>15</v>
      </c>
      <c r="X75" s="18"/>
      <c r="Y75" s="18">
        <v>96</v>
      </c>
      <c r="Z75" s="18">
        <v>74</v>
      </c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39"/>
      <c r="AL75" s="39"/>
      <c r="AM75" s="39">
        <v>22</v>
      </c>
      <c r="AN75" s="39">
        <v>3</v>
      </c>
      <c r="AO75" s="39"/>
      <c r="AP75" s="39"/>
      <c r="AQ75" s="39">
        <v>10</v>
      </c>
      <c r="AR75" s="39">
        <v>30</v>
      </c>
      <c r="AS75" s="39">
        <v>2</v>
      </c>
      <c r="AT75" s="39">
        <v>0</v>
      </c>
      <c r="AU75" s="39"/>
      <c r="AV75" s="39"/>
      <c r="AW75" s="18">
        <v>50</v>
      </c>
      <c r="AX75" s="18">
        <v>14</v>
      </c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39"/>
      <c r="BJ75" s="39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>
        <v>6</v>
      </c>
      <c r="BV75" s="18">
        <v>6</v>
      </c>
      <c r="BW75" s="18"/>
      <c r="BX75" s="18"/>
      <c r="BY75" s="18"/>
      <c r="BZ75" s="18"/>
      <c r="CA75" s="18"/>
      <c r="CB75" s="18"/>
      <c r="CC75" s="18">
        <v>60</v>
      </c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9">
        <f t="shared" si="80"/>
        <v>409.5</v>
      </c>
      <c r="CZ75" s="19">
        <f t="shared" si="81"/>
        <v>256</v>
      </c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</row>
    <row r="76" spans="1:122" ht="18" customHeight="1">
      <c r="A76" s="13" t="s">
        <v>132</v>
      </c>
      <c r="B76" s="14">
        <f>IFERROR(VLOOKUP(A76,PRICELIST!$A$3:$D$138,4,0),"-")</f>
        <v>128.57</v>
      </c>
      <c r="C76" s="18">
        <v>441</v>
      </c>
      <c r="D76" s="18">
        <v>649</v>
      </c>
      <c r="E76" s="18">
        <v>36</v>
      </c>
      <c r="F76" s="18">
        <v>12</v>
      </c>
      <c r="G76" s="18">
        <v>63</v>
      </c>
      <c r="H76" s="18">
        <v>62</v>
      </c>
      <c r="I76" s="18">
        <v>12</v>
      </c>
      <c r="J76" s="18">
        <v>10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>
        <v>95</v>
      </c>
      <c r="V76" s="18">
        <v>1</v>
      </c>
      <c r="W76" s="18"/>
      <c r="X76" s="18"/>
      <c r="Y76" s="18"/>
      <c r="Z76" s="18">
        <v>5</v>
      </c>
      <c r="AA76" s="18">
        <v>39</v>
      </c>
      <c r="AB76" s="18">
        <v>34</v>
      </c>
      <c r="AC76" s="18"/>
      <c r="AD76" s="18"/>
      <c r="AE76" s="18">
        <v>3</v>
      </c>
      <c r="AF76" s="18">
        <v>34</v>
      </c>
      <c r="AG76" s="18"/>
      <c r="AH76" s="18"/>
      <c r="AI76" s="18"/>
      <c r="AJ76" s="18"/>
      <c r="AK76" s="39"/>
      <c r="AL76" s="39"/>
      <c r="AM76" s="39"/>
      <c r="AN76" s="39"/>
      <c r="AO76" s="39"/>
      <c r="AP76" s="39"/>
      <c r="AQ76" s="39">
        <v>0</v>
      </c>
      <c r="AR76" s="39">
        <v>30</v>
      </c>
      <c r="AS76" s="39"/>
      <c r="AT76" s="39"/>
      <c r="AU76" s="39"/>
      <c r="AV76" s="39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39"/>
      <c r="BJ76" s="39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>
        <v>50</v>
      </c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9">
        <f t="shared" ref="CY76" si="82">C76+E76+G76+I76+K76+M76+O76+Q76+S76+U76+W76+Y76+AA76+AC76+AE76+AG76+AI76+AK76+AM76+AO76+AQ76+AS76+AU76+AW76+AY76+BA76+BC76+BE76+BG76+BI76+BK76+BM76+BO76+BQ76+BS76+BU76+BW76+BY76+CA76+CC76+CE76+CG76+CI76+CK76+CM76+CO76+CQ76+CS76+CU76+CW76</f>
        <v>739</v>
      </c>
      <c r="CZ76" s="19">
        <f t="shared" ref="CZ76" si="83">D76+F76+H76+J76+L76+N76+P76+R76+T76+V76+X76+Z76+AB76+AD76+AF76+AH76+AJ76+AL76+AN76+AP76+AR76+AT76+AV76+AX76+AZ76+BB76+BD76+BF76+BH76+BJ76+BL76+BN76+BP76+BR76+BT76+BV76+BX76+BZ76+CB76+CD76+CF76+CH76+CJ76+CL76+CN76+CP76+CR76+CT76+CV76+CX76</f>
        <v>837</v>
      </c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</row>
    <row r="77" spans="1:122" ht="18" customHeight="1">
      <c r="A77" s="13" t="s">
        <v>86</v>
      </c>
      <c r="B77" s="14">
        <f>IFERROR(VLOOKUP(A77,PRICELIST!$A$3:$D$138,4,0),"-")</f>
        <v>130.5</v>
      </c>
      <c r="C77" s="18">
        <v>13</v>
      </c>
      <c r="D77" s="18">
        <v>220</v>
      </c>
      <c r="E77" s="18">
        <v>16</v>
      </c>
      <c r="F77" s="18">
        <v>17</v>
      </c>
      <c r="G77" s="18">
        <v>8</v>
      </c>
      <c r="H77" s="18">
        <v>9</v>
      </c>
      <c r="I77" s="18">
        <v>56</v>
      </c>
      <c r="J77" s="18">
        <v>55</v>
      </c>
      <c r="K77" s="18"/>
      <c r="L77" s="18"/>
      <c r="M77" s="18"/>
      <c r="N77" s="18"/>
      <c r="O77" s="18">
        <v>6</v>
      </c>
      <c r="P77" s="18">
        <v>4</v>
      </c>
      <c r="Q77" s="18"/>
      <c r="R77" s="18"/>
      <c r="S77" s="18"/>
      <c r="T77" s="18"/>
      <c r="U77" s="18"/>
      <c r="V77" s="18"/>
      <c r="W77" s="18">
        <v>3</v>
      </c>
      <c r="X77" s="18">
        <v>11</v>
      </c>
      <c r="Y77" s="18"/>
      <c r="Z77" s="18"/>
      <c r="AA77" s="18"/>
      <c r="AB77" s="18"/>
      <c r="AC77" s="18"/>
      <c r="AD77" s="18"/>
      <c r="AE77" s="18">
        <v>10</v>
      </c>
      <c r="AF77" s="18">
        <v>10</v>
      </c>
      <c r="AG77" s="18"/>
      <c r="AH77" s="18"/>
      <c r="AI77" s="18"/>
      <c r="AJ77" s="18"/>
      <c r="AK77" s="39"/>
      <c r="AL77" s="39"/>
      <c r="AM77" s="39">
        <v>22</v>
      </c>
      <c r="AN77" s="39">
        <v>8</v>
      </c>
      <c r="AO77" s="39">
        <v>9</v>
      </c>
      <c r="AP77" s="39">
        <v>0</v>
      </c>
      <c r="AQ77" s="39">
        <v>0</v>
      </c>
      <c r="AR77" s="39">
        <v>40</v>
      </c>
      <c r="AS77" s="39">
        <v>14</v>
      </c>
      <c r="AT77" s="39">
        <v>9</v>
      </c>
      <c r="AU77" s="39">
        <v>12</v>
      </c>
      <c r="AV77" s="39">
        <v>1</v>
      </c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39">
        <v>3</v>
      </c>
      <c r="BJ77" s="39">
        <v>13</v>
      </c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>
        <v>1</v>
      </c>
      <c r="BV77" s="18">
        <v>1</v>
      </c>
      <c r="BW77" s="18"/>
      <c r="BX77" s="18"/>
      <c r="BY77" s="18">
        <v>-195</v>
      </c>
      <c r="BZ77" s="18"/>
      <c r="CA77" s="18"/>
      <c r="CB77" s="18"/>
      <c r="CC77" s="18">
        <v>60</v>
      </c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9">
        <f t="shared" si="80"/>
        <v>38</v>
      </c>
      <c r="CZ77" s="19">
        <f t="shared" si="81"/>
        <v>398</v>
      </c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</row>
    <row r="78" spans="1:122" ht="18" customHeight="1">
      <c r="A78" s="26" t="s">
        <v>121</v>
      </c>
      <c r="B78" s="14">
        <f>IFERROR(VLOOKUP(A78,PRICELIST!$A$3:$D$138,4,0),"-")</f>
        <v>146.88999999999999</v>
      </c>
      <c r="C78" s="18">
        <v>478</v>
      </c>
      <c r="D78" s="18">
        <v>991</v>
      </c>
      <c r="E78" s="18">
        <v>-15</v>
      </c>
      <c r="F78" s="18">
        <v>81</v>
      </c>
      <c r="G78" s="18">
        <v>40</v>
      </c>
      <c r="H78" s="18">
        <v>15</v>
      </c>
      <c r="I78" s="18">
        <v>106</v>
      </c>
      <c r="J78" s="18">
        <v>82</v>
      </c>
      <c r="K78" s="18"/>
      <c r="L78" s="18"/>
      <c r="M78" s="18"/>
      <c r="N78" s="18">
        <v>26</v>
      </c>
      <c r="O78" s="18"/>
      <c r="P78" s="18"/>
      <c r="Q78" s="18"/>
      <c r="R78" s="18"/>
      <c r="S78" s="18"/>
      <c r="T78" s="18"/>
      <c r="U78" s="18"/>
      <c r="V78" s="18"/>
      <c r="W78" s="18">
        <v>22</v>
      </c>
      <c r="X78" s="18">
        <v>18</v>
      </c>
      <c r="Y78" s="18">
        <v>6</v>
      </c>
      <c r="Z78" s="18">
        <v>20</v>
      </c>
      <c r="AA78" s="18">
        <v>53</v>
      </c>
      <c r="AB78" s="18">
        <v>5</v>
      </c>
      <c r="AC78" s="18"/>
      <c r="AD78" s="18"/>
      <c r="AE78" s="18">
        <v>14</v>
      </c>
      <c r="AF78" s="18">
        <v>23</v>
      </c>
      <c r="AG78" s="18"/>
      <c r="AH78" s="18"/>
      <c r="AI78" s="18"/>
      <c r="AJ78" s="18"/>
      <c r="AK78" s="39">
        <v>0</v>
      </c>
      <c r="AL78" s="39">
        <v>30</v>
      </c>
      <c r="AM78" s="39">
        <v>59</v>
      </c>
      <c r="AN78" s="39">
        <v>17</v>
      </c>
      <c r="AO78" s="39"/>
      <c r="AP78" s="39"/>
      <c r="AQ78" s="39">
        <v>11</v>
      </c>
      <c r="AR78" s="39">
        <v>89</v>
      </c>
      <c r="AS78" s="39">
        <v>29</v>
      </c>
      <c r="AT78" s="39">
        <v>17</v>
      </c>
      <c r="AU78" s="39">
        <v>23</v>
      </c>
      <c r="AV78" s="39">
        <v>8</v>
      </c>
      <c r="AW78" s="18">
        <v>5</v>
      </c>
      <c r="AX78" s="18">
        <v>5</v>
      </c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39"/>
      <c r="BJ78" s="39"/>
      <c r="BK78" s="18"/>
      <c r="BL78" s="18"/>
      <c r="BM78" s="18"/>
      <c r="BN78" s="18"/>
      <c r="BO78" s="18"/>
      <c r="BP78" s="18"/>
      <c r="BQ78" s="18">
        <v>35</v>
      </c>
      <c r="BR78" s="18">
        <v>15</v>
      </c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>
        <v>200</v>
      </c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9">
        <f t="shared" si="80"/>
        <v>1066</v>
      </c>
      <c r="CZ78" s="19">
        <f t="shared" si="81"/>
        <v>1442</v>
      </c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</row>
    <row r="79" spans="1:122" ht="18" customHeight="1">
      <c r="A79" s="9" t="s">
        <v>56</v>
      </c>
      <c r="B79" s="10"/>
      <c r="C79" s="11">
        <f>SUMPRODUCT($B72:$B78,C72:C78)</f>
        <v>158159.95500000002</v>
      </c>
      <c r="D79" s="11">
        <f t="shared" ref="D79:BO79" si="84">SUMPRODUCT($B72:$B78,D72:D78)</f>
        <v>335738.94</v>
      </c>
      <c r="E79" s="11">
        <f t="shared" si="84"/>
        <v>16227.4</v>
      </c>
      <c r="F79" s="11">
        <f t="shared" si="84"/>
        <v>21434.25</v>
      </c>
      <c r="G79" s="11">
        <f t="shared" si="84"/>
        <v>26814.129999999997</v>
      </c>
      <c r="H79" s="11">
        <f t="shared" si="84"/>
        <v>19458.259999999998</v>
      </c>
      <c r="I79" s="11">
        <f t="shared" si="84"/>
        <v>69576.2</v>
      </c>
      <c r="J79" s="11">
        <f t="shared" si="84"/>
        <v>50067.86</v>
      </c>
      <c r="K79" s="11">
        <f t="shared" si="84"/>
        <v>0</v>
      </c>
      <c r="L79" s="11">
        <f t="shared" si="84"/>
        <v>0</v>
      </c>
      <c r="M79" s="11">
        <f t="shared" si="84"/>
        <v>0</v>
      </c>
      <c r="N79" s="11">
        <f t="shared" si="84"/>
        <v>3819.1399999999994</v>
      </c>
      <c r="O79" s="11">
        <f t="shared" si="84"/>
        <v>3841.7400000000002</v>
      </c>
      <c r="P79" s="11">
        <f t="shared" si="84"/>
        <v>7029.1100000000006</v>
      </c>
      <c r="Q79" s="11">
        <f t="shared" si="84"/>
        <v>12085.900000000001</v>
      </c>
      <c r="R79" s="11">
        <f t="shared" si="84"/>
        <v>829.30000000000007</v>
      </c>
      <c r="S79" s="11">
        <f t="shared" si="84"/>
        <v>4312.3600000000006</v>
      </c>
      <c r="T79" s="11">
        <f t="shared" si="84"/>
        <v>1243.95</v>
      </c>
      <c r="U79" s="11">
        <f t="shared" si="84"/>
        <v>18115.66</v>
      </c>
      <c r="V79" s="11">
        <f t="shared" si="84"/>
        <v>6374.01</v>
      </c>
      <c r="W79" s="11">
        <f t="shared" si="84"/>
        <v>5331.79</v>
      </c>
      <c r="X79" s="11">
        <f t="shared" si="84"/>
        <v>4245.3799999999992</v>
      </c>
      <c r="Y79" s="11">
        <f t="shared" si="84"/>
        <v>7604.2400000000007</v>
      </c>
      <c r="Z79" s="11">
        <f t="shared" si="84"/>
        <v>15062.11</v>
      </c>
      <c r="AA79" s="11">
        <f t="shared" si="84"/>
        <v>12799.399999999998</v>
      </c>
      <c r="AB79" s="11">
        <f t="shared" si="84"/>
        <v>5769.2699999999995</v>
      </c>
      <c r="AC79" s="11">
        <f t="shared" si="84"/>
        <v>2156.1800000000003</v>
      </c>
      <c r="AD79" s="11">
        <f t="shared" si="84"/>
        <v>2156.1800000000003</v>
      </c>
      <c r="AE79" s="11">
        <f t="shared" si="84"/>
        <v>5737.49</v>
      </c>
      <c r="AF79" s="11">
        <f t="shared" si="84"/>
        <v>17016.13</v>
      </c>
      <c r="AG79" s="11">
        <f t="shared" si="84"/>
        <v>0</v>
      </c>
      <c r="AH79" s="11">
        <f t="shared" si="84"/>
        <v>0</v>
      </c>
      <c r="AI79" s="11">
        <f t="shared" si="84"/>
        <v>0</v>
      </c>
      <c r="AJ79" s="11">
        <f t="shared" si="84"/>
        <v>0</v>
      </c>
      <c r="AK79" s="40">
        <f t="shared" si="84"/>
        <v>0</v>
      </c>
      <c r="AL79" s="40">
        <f t="shared" si="84"/>
        <v>4406.7</v>
      </c>
      <c r="AM79" s="40">
        <f t="shared" si="84"/>
        <v>39652</v>
      </c>
      <c r="AN79" s="40">
        <f t="shared" si="84"/>
        <v>8902.6400000000012</v>
      </c>
      <c r="AO79" s="40">
        <f t="shared" si="84"/>
        <v>2916.03</v>
      </c>
      <c r="AP79" s="40">
        <f t="shared" si="84"/>
        <v>497.58000000000004</v>
      </c>
      <c r="AQ79" s="40">
        <f t="shared" si="84"/>
        <v>10224.41</v>
      </c>
      <c r="AR79" s="40">
        <f t="shared" si="84"/>
        <v>38568.44</v>
      </c>
      <c r="AS79" s="40">
        <f t="shared" si="84"/>
        <v>12287.91</v>
      </c>
      <c r="AT79" s="40">
        <f t="shared" si="84"/>
        <v>8340.7800000000007</v>
      </c>
      <c r="AU79" s="40">
        <f t="shared" si="84"/>
        <v>6560.6399999999994</v>
      </c>
      <c r="AV79" s="40">
        <f t="shared" si="84"/>
        <v>5045.18</v>
      </c>
      <c r="AW79" s="11">
        <f t="shared" si="84"/>
        <v>3112.95</v>
      </c>
      <c r="AX79" s="11">
        <f t="shared" si="84"/>
        <v>1400.4299999999998</v>
      </c>
      <c r="AY79" s="11">
        <f t="shared" si="84"/>
        <v>0</v>
      </c>
      <c r="AZ79" s="11">
        <f t="shared" si="84"/>
        <v>0</v>
      </c>
      <c r="BA79" s="11">
        <f t="shared" si="84"/>
        <v>0</v>
      </c>
      <c r="BB79" s="11">
        <f t="shared" si="84"/>
        <v>0</v>
      </c>
      <c r="BC79" s="11">
        <f t="shared" si="84"/>
        <v>2322.04</v>
      </c>
      <c r="BD79" s="11">
        <f t="shared" si="84"/>
        <v>5473.380000000001</v>
      </c>
      <c r="BE79" s="11">
        <f t="shared" si="84"/>
        <v>995.16000000000008</v>
      </c>
      <c r="BF79" s="11">
        <f t="shared" si="84"/>
        <v>663.44</v>
      </c>
      <c r="BG79" s="11">
        <f t="shared" si="84"/>
        <v>0</v>
      </c>
      <c r="BH79" s="11">
        <f t="shared" si="84"/>
        <v>165.86</v>
      </c>
      <c r="BI79" s="40">
        <f t="shared" si="84"/>
        <v>391.5</v>
      </c>
      <c r="BJ79" s="40">
        <f t="shared" si="84"/>
        <v>1696.5</v>
      </c>
      <c r="BK79" s="11">
        <f t="shared" si="84"/>
        <v>0</v>
      </c>
      <c r="BL79" s="11">
        <f t="shared" si="84"/>
        <v>0</v>
      </c>
      <c r="BM79" s="11">
        <f t="shared" si="84"/>
        <v>0</v>
      </c>
      <c r="BN79" s="11">
        <f t="shared" si="84"/>
        <v>663.44</v>
      </c>
      <c r="BO79" s="11">
        <f t="shared" si="84"/>
        <v>0</v>
      </c>
      <c r="BP79" s="11">
        <f t="shared" ref="BP79:CX79" si="85">SUMPRODUCT($B72:$B78,BP72:BP78)</f>
        <v>0</v>
      </c>
      <c r="BQ79" s="11">
        <f t="shared" si="85"/>
        <v>10116.950000000001</v>
      </c>
      <c r="BR79" s="11">
        <f t="shared" si="85"/>
        <v>3861.95</v>
      </c>
      <c r="BS79" s="11">
        <f t="shared" si="85"/>
        <v>0</v>
      </c>
      <c r="BT79" s="11">
        <f t="shared" si="85"/>
        <v>0</v>
      </c>
      <c r="BU79" s="11">
        <f t="shared" si="85"/>
        <v>1079.3600000000001</v>
      </c>
      <c r="BV79" s="11">
        <f t="shared" si="85"/>
        <v>1494.0100000000002</v>
      </c>
      <c r="BW79" s="11">
        <f t="shared" si="85"/>
        <v>4975.8</v>
      </c>
      <c r="BX79" s="11">
        <f t="shared" si="85"/>
        <v>0</v>
      </c>
      <c r="BY79" s="11">
        <f t="shared" si="85"/>
        <v>-23788.9</v>
      </c>
      <c r="BZ79" s="11">
        <f t="shared" si="85"/>
        <v>0</v>
      </c>
      <c r="CA79" s="11">
        <f t="shared" si="85"/>
        <v>2487.9</v>
      </c>
      <c r="CB79" s="11">
        <f t="shared" si="85"/>
        <v>829.30000000000007</v>
      </c>
      <c r="CC79" s="11">
        <f t="shared" si="85"/>
        <v>151387.5</v>
      </c>
      <c r="CD79" s="11">
        <f t="shared" si="85"/>
        <v>0</v>
      </c>
      <c r="CE79" s="11">
        <f t="shared" si="85"/>
        <v>0</v>
      </c>
      <c r="CF79" s="11">
        <f t="shared" si="85"/>
        <v>0</v>
      </c>
      <c r="CG79" s="11">
        <f t="shared" si="85"/>
        <v>0</v>
      </c>
      <c r="CH79" s="11">
        <f t="shared" si="85"/>
        <v>0</v>
      </c>
      <c r="CI79" s="11">
        <f t="shared" si="85"/>
        <v>0</v>
      </c>
      <c r="CJ79" s="11">
        <f t="shared" si="85"/>
        <v>0</v>
      </c>
      <c r="CK79" s="11">
        <f t="shared" si="85"/>
        <v>0</v>
      </c>
      <c r="CL79" s="11">
        <f t="shared" si="85"/>
        <v>0</v>
      </c>
      <c r="CM79" s="11">
        <f t="shared" si="85"/>
        <v>0</v>
      </c>
      <c r="CN79" s="11">
        <f t="shared" si="85"/>
        <v>0</v>
      </c>
      <c r="CO79" s="11">
        <f t="shared" si="85"/>
        <v>0</v>
      </c>
      <c r="CP79" s="11">
        <f t="shared" si="85"/>
        <v>0</v>
      </c>
      <c r="CQ79" s="11">
        <f t="shared" si="85"/>
        <v>0</v>
      </c>
      <c r="CR79" s="11">
        <f t="shared" si="85"/>
        <v>0</v>
      </c>
      <c r="CS79" s="11">
        <f t="shared" si="85"/>
        <v>0</v>
      </c>
      <c r="CT79" s="11">
        <f t="shared" si="85"/>
        <v>0</v>
      </c>
      <c r="CU79" s="11">
        <f t="shared" si="85"/>
        <v>0</v>
      </c>
      <c r="CV79" s="11">
        <f t="shared" si="85"/>
        <v>0</v>
      </c>
      <c r="CW79" s="11">
        <f t="shared" si="85"/>
        <v>0</v>
      </c>
      <c r="CX79" s="11">
        <f t="shared" si="85"/>
        <v>0</v>
      </c>
      <c r="CY79" s="11">
        <f t="shared" ref="CY79" si="86">SUMPRODUCT($B72:$B78,CY72:CY78)</f>
        <v>567483.69500000007</v>
      </c>
      <c r="CZ79" s="11">
        <f t="shared" ref="CZ79" si="87">SUMPRODUCT($B72:$B78,CZ72:CZ78)</f>
        <v>572253.52</v>
      </c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</row>
    <row r="80" spans="1:122" ht="18" customHeight="1">
      <c r="A80" s="13" t="s">
        <v>57</v>
      </c>
      <c r="B80" s="14">
        <f>IFERROR(VLOOKUP(A80,PRICELIST!$A$3:$D$138,4,0),"-")</f>
        <v>78.75</v>
      </c>
      <c r="C80" s="18">
        <v>54</v>
      </c>
      <c r="D80" s="18">
        <v>215</v>
      </c>
      <c r="E80" s="18">
        <v>27</v>
      </c>
      <c r="F80" s="18">
        <v>18</v>
      </c>
      <c r="G80" s="18">
        <v>48</v>
      </c>
      <c r="H80" s="18">
        <v>37</v>
      </c>
      <c r="I80" s="18">
        <v>31</v>
      </c>
      <c r="J80" s="18">
        <v>32</v>
      </c>
      <c r="K80" s="18"/>
      <c r="L80" s="18"/>
      <c r="M80" s="18">
        <v>42</v>
      </c>
      <c r="N80" s="18">
        <v>51</v>
      </c>
      <c r="O80" s="18"/>
      <c r="P80" s="18"/>
      <c r="Q80" s="18"/>
      <c r="R80" s="18"/>
      <c r="S80" s="18"/>
      <c r="T80" s="18"/>
      <c r="U80" s="18"/>
      <c r="V80" s="18"/>
      <c r="W80" s="18">
        <v>10</v>
      </c>
      <c r="X80" s="18">
        <v>10</v>
      </c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39"/>
      <c r="AL80" s="39"/>
      <c r="AM80" s="39">
        <v>67</v>
      </c>
      <c r="AN80" s="39">
        <v>25</v>
      </c>
      <c r="AO80" s="39"/>
      <c r="AP80" s="39"/>
      <c r="AQ80" s="39"/>
      <c r="AR80" s="39"/>
      <c r="AS80" s="39">
        <v>2</v>
      </c>
      <c r="AT80" s="39">
        <v>2</v>
      </c>
      <c r="AU80" s="39"/>
      <c r="AV80" s="39"/>
      <c r="AW80" s="18">
        <v>15</v>
      </c>
      <c r="AX80" s="18">
        <v>5</v>
      </c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39"/>
      <c r="BJ80" s="39"/>
      <c r="BK80" s="18"/>
      <c r="BL80" s="18"/>
      <c r="BM80" s="18"/>
      <c r="BN80" s="18"/>
      <c r="BO80" s="18"/>
      <c r="BP80" s="18"/>
      <c r="BQ80" s="18">
        <v>5</v>
      </c>
      <c r="BR80" s="18">
        <v>5</v>
      </c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>
        <v>80</v>
      </c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9">
        <f>C80+E80+G80+I80+K80+M80+O80+Q80+S80+U80+W80+Y80+AA80+AC80+AE80+AG80+AI80+AK80+AM80+AO80+AQ80+AS80+AU80+AW80+AY80+BA80+BC80+BE80+BG80+BI80+BK80+BM80+BO80+BQ80+BS80+BU80+BW80+BY80+CA80+CC80+CE80+CG80+CI80+CK80+CM80+CO80+CQ80+CS80+CU80+CW80</f>
        <v>381</v>
      </c>
      <c r="CZ80" s="19">
        <f>D80+F80+H80+J80+L80+N80+P80+R80+T80+V80+X80+Z80+AB80+AD80+AF80+AH80+AJ80+AL80+AN80+AP80+AR80+AT80+AV80+AX80+AZ80+BB80+BD80+BF80+BH80+BJ80+BL80+BN80+BP80+BR80+BT80+BV80+BX80+BZ80+CB80+CD80+CF80+CH80+CJ80+CL80+CN80+CP80+CR80+CT80+CV80+CX80</f>
        <v>400</v>
      </c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</row>
    <row r="81" spans="1:122" ht="18" customHeight="1">
      <c r="A81" s="9" t="s">
        <v>58</v>
      </c>
      <c r="B81" s="10"/>
      <c r="C81" s="11">
        <f>SUMPRODUCT($B80*C80)</f>
        <v>4252.5</v>
      </c>
      <c r="D81" s="11">
        <f t="shared" ref="D81:BO81" si="88">SUMPRODUCT($B80*D80)</f>
        <v>16931.25</v>
      </c>
      <c r="E81" s="11">
        <f t="shared" si="88"/>
        <v>2126.25</v>
      </c>
      <c r="F81" s="11">
        <f t="shared" si="88"/>
        <v>1417.5</v>
      </c>
      <c r="G81" s="11">
        <f t="shared" si="88"/>
        <v>3780</v>
      </c>
      <c r="H81" s="11">
        <f t="shared" si="88"/>
        <v>2913.75</v>
      </c>
      <c r="I81" s="11">
        <f t="shared" si="88"/>
        <v>2441.25</v>
      </c>
      <c r="J81" s="11">
        <f t="shared" si="88"/>
        <v>2520</v>
      </c>
      <c r="K81" s="11">
        <f t="shared" si="88"/>
        <v>0</v>
      </c>
      <c r="L81" s="11">
        <f t="shared" si="88"/>
        <v>0</v>
      </c>
      <c r="M81" s="11">
        <f t="shared" si="88"/>
        <v>3307.5</v>
      </c>
      <c r="N81" s="11">
        <f t="shared" si="88"/>
        <v>4016.25</v>
      </c>
      <c r="O81" s="11">
        <f t="shared" si="88"/>
        <v>0</v>
      </c>
      <c r="P81" s="11">
        <f t="shared" si="88"/>
        <v>0</v>
      </c>
      <c r="Q81" s="11">
        <f t="shared" si="88"/>
        <v>0</v>
      </c>
      <c r="R81" s="11">
        <f t="shared" si="88"/>
        <v>0</v>
      </c>
      <c r="S81" s="11">
        <f t="shared" si="88"/>
        <v>0</v>
      </c>
      <c r="T81" s="11">
        <f t="shared" si="88"/>
        <v>0</v>
      </c>
      <c r="U81" s="11">
        <f t="shared" si="88"/>
        <v>0</v>
      </c>
      <c r="V81" s="11">
        <f t="shared" si="88"/>
        <v>0</v>
      </c>
      <c r="W81" s="11">
        <f t="shared" si="88"/>
        <v>787.5</v>
      </c>
      <c r="X81" s="11">
        <f t="shared" si="88"/>
        <v>787.5</v>
      </c>
      <c r="Y81" s="11">
        <f t="shared" si="88"/>
        <v>0</v>
      </c>
      <c r="Z81" s="11">
        <f t="shared" si="88"/>
        <v>0</v>
      </c>
      <c r="AA81" s="11">
        <f t="shared" si="88"/>
        <v>0</v>
      </c>
      <c r="AB81" s="11">
        <f t="shared" si="88"/>
        <v>0</v>
      </c>
      <c r="AC81" s="11">
        <f t="shared" si="88"/>
        <v>0</v>
      </c>
      <c r="AD81" s="11">
        <f t="shared" si="88"/>
        <v>0</v>
      </c>
      <c r="AE81" s="11">
        <f t="shared" si="88"/>
        <v>0</v>
      </c>
      <c r="AF81" s="11">
        <f t="shared" si="88"/>
        <v>0</v>
      </c>
      <c r="AG81" s="11">
        <f t="shared" si="88"/>
        <v>0</v>
      </c>
      <c r="AH81" s="11">
        <f t="shared" si="88"/>
        <v>0</v>
      </c>
      <c r="AI81" s="11">
        <f t="shared" si="88"/>
        <v>0</v>
      </c>
      <c r="AJ81" s="11">
        <f t="shared" si="88"/>
        <v>0</v>
      </c>
      <c r="AK81" s="40">
        <f t="shared" si="88"/>
        <v>0</v>
      </c>
      <c r="AL81" s="40">
        <f t="shared" si="88"/>
        <v>0</v>
      </c>
      <c r="AM81" s="40">
        <f t="shared" si="88"/>
        <v>5276.25</v>
      </c>
      <c r="AN81" s="40">
        <f t="shared" si="88"/>
        <v>1968.75</v>
      </c>
      <c r="AO81" s="40">
        <f t="shared" si="88"/>
        <v>0</v>
      </c>
      <c r="AP81" s="40">
        <f t="shared" si="88"/>
        <v>0</v>
      </c>
      <c r="AQ81" s="40">
        <f t="shared" si="88"/>
        <v>0</v>
      </c>
      <c r="AR81" s="40">
        <f t="shared" si="88"/>
        <v>0</v>
      </c>
      <c r="AS81" s="40">
        <f t="shared" si="88"/>
        <v>157.5</v>
      </c>
      <c r="AT81" s="40">
        <f t="shared" si="88"/>
        <v>157.5</v>
      </c>
      <c r="AU81" s="40">
        <f t="shared" si="88"/>
        <v>0</v>
      </c>
      <c r="AV81" s="40">
        <f t="shared" si="88"/>
        <v>0</v>
      </c>
      <c r="AW81" s="11">
        <f t="shared" si="88"/>
        <v>1181.25</v>
      </c>
      <c r="AX81" s="11">
        <f t="shared" si="88"/>
        <v>393.75</v>
      </c>
      <c r="AY81" s="11">
        <f t="shared" si="88"/>
        <v>0</v>
      </c>
      <c r="AZ81" s="11">
        <f t="shared" si="88"/>
        <v>0</v>
      </c>
      <c r="BA81" s="11">
        <f t="shared" si="88"/>
        <v>0</v>
      </c>
      <c r="BB81" s="11">
        <f t="shared" si="88"/>
        <v>0</v>
      </c>
      <c r="BC81" s="11">
        <f t="shared" si="88"/>
        <v>0</v>
      </c>
      <c r="BD81" s="11">
        <f t="shared" si="88"/>
        <v>0</v>
      </c>
      <c r="BE81" s="11">
        <f t="shared" si="88"/>
        <v>0</v>
      </c>
      <c r="BF81" s="11">
        <f t="shared" si="88"/>
        <v>0</v>
      </c>
      <c r="BG81" s="11">
        <f t="shared" si="88"/>
        <v>0</v>
      </c>
      <c r="BH81" s="11">
        <f t="shared" si="88"/>
        <v>0</v>
      </c>
      <c r="BI81" s="40">
        <f t="shared" si="88"/>
        <v>0</v>
      </c>
      <c r="BJ81" s="40">
        <f t="shared" si="88"/>
        <v>0</v>
      </c>
      <c r="BK81" s="11">
        <f t="shared" si="88"/>
        <v>0</v>
      </c>
      <c r="BL81" s="11">
        <f t="shared" si="88"/>
        <v>0</v>
      </c>
      <c r="BM81" s="11">
        <f t="shared" si="88"/>
        <v>0</v>
      </c>
      <c r="BN81" s="11">
        <f t="shared" si="88"/>
        <v>0</v>
      </c>
      <c r="BO81" s="11">
        <f t="shared" si="88"/>
        <v>0</v>
      </c>
      <c r="BP81" s="11">
        <f t="shared" ref="BP81:CX81" si="89">SUMPRODUCT($B80*BP80)</f>
        <v>0</v>
      </c>
      <c r="BQ81" s="11">
        <f t="shared" si="89"/>
        <v>393.75</v>
      </c>
      <c r="BR81" s="11">
        <f t="shared" si="89"/>
        <v>393.75</v>
      </c>
      <c r="BS81" s="11">
        <f t="shared" si="89"/>
        <v>0</v>
      </c>
      <c r="BT81" s="11">
        <f t="shared" si="89"/>
        <v>0</v>
      </c>
      <c r="BU81" s="11">
        <f t="shared" si="89"/>
        <v>0</v>
      </c>
      <c r="BV81" s="11">
        <f t="shared" si="89"/>
        <v>0</v>
      </c>
      <c r="BW81" s="11">
        <f t="shared" si="89"/>
        <v>0</v>
      </c>
      <c r="BX81" s="11">
        <f t="shared" si="89"/>
        <v>0</v>
      </c>
      <c r="BY81" s="11">
        <f t="shared" si="89"/>
        <v>0</v>
      </c>
      <c r="BZ81" s="11">
        <f t="shared" si="89"/>
        <v>0</v>
      </c>
      <c r="CA81" s="11">
        <f t="shared" si="89"/>
        <v>0</v>
      </c>
      <c r="CB81" s="11">
        <f t="shared" si="89"/>
        <v>0</v>
      </c>
      <c r="CC81" s="11">
        <f t="shared" si="89"/>
        <v>6300</v>
      </c>
      <c r="CD81" s="11">
        <f t="shared" si="89"/>
        <v>0</v>
      </c>
      <c r="CE81" s="11">
        <f t="shared" si="89"/>
        <v>0</v>
      </c>
      <c r="CF81" s="11">
        <f t="shared" si="89"/>
        <v>0</v>
      </c>
      <c r="CG81" s="11">
        <f t="shared" si="89"/>
        <v>0</v>
      </c>
      <c r="CH81" s="11">
        <f t="shared" si="89"/>
        <v>0</v>
      </c>
      <c r="CI81" s="11">
        <f t="shared" si="89"/>
        <v>0</v>
      </c>
      <c r="CJ81" s="11">
        <f t="shared" si="89"/>
        <v>0</v>
      </c>
      <c r="CK81" s="11">
        <f t="shared" si="89"/>
        <v>0</v>
      </c>
      <c r="CL81" s="11">
        <f t="shared" si="89"/>
        <v>0</v>
      </c>
      <c r="CM81" s="11">
        <f t="shared" si="89"/>
        <v>0</v>
      </c>
      <c r="CN81" s="11">
        <f t="shared" si="89"/>
        <v>0</v>
      </c>
      <c r="CO81" s="11">
        <f t="shared" si="89"/>
        <v>0</v>
      </c>
      <c r="CP81" s="11">
        <f t="shared" si="89"/>
        <v>0</v>
      </c>
      <c r="CQ81" s="11">
        <f t="shared" si="89"/>
        <v>0</v>
      </c>
      <c r="CR81" s="11">
        <f t="shared" si="89"/>
        <v>0</v>
      </c>
      <c r="CS81" s="11">
        <f t="shared" si="89"/>
        <v>0</v>
      </c>
      <c r="CT81" s="11">
        <f t="shared" si="89"/>
        <v>0</v>
      </c>
      <c r="CU81" s="11">
        <f t="shared" si="89"/>
        <v>0</v>
      </c>
      <c r="CV81" s="11">
        <f t="shared" si="89"/>
        <v>0</v>
      </c>
      <c r="CW81" s="11">
        <f t="shared" si="89"/>
        <v>0</v>
      </c>
      <c r="CX81" s="11">
        <f t="shared" si="89"/>
        <v>0</v>
      </c>
      <c r="CY81" s="11">
        <f t="shared" ref="CY81" si="90">SUMPRODUCT($B80*CY80)</f>
        <v>30003.75</v>
      </c>
      <c r="CZ81" s="11">
        <f t="shared" ref="CZ81" si="91">SUMPRODUCT($B80*CZ80)</f>
        <v>31500</v>
      </c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</row>
    <row r="82" spans="1:122" ht="18" customHeight="1">
      <c r="A82" s="13" t="s">
        <v>59</v>
      </c>
      <c r="B82" s="14">
        <f>IFERROR(VLOOKUP(A82,PRICELIST!$A$3:$D$138,4,0),"-")</f>
        <v>276.11</v>
      </c>
      <c r="C82" s="18">
        <v>56</v>
      </c>
      <c r="D82" s="18">
        <v>276</v>
      </c>
      <c r="E82" s="18">
        <v>10</v>
      </c>
      <c r="F82" s="18">
        <v>12</v>
      </c>
      <c r="G82" s="18">
        <v>16</v>
      </c>
      <c r="H82" s="18">
        <v>13</v>
      </c>
      <c r="I82" s="18">
        <v>27</v>
      </c>
      <c r="J82" s="18">
        <v>27</v>
      </c>
      <c r="K82" s="18"/>
      <c r="L82" s="18"/>
      <c r="M82" s="18"/>
      <c r="N82" s="18"/>
      <c r="O82" s="18"/>
      <c r="P82" s="18"/>
      <c r="Q82" s="18"/>
      <c r="R82" s="18"/>
      <c r="S82" s="18"/>
      <c r="T82" s="18">
        <v>5</v>
      </c>
      <c r="U82" s="18">
        <v>8</v>
      </c>
      <c r="V82" s="18">
        <v>13</v>
      </c>
      <c r="W82" s="18">
        <v>4</v>
      </c>
      <c r="X82" s="18">
        <v>16</v>
      </c>
      <c r="Y82" s="18"/>
      <c r="Z82" s="18"/>
      <c r="AA82" s="18"/>
      <c r="AB82" s="18"/>
      <c r="AC82" s="18"/>
      <c r="AD82" s="18"/>
      <c r="AE82" s="18"/>
      <c r="AF82" s="18">
        <v>36</v>
      </c>
      <c r="AG82" s="18"/>
      <c r="AH82" s="18"/>
      <c r="AI82" s="18"/>
      <c r="AJ82" s="18"/>
      <c r="AK82" s="39"/>
      <c r="AL82" s="39"/>
      <c r="AM82" s="39">
        <v>20</v>
      </c>
      <c r="AN82" s="39">
        <v>10</v>
      </c>
      <c r="AO82" s="39">
        <v>5</v>
      </c>
      <c r="AP82" s="39">
        <v>3</v>
      </c>
      <c r="AQ82" s="39">
        <v>11</v>
      </c>
      <c r="AR82" s="39">
        <v>50</v>
      </c>
      <c r="AS82" s="39">
        <v>12</v>
      </c>
      <c r="AT82" s="39">
        <v>12</v>
      </c>
      <c r="AU82" s="39">
        <v>13</v>
      </c>
      <c r="AV82" s="39">
        <v>15</v>
      </c>
      <c r="AW82" s="18">
        <v>7</v>
      </c>
      <c r="AX82" s="18">
        <v>3</v>
      </c>
      <c r="AY82" s="18"/>
      <c r="AZ82" s="18"/>
      <c r="BA82" s="18"/>
      <c r="BB82" s="18"/>
      <c r="BC82" s="18"/>
      <c r="BD82" s="18"/>
      <c r="BE82" s="18">
        <v>5</v>
      </c>
      <c r="BF82" s="18">
        <v>5</v>
      </c>
      <c r="BG82" s="18"/>
      <c r="BH82" s="18"/>
      <c r="BI82" s="39"/>
      <c r="BJ82" s="39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>
        <v>20</v>
      </c>
      <c r="BV82" s="18">
        <v>15</v>
      </c>
      <c r="BW82" s="18"/>
      <c r="BX82" s="18"/>
      <c r="BY82" s="18"/>
      <c r="BZ82" s="18"/>
      <c r="CA82" s="18"/>
      <c r="CB82" s="18"/>
      <c r="CC82" s="18">
        <v>70</v>
      </c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9">
        <f t="shared" ref="CY82:CY84" si="92">C82+E82+G82+I82+K82+M82+O82+Q82+S82+U82+W82+Y82+AA82+AC82+AE82+AG82+AI82+AK82+AM82+AO82+AQ82+AS82+AU82+AW82+AY82+BA82+BC82+BE82+BG82+BI82+BK82+BM82+BO82+BQ82+BS82+BU82+BW82+BY82+CA82+CC82+CE82+CG82+CI82+CK82+CM82+CO82+CQ82+CS82+CU82+CW82</f>
        <v>284</v>
      </c>
      <c r="CZ82" s="19">
        <f t="shared" ref="CZ82:CZ84" si="93">D82+F82+H82+J82+L82+N82+P82+R82+T82+V82+X82+Z82+AB82+AD82+AF82+AH82+AJ82+AL82+AN82+AP82+AR82+AT82+AV82+AX82+AZ82+BB82+BD82+BF82+BH82+BJ82+BL82+BN82+BP82+BR82+BT82+BV82+BX82+BZ82+CB82+CD82+CF82+CH82+CJ82+CL82+CN82+CP82+CR82+CT82+CV82+CX82</f>
        <v>511</v>
      </c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</row>
    <row r="83" spans="1:122" ht="18" customHeight="1">
      <c r="A83" s="13" t="s">
        <v>60</v>
      </c>
      <c r="B83" s="14">
        <f>IFERROR(VLOOKUP(A83,PRICELIST!$A$3:$D$138,4,0),"-")</f>
        <v>75.540000000000006</v>
      </c>
      <c r="C83" s="18">
        <v>335</v>
      </c>
      <c r="D83" s="18">
        <v>694</v>
      </c>
      <c r="E83" s="18">
        <v>48</v>
      </c>
      <c r="F83" s="18">
        <v>23</v>
      </c>
      <c r="G83" s="18">
        <v>45</v>
      </c>
      <c r="H83" s="18">
        <v>47</v>
      </c>
      <c r="I83" s="18">
        <v>83</v>
      </c>
      <c r="J83" s="18">
        <v>65</v>
      </c>
      <c r="K83" s="18"/>
      <c r="L83" s="18"/>
      <c r="M83" s="18"/>
      <c r="N83" s="18"/>
      <c r="O83" s="18"/>
      <c r="P83" s="18">
        <v>3</v>
      </c>
      <c r="Q83" s="18"/>
      <c r="R83" s="18"/>
      <c r="S83" s="18">
        <v>10</v>
      </c>
      <c r="T83" s="18">
        <v>10</v>
      </c>
      <c r="U83" s="18">
        <v>35</v>
      </c>
      <c r="V83" s="18">
        <v>7</v>
      </c>
      <c r="W83" s="18">
        <v>6</v>
      </c>
      <c r="X83" s="18">
        <v>2</v>
      </c>
      <c r="Y83" s="18"/>
      <c r="Z83" s="18"/>
      <c r="AA83" s="18"/>
      <c r="AB83" s="18"/>
      <c r="AC83" s="18"/>
      <c r="AD83" s="18"/>
      <c r="AE83" s="18">
        <v>42</v>
      </c>
      <c r="AF83" s="18">
        <v>7</v>
      </c>
      <c r="AG83" s="18"/>
      <c r="AH83" s="18"/>
      <c r="AI83" s="18"/>
      <c r="AJ83" s="18"/>
      <c r="AK83" s="39"/>
      <c r="AL83" s="39"/>
      <c r="AM83" s="39">
        <v>131</v>
      </c>
      <c r="AN83" s="39">
        <v>59</v>
      </c>
      <c r="AO83" s="39">
        <v>5</v>
      </c>
      <c r="AP83" s="39">
        <v>5</v>
      </c>
      <c r="AQ83" s="39">
        <v>26</v>
      </c>
      <c r="AR83" s="39">
        <v>84</v>
      </c>
      <c r="AS83" s="39">
        <v>32</v>
      </c>
      <c r="AT83" s="39">
        <v>20</v>
      </c>
      <c r="AU83" s="39">
        <v>28</v>
      </c>
      <c r="AV83" s="39">
        <v>6</v>
      </c>
      <c r="AW83" s="18">
        <v>14</v>
      </c>
      <c r="AX83" s="18">
        <v>6</v>
      </c>
      <c r="AY83" s="18"/>
      <c r="AZ83" s="18"/>
      <c r="BA83" s="18"/>
      <c r="BB83" s="18"/>
      <c r="BC83" s="18">
        <v>8</v>
      </c>
      <c r="BD83" s="18">
        <v>12</v>
      </c>
      <c r="BE83" s="18">
        <v>15</v>
      </c>
      <c r="BF83" s="18">
        <v>5</v>
      </c>
      <c r="BG83" s="18"/>
      <c r="BH83" s="18"/>
      <c r="BI83" s="39"/>
      <c r="BJ83" s="39"/>
      <c r="BK83" s="18"/>
      <c r="BL83" s="18"/>
      <c r="BM83" s="18"/>
      <c r="BN83" s="18"/>
      <c r="BO83" s="18"/>
      <c r="BP83" s="18"/>
      <c r="BQ83" s="18">
        <v>30</v>
      </c>
      <c r="BR83" s="18">
        <v>10</v>
      </c>
      <c r="BS83" s="18"/>
      <c r="BT83" s="18"/>
      <c r="BU83" s="18">
        <v>7</v>
      </c>
      <c r="BV83" s="18">
        <v>14</v>
      </c>
      <c r="BW83" s="18"/>
      <c r="BX83" s="18"/>
      <c r="BY83" s="18"/>
      <c r="BZ83" s="18"/>
      <c r="CA83" s="18">
        <v>8</v>
      </c>
      <c r="CB83" s="18">
        <v>2</v>
      </c>
      <c r="CC83" s="18">
        <v>180</v>
      </c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9">
        <f t="shared" si="92"/>
        <v>1088</v>
      </c>
      <c r="CZ83" s="19">
        <f t="shared" si="93"/>
        <v>1081</v>
      </c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</row>
    <row r="84" spans="1:122" ht="18" customHeight="1">
      <c r="A84" s="13" t="s">
        <v>61</v>
      </c>
      <c r="B84" s="14">
        <f>IFERROR(VLOOKUP(A84,PRICELIST!$A$3:$D$138,4,0),"-")</f>
        <v>145.93</v>
      </c>
      <c r="C84" s="18">
        <v>151</v>
      </c>
      <c r="D84" s="18">
        <v>302</v>
      </c>
      <c r="E84" s="18">
        <v>43</v>
      </c>
      <c r="F84" s="18">
        <v>21</v>
      </c>
      <c r="G84" s="18">
        <v>20</v>
      </c>
      <c r="H84" s="18">
        <v>22</v>
      </c>
      <c r="I84" s="18">
        <v>66</v>
      </c>
      <c r="J84" s="18">
        <v>57</v>
      </c>
      <c r="K84" s="18"/>
      <c r="L84" s="18"/>
      <c r="M84" s="18"/>
      <c r="N84" s="18"/>
      <c r="O84" s="18">
        <v>9</v>
      </c>
      <c r="P84" s="18">
        <v>8</v>
      </c>
      <c r="Q84" s="18">
        <v>10</v>
      </c>
      <c r="R84" s="18">
        <v>3</v>
      </c>
      <c r="S84" s="18">
        <v>30</v>
      </c>
      <c r="T84" s="18"/>
      <c r="U84" s="18">
        <v>44</v>
      </c>
      <c r="V84" s="18">
        <v>6</v>
      </c>
      <c r="W84" s="18">
        <v>14</v>
      </c>
      <c r="X84" s="18">
        <v>40</v>
      </c>
      <c r="Y84" s="18">
        <v>20</v>
      </c>
      <c r="Z84" s="18">
        <v>33</v>
      </c>
      <c r="AA84" s="18"/>
      <c r="AB84" s="18"/>
      <c r="AC84" s="18"/>
      <c r="AD84" s="18"/>
      <c r="AE84" s="18">
        <v>5</v>
      </c>
      <c r="AF84" s="18">
        <v>28</v>
      </c>
      <c r="AG84" s="18"/>
      <c r="AH84" s="18"/>
      <c r="AI84" s="18"/>
      <c r="AJ84" s="18"/>
      <c r="AK84" s="39"/>
      <c r="AL84" s="39"/>
      <c r="AM84" s="39">
        <v>130</v>
      </c>
      <c r="AN84" s="39">
        <v>35</v>
      </c>
      <c r="AO84" s="39">
        <v>3</v>
      </c>
      <c r="AP84" s="39">
        <v>0</v>
      </c>
      <c r="AQ84" s="39">
        <v>21</v>
      </c>
      <c r="AR84" s="39">
        <v>20</v>
      </c>
      <c r="AS84" s="39">
        <v>23</v>
      </c>
      <c r="AT84" s="39">
        <v>21</v>
      </c>
      <c r="AU84" s="39">
        <v>10</v>
      </c>
      <c r="AV84" s="39">
        <v>10</v>
      </c>
      <c r="AW84" s="18">
        <v>13</v>
      </c>
      <c r="AX84" s="18">
        <v>7</v>
      </c>
      <c r="AY84" s="18">
        <v>7</v>
      </c>
      <c r="AZ84" s="18">
        <v>3</v>
      </c>
      <c r="BA84" s="18"/>
      <c r="BB84" s="18"/>
      <c r="BC84" s="18">
        <v>16</v>
      </c>
      <c r="BD84" s="18">
        <v>8</v>
      </c>
      <c r="BE84" s="18">
        <v>6</v>
      </c>
      <c r="BF84" s="18">
        <v>4</v>
      </c>
      <c r="BG84" s="18"/>
      <c r="BH84" s="18"/>
      <c r="BI84" s="39"/>
      <c r="BJ84" s="39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>
        <v>24</v>
      </c>
      <c r="BV84" s="18">
        <v>3</v>
      </c>
      <c r="BW84" s="18"/>
      <c r="BX84" s="18"/>
      <c r="BY84" s="18"/>
      <c r="BZ84" s="18"/>
      <c r="CA84" s="18">
        <v>7</v>
      </c>
      <c r="CB84" s="18">
        <v>3</v>
      </c>
      <c r="CC84" s="18">
        <v>140</v>
      </c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9">
        <f t="shared" si="92"/>
        <v>812</v>
      </c>
      <c r="CZ84" s="19">
        <f t="shared" si="93"/>
        <v>634</v>
      </c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</row>
    <row r="85" spans="1:122" ht="18" customHeight="1">
      <c r="A85" s="13" t="s">
        <v>62</v>
      </c>
      <c r="B85" s="14">
        <f>IFERROR(VLOOKUP(A85,PRICELIST!$A$3:$D$138,4,0),"-")</f>
        <v>149.79</v>
      </c>
      <c r="C85" s="18">
        <v>70</v>
      </c>
      <c r="D85" s="18">
        <v>82</v>
      </c>
      <c r="E85" s="18"/>
      <c r="F85" s="18"/>
      <c r="G85" s="18">
        <v>16</v>
      </c>
      <c r="H85" s="18">
        <v>9</v>
      </c>
      <c r="I85" s="18">
        <v>16</v>
      </c>
      <c r="J85" s="18">
        <v>27</v>
      </c>
      <c r="K85" s="18"/>
      <c r="L85" s="18"/>
      <c r="M85" s="18"/>
      <c r="N85" s="18">
        <v>24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>
        <v>6</v>
      </c>
      <c r="AF85" s="18">
        <v>10</v>
      </c>
      <c r="AG85" s="18"/>
      <c r="AH85" s="18"/>
      <c r="AI85" s="18"/>
      <c r="AJ85" s="18"/>
      <c r="AK85" s="39"/>
      <c r="AL85" s="39"/>
      <c r="AM85" s="39">
        <v>64</v>
      </c>
      <c r="AN85" s="39">
        <v>0</v>
      </c>
      <c r="AO85" s="39">
        <v>2</v>
      </c>
      <c r="AP85" s="39">
        <v>0</v>
      </c>
      <c r="AQ85" s="39">
        <v>32</v>
      </c>
      <c r="AR85" s="39">
        <v>50</v>
      </c>
      <c r="AS85" s="39">
        <v>10</v>
      </c>
      <c r="AT85" s="39">
        <v>15</v>
      </c>
      <c r="AU85" s="39">
        <v>5</v>
      </c>
      <c r="AV85" s="39">
        <v>15</v>
      </c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39"/>
      <c r="BJ85" s="39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>
        <v>90</v>
      </c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9">
        <f>C85+E85+G85+I85+K85+M85+O85+Q85+S85+U85+W85+Y85+AA85+AC85+AE85+AG85+AI85+AK85+AM85+AO85+AQ85+AS85+AU85+AW85+AY85+BA85+BC85+BE85+BG85+BI85+BK85+BM85+BO85+BQ85+BS85+BU85+BW85+BY85+CA85+CC85+CE85+CG85+CI85+CK85+CM85+CO85+CQ85+CS85+CU85+CW85</f>
        <v>311</v>
      </c>
      <c r="CZ85" s="19">
        <f>D85+F85+H85+J85+L85+N85+P85+R85+T85+V85+X85+Z85+AB85+AD85+AF85+AH85+AJ85+AL85+AN85+AP85+AR85+AT85+AV85+AX85+AZ85+BB85+BD85+BF85+BH85+BJ85+BL85+BN85+BP85+BR85+BT85+BV85+BX85+BZ85+CB85+CD85+CF85+CH85+CJ85+CL85+CN85+CP85+CR85+CT85+CV85+CX85</f>
        <v>232</v>
      </c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</row>
    <row r="86" spans="1:122" ht="18" customHeight="1">
      <c r="A86" s="13" t="s">
        <v>87</v>
      </c>
      <c r="B86" s="14">
        <f>IFERROR(VLOOKUP(A86,PRICELIST!$A$3:$D$138,4,0),"-")</f>
        <v>192.86</v>
      </c>
      <c r="C86" s="18">
        <v>44</v>
      </c>
      <c r="D86" s="18">
        <v>139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>
        <v>12</v>
      </c>
      <c r="V86" s="18">
        <v>11</v>
      </c>
      <c r="W86" s="18"/>
      <c r="X86" s="18"/>
      <c r="Y86" s="18"/>
      <c r="Z86" s="18"/>
      <c r="AA86" s="18"/>
      <c r="AB86" s="18"/>
      <c r="AC86" s="18"/>
      <c r="AD86" s="18"/>
      <c r="AE86" s="18">
        <v>10</v>
      </c>
      <c r="AF86" s="18">
        <v>20</v>
      </c>
      <c r="AG86" s="18"/>
      <c r="AH86" s="18"/>
      <c r="AI86" s="18"/>
      <c r="AJ86" s="18"/>
      <c r="AK86" s="39"/>
      <c r="AL86" s="39"/>
      <c r="AM86" s="39"/>
      <c r="AN86" s="39"/>
      <c r="AO86" s="39"/>
      <c r="AP86" s="39"/>
      <c r="AQ86" s="39">
        <v>7</v>
      </c>
      <c r="AR86" s="39">
        <v>0</v>
      </c>
      <c r="AS86" s="39"/>
      <c r="AT86" s="39"/>
      <c r="AU86" s="39">
        <v>0</v>
      </c>
      <c r="AV86" s="39">
        <v>18</v>
      </c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39"/>
      <c r="BJ86" s="39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>
        <v>10</v>
      </c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9">
        <f>C86+E86+G86+I86+K86+M86+O86+Q86+S86+U86+W86+Y86+AA86+AC86+AE86+AG86+AI86+AK86+AM86+AO86+AQ86+AS86+AU86+AW86+AY86+BA86+BC86+BE86+BG86+BI86+BK86+BM86+BO86+BQ86+BS86+BU86+BW86+BY86+CA86+CC86+CE86+CG86+CI86+CK86+CM86+CO86+CQ86+CS86+CU86+CW86</f>
        <v>83</v>
      </c>
      <c r="CZ86" s="19">
        <f>D86+F86+H86+J86+L86+N86+P86+R86+T86+V86+X86+Z86+AB86+AD86+AF86+AH86+AJ86+AL86+AN86+AP86+AR86+AT86+AV86+AX86+AZ86+BB86+BD86+BF86+BH86+BJ86+BL86+BN86+BP86+BR86+BT86+BV86+BX86+BZ86+CB86+CD86+CF86+CH86+CJ86+CL86+CN86+CP86+CR86+CT86+CV86+CX86</f>
        <v>188</v>
      </c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</row>
    <row r="87" spans="1:122" ht="18" customHeight="1">
      <c r="A87" s="13" t="s">
        <v>122</v>
      </c>
      <c r="B87" s="14">
        <f>IFERROR(VLOOKUP(A87,PRICELIST!$A$3:$D$138,4,0),"-")</f>
        <v>104.79</v>
      </c>
      <c r="C87" s="18"/>
      <c r="D87" s="18">
        <v>41</v>
      </c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>
        <v>6</v>
      </c>
      <c r="AG87" s="18"/>
      <c r="AH87" s="18"/>
      <c r="AI87" s="18"/>
      <c r="AJ87" s="18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39"/>
      <c r="BJ87" s="39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9">
        <f t="shared" ref="CY87" si="94">C87+E87+G87+I87+K87+M87+O87+Q87+S87+U87+W87+Y87+AA87+AC87+AE87+AG87+AI87+AK87+AM87+AO87+AQ87+AS87+AU87+AW87+AY87+BA87+BC87+BE87+BG87+BI87+BK87+BM87+BO87+BQ87+BS87+BU87+BW87+BY87+CA87+CC87+CE87+CG87+CI87+CK87+CM87+CO87+CQ87+CS87+CU87+CW87</f>
        <v>0</v>
      </c>
      <c r="CZ87" s="19">
        <f t="shared" ref="CZ87" si="95">D87+F87+H87+J87+L87+N87+P87+R87+T87+V87+X87+Z87+AB87+AD87+AF87+AH87+AJ87+AL87+AN87+AP87+AR87+AT87+AV87+AX87+AZ87+BB87+BD87+BF87+BH87+BJ87+BL87+BN87+BP87+BR87+BT87+BV87+BX87+BZ87+CB87+CD87+CF87+CH87+CJ87+CL87+CN87+CP87+CR87+CT87+CV87+CX87</f>
        <v>47</v>
      </c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</row>
    <row r="88" spans="1:122" ht="18" customHeight="1">
      <c r="A88" s="9" t="s">
        <v>88</v>
      </c>
      <c r="B88" s="10"/>
      <c r="C88" s="11">
        <f>SUMPRODUCT($B82:$B87,C82:C87)</f>
        <v>81774.62999999999</v>
      </c>
      <c r="D88" s="11">
        <f t="shared" ref="D88:BO88" si="96">SUMPRODUCT($B82:$B87,D82:D87)</f>
        <v>216088.69</v>
      </c>
      <c r="E88" s="11">
        <f t="shared" si="96"/>
        <v>12662.010000000002</v>
      </c>
      <c r="F88" s="11">
        <f t="shared" si="96"/>
        <v>8115.27</v>
      </c>
      <c r="G88" s="11">
        <f t="shared" si="96"/>
        <v>13132.3</v>
      </c>
      <c r="H88" s="11">
        <f t="shared" si="96"/>
        <v>11698.380000000001</v>
      </c>
      <c r="I88" s="11">
        <f t="shared" si="96"/>
        <v>25752.81</v>
      </c>
      <c r="J88" s="11">
        <f t="shared" si="96"/>
        <v>24727.410000000003</v>
      </c>
      <c r="K88" s="11">
        <f t="shared" si="96"/>
        <v>0</v>
      </c>
      <c r="L88" s="11">
        <f t="shared" si="96"/>
        <v>0</v>
      </c>
      <c r="M88" s="11">
        <f t="shared" si="96"/>
        <v>0</v>
      </c>
      <c r="N88" s="11">
        <f t="shared" si="96"/>
        <v>3594.96</v>
      </c>
      <c r="O88" s="11">
        <f t="shared" si="96"/>
        <v>1313.3700000000001</v>
      </c>
      <c r="P88" s="11">
        <f t="shared" si="96"/>
        <v>1394.06</v>
      </c>
      <c r="Q88" s="11">
        <f t="shared" si="96"/>
        <v>1459.3000000000002</v>
      </c>
      <c r="R88" s="11">
        <f t="shared" si="96"/>
        <v>437.79</v>
      </c>
      <c r="S88" s="11">
        <f t="shared" si="96"/>
        <v>5133.3000000000011</v>
      </c>
      <c r="T88" s="11">
        <f t="shared" si="96"/>
        <v>2135.9500000000003</v>
      </c>
      <c r="U88" s="11">
        <f t="shared" si="96"/>
        <v>13588.02</v>
      </c>
      <c r="V88" s="11">
        <f t="shared" si="96"/>
        <v>7115.25</v>
      </c>
      <c r="W88" s="11">
        <f t="shared" si="96"/>
        <v>3600.7</v>
      </c>
      <c r="X88" s="11">
        <f t="shared" si="96"/>
        <v>10406.040000000001</v>
      </c>
      <c r="Y88" s="11">
        <f t="shared" si="96"/>
        <v>2918.6000000000004</v>
      </c>
      <c r="Z88" s="11">
        <f t="shared" si="96"/>
        <v>4815.6900000000005</v>
      </c>
      <c r="AA88" s="11">
        <f t="shared" si="96"/>
        <v>0</v>
      </c>
      <c r="AB88" s="11">
        <f t="shared" si="96"/>
        <v>0</v>
      </c>
      <c r="AC88" s="11">
        <f t="shared" si="96"/>
        <v>0</v>
      </c>
      <c r="AD88" s="11">
        <f t="shared" si="96"/>
        <v>0</v>
      </c>
      <c r="AE88" s="11">
        <f t="shared" si="96"/>
        <v>6729.670000000001</v>
      </c>
      <c r="AF88" s="11">
        <f t="shared" si="96"/>
        <v>20538.620000000003</v>
      </c>
      <c r="AG88" s="11">
        <f t="shared" si="96"/>
        <v>0</v>
      </c>
      <c r="AH88" s="11">
        <f t="shared" si="96"/>
        <v>0</v>
      </c>
      <c r="AI88" s="11">
        <f t="shared" si="96"/>
        <v>0</v>
      </c>
      <c r="AJ88" s="11">
        <f t="shared" si="96"/>
        <v>0</v>
      </c>
      <c r="AK88" s="40">
        <f t="shared" si="96"/>
        <v>0</v>
      </c>
      <c r="AL88" s="40">
        <f t="shared" si="96"/>
        <v>0</v>
      </c>
      <c r="AM88" s="40">
        <f t="shared" si="96"/>
        <v>43975.4</v>
      </c>
      <c r="AN88" s="40">
        <f t="shared" si="96"/>
        <v>12325.510000000002</v>
      </c>
      <c r="AO88" s="40">
        <f t="shared" si="96"/>
        <v>2495.6200000000003</v>
      </c>
      <c r="AP88" s="40">
        <f t="shared" si="96"/>
        <v>1206.0300000000002</v>
      </c>
      <c r="AQ88" s="40">
        <f t="shared" si="96"/>
        <v>14209.080000000002</v>
      </c>
      <c r="AR88" s="40">
        <f t="shared" si="96"/>
        <v>30558.959999999999</v>
      </c>
      <c r="AS88" s="40">
        <f t="shared" si="96"/>
        <v>10584.890000000001</v>
      </c>
      <c r="AT88" s="40">
        <f t="shared" si="96"/>
        <v>10135.500000000002</v>
      </c>
      <c r="AU88" s="40">
        <f t="shared" si="96"/>
        <v>7912.8000000000011</v>
      </c>
      <c r="AV88" s="40">
        <f t="shared" si="96"/>
        <v>11772.52</v>
      </c>
      <c r="AW88" s="11">
        <f t="shared" si="96"/>
        <v>4887.42</v>
      </c>
      <c r="AX88" s="11">
        <f t="shared" si="96"/>
        <v>2303.08</v>
      </c>
      <c r="AY88" s="11">
        <f t="shared" si="96"/>
        <v>1021.51</v>
      </c>
      <c r="AZ88" s="11">
        <f t="shared" si="96"/>
        <v>437.79</v>
      </c>
      <c r="BA88" s="11">
        <f t="shared" si="96"/>
        <v>0</v>
      </c>
      <c r="BB88" s="11">
        <f t="shared" si="96"/>
        <v>0</v>
      </c>
      <c r="BC88" s="11">
        <f t="shared" si="96"/>
        <v>2939.2000000000003</v>
      </c>
      <c r="BD88" s="11">
        <f t="shared" si="96"/>
        <v>2073.92</v>
      </c>
      <c r="BE88" s="11">
        <f t="shared" si="96"/>
        <v>3389.2300000000005</v>
      </c>
      <c r="BF88" s="11">
        <f t="shared" si="96"/>
        <v>2341.9700000000003</v>
      </c>
      <c r="BG88" s="11">
        <f t="shared" si="96"/>
        <v>0</v>
      </c>
      <c r="BH88" s="11">
        <f t="shared" si="96"/>
        <v>0</v>
      </c>
      <c r="BI88" s="40">
        <f t="shared" si="96"/>
        <v>0</v>
      </c>
      <c r="BJ88" s="40">
        <f t="shared" si="96"/>
        <v>0</v>
      </c>
      <c r="BK88" s="11">
        <f t="shared" si="96"/>
        <v>0</v>
      </c>
      <c r="BL88" s="11">
        <f t="shared" si="96"/>
        <v>0</v>
      </c>
      <c r="BM88" s="11">
        <f t="shared" si="96"/>
        <v>0</v>
      </c>
      <c r="BN88" s="11">
        <f t="shared" si="96"/>
        <v>0</v>
      </c>
      <c r="BO88" s="11">
        <f t="shared" si="96"/>
        <v>0</v>
      </c>
      <c r="BP88" s="11">
        <f t="shared" ref="BP88:CX88" si="97">SUMPRODUCT($B82:$B87,BP82:BP87)</f>
        <v>0</v>
      </c>
      <c r="BQ88" s="11">
        <f t="shared" si="97"/>
        <v>2266.2000000000003</v>
      </c>
      <c r="BR88" s="11">
        <f t="shared" si="97"/>
        <v>755.40000000000009</v>
      </c>
      <c r="BS88" s="11">
        <f t="shared" si="97"/>
        <v>0</v>
      </c>
      <c r="BT88" s="11">
        <f t="shared" si="97"/>
        <v>0</v>
      </c>
      <c r="BU88" s="11">
        <f t="shared" si="97"/>
        <v>9553.3000000000011</v>
      </c>
      <c r="BV88" s="11">
        <f t="shared" si="97"/>
        <v>5637.0000000000009</v>
      </c>
      <c r="BW88" s="11">
        <f t="shared" si="97"/>
        <v>0</v>
      </c>
      <c r="BX88" s="11">
        <f t="shared" si="97"/>
        <v>0</v>
      </c>
      <c r="BY88" s="11">
        <f t="shared" si="97"/>
        <v>0</v>
      </c>
      <c r="BZ88" s="11">
        <f t="shared" si="97"/>
        <v>0</v>
      </c>
      <c r="CA88" s="11">
        <f t="shared" si="97"/>
        <v>1625.83</v>
      </c>
      <c r="CB88" s="11">
        <f t="shared" si="97"/>
        <v>588.87</v>
      </c>
      <c r="CC88" s="11">
        <f t="shared" si="97"/>
        <v>68764.800000000017</v>
      </c>
      <c r="CD88" s="11">
        <f t="shared" si="97"/>
        <v>0</v>
      </c>
      <c r="CE88" s="11">
        <f t="shared" si="97"/>
        <v>0</v>
      </c>
      <c r="CF88" s="11">
        <f t="shared" si="97"/>
        <v>0</v>
      </c>
      <c r="CG88" s="11">
        <f t="shared" si="97"/>
        <v>0</v>
      </c>
      <c r="CH88" s="11">
        <f t="shared" si="97"/>
        <v>0</v>
      </c>
      <c r="CI88" s="11">
        <f t="shared" si="97"/>
        <v>0</v>
      </c>
      <c r="CJ88" s="11">
        <f t="shared" si="97"/>
        <v>0</v>
      </c>
      <c r="CK88" s="11">
        <f t="shared" si="97"/>
        <v>0</v>
      </c>
      <c r="CL88" s="11">
        <f t="shared" si="97"/>
        <v>0</v>
      </c>
      <c r="CM88" s="11">
        <f t="shared" si="97"/>
        <v>0</v>
      </c>
      <c r="CN88" s="11">
        <f t="shared" si="97"/>
        <v>0</v>
      </c>
      <c r="CO88" s="11">
        <f t="shared" si="97"/>
        <v>0</v>
      </c>
      <c r="CP88" s="11">
        <f t="shared" si="97"/>
        <v>0</v>
      </c>
      <c r="CQ88" s="11">
        <f t="shared" si="97"/>
        <v>0</v>
      </c>
      <c r="CR88" s="11">
        <f t="shared" si="97"/>
        <v>0</v>
      </c>
      <c r="CS88" s="11">
        <f t="shared" si="97"/>
        <v>0</v>
      </c>
      <c r="CT88" s="11">
        <f t="shared" si="97"/>
        <v>0</v>
      </c>
      <c r="CU88" s="11">
        <f t="shared" si="97"/>
        <v>0</v>
      </c>
      <c r="CV88" s="11">
        <f t="shared" si="97"/>
        <v>0</v>
      </c>
      <c r="CW88" s="11">
        <f t="shared" si="97"/>
        <v>0</v>
      </c>
      <c r="CX88" s="11">
        <f t="shared" si="97"/>
        <v>0</v>
      </c>
      <c r="CY88" s="11">
        <f t="shared" ref="CY88" si="98">SUMPRODUCT($B82:$B87,CY82:CY87)</f>
        <v>341689.99000000005</v>
      </c>
      <c r="CZ88" s="11">
        <f t="shared" ref="CZ88" si="99">SUMPRODUCT($B82:$B87,CZ82:CZ87)</f>
        <v>391204.66</v>
      </c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</row>
    <row r="89" spans="1:122" ht="18" customHeight="1">
      <c r="A89" s="13" t="s">
        <v>63</v>
      </c>
      <c r="B89" s="14">
        <f>IFERROR(VLOOKUP(A89,PRICELIST!$A$3:$D$138,4,0),"-")</f>
        <v>172.53</v>
      </c>
      <c r="C89" s="18"/>
      <c r="D89" s="18">
        <v>82</v>
      </c>
      <c r="E89" s="18"/>
      <c r="F89" s="18"/>
      <c r="G89" s="18"/>
      <c r="H89" s="18"/>
      <c r="I89" s="18">
        <v>7</v>
      </c>
      <c r="J89" s="18">
        <v>8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39"/>
      <c r="AL89" s="39"/>
      <c r="AM89" s="39">
        <v>3</v>
      </c>
      <c r="AN89" s="39">
        <v>3</v>
      </c>
      <c r="AO89" s="39"/>
      <c r="AP89" s="39"/>
      <c r="AQ89" s="39">
        <v>3</v>
      </c>
      <c r="AR89" s="39">
        <v>3</v>
      </c>
      <c r="AS89" s="39">
        <v>0</v>
      </c>
      <c r="AT89" s="39">
        <v>8</v>
      </c>
      <c r="AU89" s="39"/>
      <c r="AV89" s="39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39"/>
      <c r="BJ89" s="39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9">
        <f t="shared" ref="CY89:CY91" si="100">C89+E89+G89+I89+K89+M89+O89+Q89+S89+U89+W89+Y89+AA89+AC89+AE89+AG89+AI89+AK89+AM89+AO89+AQ89+AS89+AU89+AW89+AY89+BA89+BC89+BE89+BG89+BI89+BK89+BM89+BO89+BQ89+BS89+BU89+BW89+BY89+CA89+CC89+CE89+CG89+CI89+CK89+CM89+CO89+CQ89+CS89+CU89+CW89</f>
        <v>13</v>
      </c>
      <c r="CZ89" s="19">
        <f t="shared" ref="CZ89:CZ91" si="101">D89+F89+H89+J89+L89+N89+P89+R89+T89+V89+X89+Z89+AB89+AD89+AF89+AH89+AJ89+AL89+AN89+AP89+AR89+AT89+AV89+AX89+AZ89+BB89+BD89+BF89+BH89+BJ89+BL89+BN89+BP89+BR89+BT89+BV89+BX89+BZ89+CB89+CD89+CF89+CH89+CJ89+CL89+CN89+CP89+CR89+CT89+CV89+CX89</f>
        <v>104</v>
      </c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</row>
    <row r="90" spans="1:122" ht="18" customHeight="1">
      <c r="A90" s="13" t="s">
        <v>64</v>
      </c>
      <c r="B90" s="14">
        <f>IFERROR(VLOOKUP(A90,PRICELIST!$A$3:$D$138,4,0),"-")</f>
        <v>50.46</v>
      </c>
      <c r="C90" s="18">
        <v>13</v>
      </c>
      <c r="D90" s="18">
        <v>94</v>
      </c>
      <c r="E90" s="18"/>
      <c r="F90" s="18"/>
      <c r="G90" s="18">
        <v>9</v>
      </c>
      <c r="H90" s="18">
        <v>18</v>
      </c>
      <c r="I90" s="18">
        <v>16</v>
      </c>
      <c r="J90" s="18">
        <v>19</v>
      </c>
      <c r="K90" s="18"/>
      <c r="L90" s="18"/>
      <c r="M90" s="18"/>
      <c r="N90" s="18"/>
      <c r="O90" s="18"/>
      <c r="P90" s="18"/>
      <c r="Q90" s="18"/>
      <c r="R90" s="18">
        <v>3</v>
      </c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>
        <v>6</v>
      </c>
      <c r="AG90" s="18"/>
      <c r="AH90" s="18"/>
      <c r="AI90" s="18"/>
      <c r="AJ90" s="18"/>
      <c r="AK90" s="39"/>
      <c r="AL90" s="39"/>
      <c r="AM90" s="39">
        <v>25</v>
      </c>
      <c r="AN90" s="39">
        <v>6</v>
      </c>
      <c r="AO90" s="39"/>
      <c r="AP90" s="39"/>
      <c r="AQ90" s="39">
        <v>21</v>
      </c>
      <c r="AR90" s="39">
        <v>29</v>
      </c>
      <c r="AS90" s="39">
        <v>10</v>
      </c>
      <c r="AT90" s="39">
        <v>4</v>
      </c>
      <c r="AU90" s="39"/>
      <c r="AV90" s="39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39"/>
      <c r="BJ90" s="39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>
        <v>7</v>
      </c>
      <c r="BV90" s="18">
        <v>7</v>
      </c>
      <c r="BW90" s="18"/>
      <c r="BX90" s="18"/>
      <c r="BY90" s="18"/>
      <c r="BZ90" s="18"/>
      <c r="CA90" s="18"/>
      <c r="CB90" s="18"/>
      <c r="CC90" s="18">
        <v>60</v>
      </c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9">
        <f t="shared" si="100"/>
        <v>161</v>
      </c>
      <c r="CZ90" s="19">
        <f t="shared" si="101"/>
        <v>186</v>
      </c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</row>
    <row r="91" spans="1:122" ht="18" customHeight="1">
      <c r="A91" s="13" t="s">
        <v>65</v>
      </c>
      <c r="B91" s="14">
        <f>IFERROR(VLOOKUP(A91,PRICELIST!$A$3:$D$138,4,0),"-")</f>
        <v>99.64</v>
      </c>
      <c r="C91" s="18">
        <v>15</v>
      </c>
      <c r="D91" s="18">
        <v>5</v>
      </c>
      <c r="E91" s="18">
        <v>1</v>
      </c>
      <c r="F91" s="18">
        <v>29</v>
      </c>
      <c r="G91" s="18">
        <v>27</v>
      </c>
      <c r="H91" s="18">
        <v>32</v>
      </c>
      <c r="I91" s="18">
        <v>15</v>
      </c>
      <c r="J91" s="18">
        <v>10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>
        <v>1</v>
      </c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39"/>
      <c r="AL91" s="39"/>
      <c r="AM91" s="39">
        <v>20</v>
      </c>
      <c r="AN91" s="39">
        <v>0</v>
      </c>
      <c r="AO91" s="39"/>
      <c r="AP91" s="39"/>
      <c r="AQ91" s="39">
        <v>7</v>
      </c>
      <c r="AR91" s="39">
        <v>33</v>
      </c>
      <c r="AS91" s="39">
        <v>12</v>
      </c>
      <c r="AT91" s="39">
        <v>8</v>
      </c>
      <c r="AU91" s="39"/>
      <c r="AV91" s="39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39"/>
      <c r="BJ91" s="39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>
        <v>2</v>
      </c>
      <c r="BV91" s="18">
        <v>1</v>
      </c>
      <c r="BW91" s="18"/>
      <c r="BX91" s="18"/>
      <c r="BY91" s="18"/>
      <c r="BZ91" s="18"/>
      <c r="CA91" s="18"/>
      <c r="CB91" s="18"/>
      <c r="CC91" s="18">
        <v>40</v>
      </c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9">
        <f t="shared" si="100"/>
        <v>139</v>
      </c>
      <c r="CZ91" s="19">
        <f t="shared" si="101"/>
        <v>119</v>
      </c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</row>
    <row r="92" spans="1:122" ht="18" customHeight="1">
      <c r="A92" s="9" t="s">
        <v>66</v>
      </c>
      <c r="B92" s="10"/>
      <c r="C92" s="11">
        <f>SUMPRODUCT($B89:$B91,C89:C91)</f>
        <v>2150.58</v>
      </c>
      <c r="D92" s="11">
        <f t="shared" ref="D92:BO92" si="102">SUMPRODUCT($B89:$B91,D89:D91)</f>
        <v>19388.900000000001</v>
      </c>
      <c r="E92" s="11">
        <f t="shared" si="102"/>
        <v>99.64</v>
      </c>
      <c r="F92" s="11">
        <f t="shared" si="102"/>
        <v>2889.56</v>
      </c>
      <c r="G92" s="11">
        <f t="shared" si="102"/>
        <v>3144.42</v>
      </c>
      <c r="H92" s="11">
        <f t="shared" si="102"/>
        <v>4096.76</v>
      </c>
      <c r="I92" s="11">
        <f t="shared" si="102"/>
        <v>3509.67</v>
      </c>
      <c r="J92" s="11">
        <f t="shared" si="102"/>
        <v>3335.38</v>
      </c>
      <c r="K92" s="11">
        <f t="shared" si="102"/>
        <v>0</v>
      </c>
      <c r="L92" s="11">
        <f t="shared" si="102"/>
        <v>0</v>
      </c>
      <c r="M92" s="11">
        <f t="shared" si="102"/>
        <v>0</v>
      </c>
      <c r="N92" s="11">
        <f t="shared" si="102"/>
        <v>0</v>
      </c>
      <c r="O92" s="11">
        <f t="shared" si="102"/>
        <v>0</v>
      </c>
      <c r="P92" s="11">
        <f t="shared" si="102"/>
        <v>0</v>
      </c>
      <c r="Q92" s="11">
        <f t="shared" si="102"/>
        <v>0</v>
      </c>
      <c r="R92" s="11">
        <f t="shared" si="102"/>
        <v>151.38</v>
      </c>
      <c r="S92" s="11">
        <f t="shared" si="102"/>
        <v>0</v>
      </c>
      <c r="T92" s="11">
        <f t="shared" si="102"/>
        <v>0</v>
      </c>
      <c r="U92" s="11">
        <f t="shared" si="102"/>
        <v>0</v>
      </c>
      <c r="V92" s="11">
        <f t="shared" si="102"/>
        <v>0</v>
      </c>
      <c r="W92" s="11">
        <f t="shared" si="102"/>
        <v>0</v>
      </c>
      <c r="X92" s="11">
        <f t="shared" si="102"/>
        <v>99.64</v>
      </c>
      <c r="Y92" s="11">
        <f t="shared" si="102"/>
        <v>0</v>
      </c>
      <c r="Z92" s="11">
        <f t="shared" si="102"/>
        <v>0</v>
      </c>
      <c r="AA92" s="11">
        <f t="shared" si="102"/>
        <v>0</v>
      </c>
      <c r="AB92" s="11">
        <f t="shared" si="102"/>
        <v>0</v>
      </c>
      <c r="AC92" s="11">
        <f t="shared" si="102"/>
        <v>0</v>
      </c>
      <c r="AD92" s="11">
        <f t="shared" si="102"/>
        <v>0</v>
      </c>
      <c r="AE92" s="11">
        <f t="shared" si="102"/>
        <v>0</v>
      </c>
      <c r="AF92" s="11">
        <f t="shared" si="102"/>
        <v>302.76</v>
      </c>
      <c r="AG92" s="11">
        <f t="shared" si="102"/>
        <v>0</v>
      </c>
      <c r="AH92" s="11">
        <f t="shared" si="102"/>
        <v>0</v>
      </c>
      <c r="AI92" s="11">
        <f t="shared" si="102"/>
        <v>0</v>
      </c>
      <c r="AJ92" s="11">
        <f t="shared" si="102"/>
        <v>0</v>
      </c>
      <c r="AK92" s="40">
        <f t="shared" si="102"/>
        <v>0</v>
      </c>
      <c r="AL92" s="40">
        <f t="shared" si="102"/>
        <v>0</v>
      </c>
      <c r="AM92" s="40">
        <f t="shared" si="102"/>
        <v>3771.8900000000003</v>
      </c>
      <c r="AN92" s="40">
        <f t="shared" si="102"/>
        <v>820.35</v>
      </c>
      <c r="AO92" s="40">
        <f t="shared" si="102"/>
        <v>0</v>
      </c>
      <c r="AP92" s="40">
        <f t="shared" si="102"/>
        <v>0</v>
      </c>
      <c r="AQ92" s="40">
        <f t="shared" si="102"/>
        <v>2274.73</v>
      </c>
      <c r="AR92" s="40">
        <f t="shared" si="102"/>
        <v>5269.0499999999993</v>
      </c>
      <c r="AS92" s="40">
        <f t="shared" si="102"/>
        <v>1700.2800000000002</v>
      </c>
      <c r="AT92" s="40">
        <f t="shared" si="102"/>
        <v>2379.1999999999998</v>
      </c>
      <c r="AU92" s="40">
        <f t="shared" si="102"/>
        <v>0</v>
      </c>
      <c r="AV92" s="40">
        <f t="shared" si="102"/>
        <v>0</v>
      </c>
      <c r="AW92" s="11">
        <f t="shared" si="102"/>
        <v>0</v>
      </c>
      <c r="AX92" s="11">
        <f t="shared" si="102"/>
        <v>0</v>
      </c>
      <c r="AY92" s="11">
        <f t="shared" si="102"/>
        <v>0</v>
      </c>
      <c r="AZ92" s="11">
        <f t="shared" si="102"/>
        <v>0</v>
      </c>
      <c r="BA92" s="11">
        <f t="shared" si="102"/>
        <v>0</v>
      </c>
      <c r="BB92" s="11">
        <f t="shared" si="102"/>
        <v>0</v>
      </c>
      <c r="BC92" s="11">
        <f t="shared" si="102"/>
        <v>0</v>
      </c>
      <c r="BD92" s="11">
        <f t="shared" si="102"/>
        <v>0</v>
      </c>
      <c r="BE92" s="11">
        <f t="shared" si="102"/>
        <v>0</v>
      </c>
      <c r="BF92" s="11">
        <f t="shared" si="102"/>
        <v>0</v>
      </c>
      <c r="BG92" s="11">
        <f t="shared" si="102"/>
        <v>0</v>
      </c>
      <c r="BH92" s="11">
        <f t="shared" si="102"/>
        <v>0</v>
      </c>
      <c r="BI92" s="40">
        <f t="shared" si="102"/>
        <v>0</v>
      </c>
      <c r="BJ92" s="40">
        <f t="shared" si="102"/>
        <v>0</v>
      </c>
      <c r="BK92" s="11">
        <f t="shared" si="102"/>
        <v>0</v>
      </c>
      <c r="BL92" s="11">
        <f t="shared" si="102"/>
        <v>0</v>
      </c>
      <c r="BM92" s="11">
        <f t="shared" si="102"/>
        <v>0</v>
      </c>
      <c r="BN92" s="11">
        <f t="shared" si="102"/>
        <v>0</v>
      </c>
      <c r="BO92" s="11">
        <f t="shared" si="102"/>
        <v>0</v>
      </c>
      <c r="BP92" s="11">
        <f t="shared" ref="BP92:CX92" si="103">SUMPRODUCT($B89:$B91,BP89:BP91)</f>
        <v>0</v>
      </c>
      <c r="BQ92" s="11">
        <f t="shared" si="103"/>
        <v>0</v>
      </c>
      <c r="BR92" s="11">
        <f t="shared" si="103"/>
        <v>0</v>
      </c>
      <c r="BS92" s="11">
        <f t="shared" si="103"/>
        <v>0</v>
      </c>
      <c r="BT92" s="11">
        <f t="shared" si="103"/>
        <v>0</v>
      </c>
      <c r="BU92" s="11">
        <f t="shared" si="103"/>
        <v>552.5</v>
      </c>
      <c r="BV92" s="11">
        <f t="shared" si="103"/>
        <v>452.86</v>
      </c>
      <c r="BW92" s="11">
        <f t="shared" si="103"/>
        <v>0</v>
      </c>
      <c r="BX92" s="11">
        <f t="shared" si="103"/>
        <v>0</v>
      </c>
      <c r="BY92" s="11">
        <f t="shared" si="103"/>
        <v>0</v>
      </c>
      <c r="BZ92" s="11">
        <f t="shared" si="103"/>
        <v>0</v>
      </c>
      <c r="CA92" s="11">
        <f t="shared" si="103"/>
        <v>0</v>
      </c>
      <c r="CB92" s="11">
        <f t="shared" si="103"/>
        <v>0</v>
      </c>
      <c r="CC92" s="11">
        <f t="shared" si="103"/>
        <v>7013.2</v>
      </c>
      <c r="CD92" s="11">
        <f t="shared" si="103"/>
        <v>0</v>
      </c>
      <c r="CE92" s="11">
        <f t="shared" si="103"/>
        <v>0</v>
      </c>
      <c r="CF92" s="11">
        <f t="shared" si="103"/>
        <v>0</v>
      </c>
      <c r="CG92" s="11">
        <f t="shared" si="103"/>
        <v>0</v>
      </c>
      <c r="CH92" s="11">
        <f t="shared" si="103"/>
        <v>0</v>
      </c>
      <c r="CI92" s="11">
        <f t="shared" si="103"/>
        <v>0</v>
      </c>
      <c r="CJ92" s="11">
        <f t="shared" si="103"/>
        <v>0</v>
      </c>
      <c r="CK92" s="11">
        <f t="shared" si="103"/>
        <v>0</v>
      </c>
      <c r="CL92" s="11">
        <f t="shared" si="103"/>
        <v>0</v>
      </c>
      <c r="CM92" s="11">
        <f t="shared" si="103"/>
        <v>0</v>
      </c>
      <c r="CN92" s="11">
        <f t="shared" si="103"/>
        <v>0</v>
      </c>
      <c r="CO92" s="11">
        <f t="shared" si="103"/>
        <v>0</v>
      </c>
      <c r="CP92" s="11">
        <f t="shared" si="103"/>
        <v>0</v>
      </c>
      <c r="CQ92" s="11">
        <f t="shared" si="103"/>
        <v>0</v>
      </c>
      <c r="CR92" s="11">
        <f t="shared" si="103"/>
        <v>0</v>
      </c>
      <c r="CS92" s="11">
        <f t="shared" si="103"/>
        <v>0</v>
      </c>
      <c r="CT92" s="11">
        <f t="shared" si="103"/>
        <v>0</v>
      </c>
      <c r="CU92" s="11">
        <f t="shared" si="103"/>
        <v>0</v>
      </c>
      <c r="CV92" s="11">
        <f t="shared" si="103"/>
        <v>0</v>
      </c>
      <c r="CW92" s="11">
        <f t="shared" si="103"/>
        <v>0</v>
      </c>
      <c r="CX92" s="11">
        <f t="shared" si="103"/>
        <v>0</v>
      </c>
      <c r="CY92" s="11">
        <f t="shared" ref="CY92" si="104">SUMPRODUCT($B89:$B91,CY89:CY91)</f>
        <v>24216.910000000003</v>
      </c>
      <c r="CZ92" s="11">
        <f t="shared" ref="CZ92" si="105">SUMPRODUCT($B89:$B91,CZ89:CZ91)</f>
        <v>39185.839999999997</v>
      </c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</row>
    <row r="93" spans="1:122" ht="18" customHeight="1">
      <c r="A93" s="13" t="s">
        <v>67</v>
      </c>
      <c r="B93" s="14">
        <f>IFERROR(VLOOKUP(A93,PRICELIST!$A$3:$D$138,4,0),"-")</f>
        <v>140.13999999999999</v>
      </c>
      <c r="C93" s="18">
        <v>66</v>
      </c>
      <c r="D93" s="18">
        <v>172</v>
      </c>
      <c r="E93" s="18"/>
      <c r="F93" s="18"/>
      <c r="G93" s="18">
        <v>0</v>
      </c>
      <c r="H93" s="18">
        <v>10</v>
      </c>
      <c r="I93" s="18"/>
      <c r="J93" s="18">
        <v>21</v>
      </c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>
        <v>10</v>
      </c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39"/>
      <c r="AL93" s="39"/>
      <c r="AM93" s="39"/>
      <c r="AN93" s="39"/>
      <c r="AO93" s="39"/>
      <c r="AP93" s="39"/>
      <c r="AQ93" s="39"/>
      <c r="AR93" s="39"/>
      <c r="AS93" s="39">
        <v>0</v>
      </c>
      <c r="AT93" s="39">
        <v>6</v>
      </c>
      <c r="AU93" s="39"/>
      <c r="AV93" s="39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39"/>
      <c r="BJ93" s="39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>
        <v>7</v>
      </c>
      <c r="BV93" s="18">
        <v>10</v>
      </c>
      <c r="BW93" s="18"/>
      <c r="BX93" s="18"/>
      <c r="BY93" s="18"/>
      <c r="BZ93" s="18"/>
      <c r="CA93" s="18"/>
      <c r="CB93" s="18"/>
      <c r="CC93" s="18">
        <v>40</v>
      </c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9">
        <f t="shared" ref="CY93:CY94" si="106">C93+E93+G93+I93+K93+M93+O93+Q93+S93+U93+W93+Y93+AA93+AC93+AE93+AG93+AI93+AK93+AM93+AO93+AQ93+AS93+AU93+AW93+AY93+BA93+BC93+BE93+BG93+BI93+BK93+BM93+BO93+BQ93+BS93+BU93+BW93+BY93+CA93+CC93+CE93+CG93+CI93+CK93+CM93+CO93+CQ93+CS93+CU93+CW93</f>
        <v>113</v>
      </c>
      <c r="CZ93" s="19">
        <f t="shared" ref="CZ93:CZ94" si="107">D93+F93+H93+J93+L93+N93+P93+R93+T93+V93+X93+Z93+AB93+AD93+AF93+AH93+AJ93+AL93+AN93+AP93+AR93+AT93+AV93+AX93+AZ93+BB93+BD93+BF93+BH93+BJ93+BL93+BN93+BP93+BR93+BT93+BV93+BX93+BZ93+CB93+CD93+CF93+CH93+CJ93+CL93+CN93+CP93+CR93+CT93+CV93+CX93</f>
        <v>229</v>
      </c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</row>
    <row r="94" spans="1:122" ht="18" customHeight="1">
      <c r="A94" s="13" t="s">
        <v>68</v>
      </c>
      <c r="B94" s="14">
        <f>IFERROR(VLOOKUP(A94,PRICELIST!$A$3:$D$138,4,0),"-")</f>
        <v>203.14</v>
      </c>
      <c r="C94" s="18">
        <v>10</v>
      </c>
      <c r="D94" s="18">
        <v>35</v>
      </c>
      <c r="E94" s="18"/>
      <c r="F94" s="18"/>
      <c r="G94" s="18"/>
      <c r="H94" s="18"/>
      <c r="I94" s="18">
        <v>9</v>
      </c>
      <c r="J94" s="18">
        <v>11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39"/>
      <c r="AL94" s="39"/>
      <c r="AM94" s="39"/>
      <c r="AN94" s="39"/>
      <c r="AO94" s="39"/>
      <c r="AP94" s="39"/>
      <c r="AQ94" s="39"/>
      <c r="AR94" s="39"/>
      <c r="AS94" s="39">
        <v>0</v>
      </c>
      <c r="AT94" s="39">
        <v>10</v>
      </c>
      <c r="AU94" s="39"/>
      <c r="AV94" s="39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39"/>
      <c r="BJ94" s="39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>
        <v>10</v>
      </c>
      <c r="BV94" s="18">
        <v>10</v>
      </c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9">
        <f t="shared" si="106"/>
        <v>29</v>
      </c>
      <c r="CZ94" s="19">
        <f t="shared" si="107"/>
        <v>66</v>
      </c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</row>
    <row r="95" spans="1:122" ht="18" customHeight="1">
      <c r="A95" s="9" t="s">
        <v>69</v>
      </c>
      <c r="B95" s="10"/>
      <c r="C95" s="11">
        <f>SUMPRODUCT($B93:$B94,C93:C94)</f>
        <v>11280.64</v>
      </c>
      <c r="D95" s="11">
        <f t="shared" ref="D95:BO95" si="108">SUMPRODUCT($B93:$B94,D93:D94)</f>
        <v>31213.979999999996</v>
      </c>
      <c r="E95" s="11">
        <f t="shared" si="108"/>
        <v>0</v>
      </c>
      <c r="F95" s="11">
        <f t="shared" si="108"/>
        <v>0</v>
      </c>
      <c r="G95" s="11">
        <f t="shared" si="108"/>
        <v>0</v>
      </c>
      <c r="H95" s="11">
        <f t="shared" si="108"/>
        <v>1401.3999999999999</v>
      </c>
      <c r="I95" s="11">
        <f t="shared" si="108"/>
        <v>1828.2599999999998</v>
      </c>
      <c r="J95" s="11">
        <f t="shared" si="108"/>
        <v>5177.4799999999996</v>
      </c>
      <c r="K95" s="11">
        <f t="shared" si="108"/>
        <v>0</v>
      </c>
      <c r="L95" s="11">
        <f t="shared" si="108"/>
        <v>0</v>
      </c>
      <c r="M95" s="11">
        <f t="shared" si="108"/>
        <v>0</v>
      </c>
      <c r="N95" s="11">
        <f t="shared" si="108"/>
        <v>0</v>
      </c>
      <c r="O95" s="11">
        <f t="shared" si="108"/>
        <v>0</v>
      </c>
      <c r="P95" s="11">
        <f t="shared" si="108"/>
        <v>0</v>
      </c>
      <c r="Q95" s="11">
        <f t="shared" si="108"/>
        <v>0</v>
      </c>
      <c r="R95" s="11">
        <f t="shared" si="108"/>
        <v>0</v>
      </c>
      <c r="S95" s="11">
        <f t="shared" si="108"/>
        <v>0</v>
      </c>
      <c r="T95" s="11">
        <f t="shared" si="108"/>
        <v>0</v>
      </c>
      <c r="U95" s="11">
        <f t="shared" si="108"/>
        <v>0</v>
      </c>
      <c r="V95" s="11">
        <f t="shared" si="108"/>
        <v>0</v>
      </c>
      <c r="W95" s="11">
        <f t="shared" si="108"/>
        <v>0</v>
      </c>
      <c r="X95" s="11">
        <f t="shared" si="108"/>
        <v>1401.3999999999999</v>
      </c>
      <c r="Y95" s="11">
        <f t="shared" si="108"/>
        <v>0</v>
      </c>
      <c r="Z95" s="11">
        <f t="shared" si="108"/>
        <v>0</v>
      </c>
      <c r="AA95" s="11">
        <f t="shared" si="108"/>
        <v>0</v>
      </c>
      <c r="AB95" s="11">
        <f t="shared" si="108"/>
        <v>0</v>
      </c>
      <c r="AC95" s="11">
        <f t="shared" si="108"/>
        <v>0</v>
      </c>
      <c r="AD95" s="11">
        <f t="shared" si="108"/>
        <v>0</v>
      </c>
      <c r="AE95" s="11">
        <f t="shared" si="108"/>
        <v>0</v>
      </c>
      <c r="AF95" s="11">
        <f t="shared" si="108"/>
        <v>0</v>
      </c>
      <c r="AG95" s="11">
        <f t="shared" si="108"/>
        <v>0</v>
      </c>
      <c r="AH95" s="11">
        <f t="shared" si="108"/>
        <v>0</v>
      </c>
      <c r="AI95" s="11">
        <f t="shared" si="108"/>
        <v>0</v>
      </c>
      <c r="AJ95" s="11">
        <f t="shared" si="108"/>
        <v>0</v>
      </c>
      <c r="AK95" s="40">
        <f t="shared" si="108"/>
        <v>0</v>
      </c>
      <c r="AL95" s="40">
        <f t="shared" si="108"/>
        <v>0</v>
      </c>
      <c r="AM95" s="40">
        <f t="shared" si="108"/>
        <v>0</v>
      </c>
      <c r="AN95" s="40">
        <f t="shared" si="108"/>
        <v>0</v>
      </c>
      <c r="AO95" s="40">
        <f t="shared" si="108"/>
        <v>0</v>
      </c>
      <c r="AP95" s="40">
        <f t="shared" si="108"/>
        <v>0</v>
      </c>
      <c r="AQ95" s="40">
        <f t="shared" si="108"/>
        <v>0</v>
      </c>
      <c r="AR95" s="40">
        <f t="shared" si="108"/>
        <v>0</v>
      </c>
      <c r="AS95" s="40">
        <f t="shared" si="108"/>
        <v>0</v>
      </c>
      <c r="AT95" s="40">
        <f t="shared" si="108"/>
        <v>2872.24</v>
      </c>
      <c r="AU95" s="40">
        <f t="shared" si="108"/>
        <v>0</v>
      </c>
      <c r="AV95" s="40">
        <f t="shared" si="108"/>
        <v>0</v>
      </c>
      <c r="AW95" s="11">
        <f t="shared" si="108"/>
        <v>0</v>
      </c>
      <c r="AX95" s="11">
        <f t="shared" si="108"/>
        <v>0</v>
      </c>
      <c r="AY95" s="11">
        <f t="shared" si="108"/>
        <v>0</v>
      </c>
      <c r="AZ95" s="11">
        <f t="shared" si="108"/>
        <v>0</v>
      </c>
      <c r="BA95" s="11">
        <f t="shared" si="108"/>
        <v>0</v>
      </c>
      <c r="BB95" s="11">
        <f t="shared" si="108"/>
        <v>0</v>
      </c>
      <c r="BC95" s="11">
        <f t="shared" si="108"/>
        <v>0</v>
      </c>
      <c r="BD95" s="11">
        <f t="shared" si="108"/>
        <v>0</v>
      </c>
      <c r="BE95" s="11">
        <f t="shared" si="108"/>
        <v>0</v>
      </c>
      <c r="BF95" s="11">
        <f t="shared" si="108"/>
        <v>0</v>
      </c>
      <c r="BG95" s="11">
        <f t="shared" si="108"/>
        <v>0</v>
      </c>
      <c r="BH95" s="11">
        <f t="shared" si="108"/>
        <v>0</v>
      </c>
      <c r="BI95" s="40">
        <f t="shared" si="108"/>
        <v>0</v>
      </c>
      <c r="BJ95" s="40">
        <f t="shared" si="108"/>
        <v>0</v>
      </c>
      <c r="BK95" s="11">
        <f t="shared" si="108"/>
        <v>0</v>
      </c>
      <c r="BL95" s="11">
        <f t="shared" si="108"/>
        <v>0</v>
      </c>
      <c r="BM95" s="11">
        <f t="shared" si="108"/>
        <v>0</v>
      </c>
      <c r="BN95" s="11">
        <f t="shared" si="108"/>
        <v>0</v>
      </c>
      <c r="BO95" s="11">
        <f t="shared" si="108"/>
        <v>0</v>
      </c>
      <c r="BP95" s="11">
        <f t="shared" ref="BP95:CX95" si="109">SUMPRODUCT($B93:$B94,BP93:BP94)</f>
        <v>0</v>
      </c>
      <c r="BQ95" s="11">
        <f t="shared" si="109"/>
        <v>0</v>
      </c>
      <c r="BR95" s="11">
        <f t="shared" si="109"/>
        <v>0</v>
      </c>
      <c r="BS95" s="11">
        <f t="shared" si="109"/>
        <v>0</v>
      </c>
      <c r="BT95" s="11">
        <f t="shared" si="109"/>
        <v>0</v>
      </c>
      <c r="BU95" s="11">
        <f t="shared" si="109"/>
        <v>3012.3799999999997</v>
      </c>
      <c r="BV95" s="11">
        <f t="shared" si="109"/>
        <v>3432.7999999999997</v>
      </c>
      <c r="BW95" s="11">
        <f t="shared" si="109"/>
        <v>0</v>
      </c>
      <c r="BX95" s="11">
        <f t="shared" si="109"/>
        <v>0</v>
      </c>
      <c r="BY95" s="11">
        <f t="shared" si="109"/>
        <v>0</v>
      </c>
      <c r="BZ95" s="11">
        <f t="shared" si="109"/>
        <v>0</v>
      </c>
      <c r="CA95" s="11">
        <f t="shared" si="109"/>
        <v>0</v>
      </c>
      <c r="CB95" s="11">
        <f t="shared" si="109"/>
        <v>0</v>
      </c>
      <c r="CC95" s="11">
        <f t="shared" si="109"/>
        <v>5605.5999999999995</v>
      </c>
      <c r="CD95" s="11">
        <f t="shared" si="109"/>
        <v>0</v>
      </c>
      <c r="CE95" s="11">
        <f t="shared" si="109"/>
        <v>0</v>
      </c>
      <c r="CF95" s="11">
        <f t="shared" si="109"/>
        <v>0</v>
      </c>
      <c r="CG95" s="11">
        <f t="shared" si="109"/>
        <v>0</v>
      </c>
      <c r="CH95" s="11">
        <f t="shared" si="109"/>
        <v>0</v>
      </c>
      <c r="CI95" s="11">
        <f t="shared" si="109"/>
        <v>0</v>
      </c>
      <c r="CJ95" s="11">
        <f t="shared" si="109"/>
        <v>0</v>
      </c>
      <c r="CK95" s="11">
        <f t="shared" si="109"/>
        <v>0</v>
      </c>
      <c r="CL95" s="11">
        <f t="shared" si="109"/>
        <v>0</v>
      </c>
      <c r="CM95" s="11">
        <f t="shared" si="109"/>
        <v>0</v>
      </c>
      <c r="CN95" s="11">
        <f t="shared" si="109"/>
        <v>0</v>
      </c>
      <c r="CO95" s="11">
        <f t="shared" si="109"/>
        <v>0</v>
      </c>
      <c r="CP95" s="11">
        <f t="shared" si="109"/>
        <v>0</v>
      </c>
      <c r="CQ95" s="11">
        <f t="shared" si="109"/>
        <v>0</v>
      </c>
      <c r="CR95" s="11">
        <f t="shared" si="109"/>
        <v>0</v>
      </c>
      <c r="CS95" s="11">
        <f t="shared" si="109"/>
        <v>0</v>
      </c>
      <c r="CT95" s="11">
        <f t="shared" si="109"/>
        <v>0</v>
      </c>
      <c r="CU95" s="11">
        <f t="shared" si="109"/>
        <v>0</v>
      </c>
      <c r="CV95" s="11">
        <f t="shared" si="109"/>
        <v>0</v>
      </c>
      <c r="CW95" s="11">
        <f t="shared" si="109"/>
        <v>0</v>
      </c>
      <c r="CX95" s="11">
        <f t="shared" si="109"/>
        <v>0</v>
      </c>
      <c r="CY95" s="11">
        <f t="shared" ref="CY95" si="110">SUMPRODUCT($B93:$B94,CY93:CY94)</f>
        <v>21726.879999999997</v>
      </c>
      <c r="CZ95" s="11">
        <f t="shared" ref="CZ95" si="111">SUMPRODUCT($B93:$B94,CZ93:CZ94)</f>
        <v>45499.299999999996</v>
      </c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</row>
    <row r="96" spans="1:122" ht="18" customHeight="1">
      <c r="A96" s="34" t="s">
        <v>126</v>
      </c>
      <c r="B96" s="14">
        <f>IFERROR(VLOOKUP(A96,PRICELIST!$A$3:$D$138,4,0),"-")</f>
        <v>201.54</v>
      </c>
      <c r="C96" s="18">
        <v>116</v>
      </c>
      <c r="D96" s="18">
        <v>255</v>
      </c>
      <c r="E96" s="18">
        <v>5</v>
      </c>
      <c r="F96" s="18">
        <v>27</v>
      </c>
      <c r="G96" s="18">
        <v>8</v>
      </c>
      <c r="H96" s="18">
        <v>13</v>
      </c>
      <c r="I96" s="18">
        <v>20</v>
      </c>
      <c r="J96" s="18">
        <v>25</v>
      </c>
      <c r="K96" s="18"/>
      <c r="L96" s="18"/>
      <c r="M96" s="18"/>
      <c r="N96" s="18"/>
      <c r="O96" s="18"/>
      <c r="P96" s="18"/>
      <c r="Q96" s="18"/>
      <c r="R96" s="18">
        <v>5</v>
      </c>
      <c r="S96" s="18">
        <v>10</v>
      </c>
      <c r="T96" s="18"/>
      <c r="U96" s="18">
        <v>22</v>
      </c>
      <c r="V96" s="18">
        <v>9</v>
      </c>
      <c r="W96" s="18">
        <v>2</v>
      </c>
      <c r="X96" s="18">
        <v>17</v>
      </c>
      <c r="Y96" s="18"/>
      <c r="Z96" s="18"/>
      <c r="AA96" s="18">
        <v>7</v>
      </c>
      <c r="AB96" s="18">
        <v>12</v>
      </c>
      <c r="AC96" s="18"/>
      <c r="AD96" s="18"/>
      <c r="AE96" s="18">
        <v>4</v>
      </c>
      <c r="AF96" s="18">
        <v>12</v>
      </c>
      <c r="AG96" s="18"/>
      <c r="AH96" s="18"/>
      <c r="AI96" s="18"/>
      <c r="AJ96" s="18"/>
      <c r="AK96" s="39"/>
      <c r="AL96" s="39"/>
      <c r="AM96" s="39">
        <v>43</v>
      </c>
      <c r="AN96" s="39">
        <v>11</v>
      </c>
      <c r="AO96" s="39">
        <v>5</v>
      </c>
      <c r="AP96" s="39">
        <v>0</v>
      </c>
      <c r="AQ96" s="39">
        <v>28</v>
      </c>
      <c r="AR96" s="39">
        <v>2</v>
      </c>
      <c r="AS96" s="39">
        <v>13</v>
      </c>
      <c r="AT96" s="39">
        <v>8</v>
      </c>
      <c r="AU96" s="39">
        <v>15</v>
      </c>
      <c r="AV96" s="39">
        <v>15</v>
      </c>
      <c r="AW96" s="18"/>
      <c r="AX96" s="18"/>
      <c r="AY96" s="18"/>
      <c r="AZ96" s="18"/>
      <c r="BA96" s="18"/>
      <c r="BB96" s="18"/>
      <c r="BC96" s="18">
        <v>10</v>
      </c>
      <c r="BD96" s="18">
        <v>10</v>
      </c>
      <c r="BE96" s="18"/>
      <c r="BF96" s="18"/>
      <c r="BG96" s="18"/>
      <c r="BH96" s="18"/>
      <c r="BI96" s="39"/>
      <c r="BJ96" s="39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>
        <v>18</v>
      </c>
      <c r="BV96" s="18">
        <v>18</v>
      </c>
      <c r="BW96" s="18"/>
      <c r="BX96" s="18"/>
      <c r="BY96" s="18">
        <v>100</v>
      </c>
      <c r="BZ96" s="18"/>
      <c r="CA96" s="18"/>
      <c r="CB96" s="18"/>
      <c r="CC96" s="18">
        <v>120</v>
      </c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9">
        <f t="shared" ref="CY96:CY98" si="112">C96+E96+G96+I96+K96+M96+O96+Q96+S96+U96+W96+Y96+AA96+AC96+AE96+AG96+AI96+AK96+AM96+AO96+AQ96+AS96+AU96+AW96+AY96+BA96+BC96+BE96+BG96+BI96+BK96+BM96+BO96+BQ96+BS96+BU96+BW96+BY96+CA96+CC96+CE96+CG96+CI96+CK96+CM96+CO96+CQ96+CS96+CU96+CW96</f>
        <v>546</v>
      </c>
      <c r="CZ96" s="19">
        <f t="shared" ref="CZ96:CZ98" si="113">D96+F96+H96+J96+L96+N96+P96+R96+T96+V96+X96+Z96+AB96+AD96+AF96+AH96+AJ96+AL96+AN96+AP96+AR96+AT96+AV96+AX96+AZ96+BB96+BD96+BF96+BH96+BJ96+BL96+BN96+BP96+BR96+BT96+BV96+BX96+BZ96+CB96+CD96+CF96+CH96+CJ96+CL96+CN96+CP96+CR96+CT96+CV96+CX96</f>
        <v>439</v>
      </c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</row>
    <row r="97" spans="1:122" ht="18" customHeight="1">
      <c r="A97" s="13" t="s">
        <v>123</v>
      </c>
      <c r="B97" s="14">
        <f>IFERROR(VLOOKUP(A97,PRICELIST!$A$3:$D$138,4,0),"-")</f>
        <v>225.64</v>
      </c>
      <c r="C97" s="18">
        <v>44</v>
      </c>
      <c r="D97" s="18">
        <v>240</v>
      </c>
      <c r="E97" s="18">
        <v>5</v>
      </c>
      <c r="F97" s="18">
        <v>2</v>
      </c>
      <c r="G97" s="18">
        <v>3</v>
      </c>
      <c r="H97" s="18"/>
      <c r="I97" s="18">
        <v>23</v>
      </c>
      <c r="J97" s="18">
        <v>13</v>
      </c>
      <c r="K97" s="18"/>
      <c r="L97" s="18"/>
      <c r="M97" s="18"/>
      <c r="N97" s="18"/>
      <c r="O97" s="18"/>
      <c r="P97" s="18"/>
      <c r="Q97" s="18"/>
      <c r="R97" s="18"/>
      <c r="S97" s="18">
        <v>16</v>
      </c>
      <c r="T97" s="18"/>
      <c r="U97" s="18">
        <v>2</v>
      </c>
      <c r="V97" s="18">
        <v>2</v>
      </c>
      <c r="W97" s="18"/>
      <c r="X97" s="18"/>
      <c r="Y97" s="18"/>
      <c r="Z97" s="18"/>
      <c r="AA97" s="18"/>
      <c r="AB97" s="18"/>
      <c r="AC97" s="18">
        <v>5</v>
      </c>
      <c r="AD97" s="18">
        <v>5</v>
      </c>
      <c r="AE97" s="18"/>
      <c r="AF97" s="18">
        <v>26</v>
      </c>
      <c r="AG97" s="18"/>
      <c r="AH97" s="18"/>
      <c r="AI97" s="18"/>
      <c r="AJ97" s="18"/>
      <c r="AK97" s="39"/>
      <c r="AL97" s="39"/>
      <c r="AM97" s="39">
        <v>16</v>
      </c>
      <c r="AN97" s="39">
        <v>7</v>
      </c>
      <c r="AO97" s="39">
        <v>4</v>
      </c>
      <c r="AP97" s="39">
        <v>0</v>
      </c>
      <c r="AQ97" s="39">
        <v>4</v>
      </c>
      <c r="AR97" s="39">
        <v>10</v>
      </c>
      <c r="AS97" s="39">
        <v>6</v>
      </c>
      <c r="AT97" s="39">
        <v>9</v>
      </c>
      <c r="AU97" s="39">
        <v>2</v>
      </c>
      <c r="AV97" s="39">
        <v>18</v>
      </c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39"/>
      <c r="BJ97" s="39"/>
      <c r="BK97" s="18">
        <v>1</v>
      </c>
      <c r="BL97" s="18">
        <v>10</v>
      </c>
      <c r="BM97" s="18"/>
      <c r="BN97" s="18"/>
      <c r="BO97" s="18"/>
      <c r="BP97" s="18"/>
      <c r="BQ97" s="18"/>
      <c r="BR97" s="18"/>
      <c r="BS97" s="18"/>
      <c r="BT97" s="18"/>
      <c r="BU97" s="18">
        <v>3</v>
      </c>
      <c r="BV97" s="18">
        <v>9</v>
      </c>
      <c r="BW97" s="18"/>
      <c r="BX97" s="18"/>
      <c r="BY97" s="18">
        <v>100</v>
      </c>
      <c r="BZ97" s="18"/>
      <c r="CA97" s="18"/>
      <c r="CB97" s="18"/>
      <c r="CC97" s="18">
        <v>80</v>
      </c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9">
        <f t="shared" si="112"/>
        <v>314</v>
      </c>
      <c r="CZ97" s="19">
        <f t="shared" si="113"/>
        <v>351</v>
      </c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</row>
    <row r="98" spans="1:122" ht="18" customHeight="1">
      <c r="A98" s="13" t="s">
        <v>131</v>
      </c>
      <c r="B98" s="14">
        <f>IFERROR(VLOOKUP(A98,PRICELIST!$A$3:$D$138,4,0),"-")</f>
        <v>198.64</v>
      </c>
      <c r="C98" s="18">
        <v>131</v>
      </c>
      <c r="D98" s="18">
        <v>172</v>
      </c>
      <c r="E98" s="18">
        <v>2</v>
      </c>
      <c r="F98" s="18">
        <v>18</v>
      </c>
      <c r="G98" s="18">
        <v>9</v>
      </c>
      <c r="H98" s="18">
        <v>7</v>
      </c>
      <c r="I98" s="18">
        <v>8</v>
      </c>
      <c r="J98" s="18">
        <v>13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>
        <v>18</v>
      </c>
      <c r="V98" s="18">
        <v>12</v>
      </c>
      <c r="W98" s="18">
        <v>1</v>
      </c>
      <c r="X98" s="18">
        <v>16</v>
      </c>
      <c r="Y98" s="18"/>
      <c r="Z98" s="18"/>
      <c r="AA98" s="18"/>
      <c r="AB98" s="18">
        <v>34</v>
      </c>
      <c r="AC98" s="18">
        <v>2</v>
      </c>
      <c r="AD98" s="18">
        <v>7</v>
      </c>
      <c r="AE98" s="18"/>
      <c r="AF98" s="18">
        <v>11</v>
      </c>
      <c r="AG98" s="18"/>
      <c r="AH98" s="18"/>
      <c r="AI98" s="18"/>
      <c r="AJ98" s="18"/>
      <c r="AK98" s="39"/>
      <c r="AL98" s="39"/>
      <c r="AM98" s="39">
        <v>10</v>
      </c>
      <c r="AN98" s="39">
        <v>13</v>
      </c>
      <c r="AO98" s="39">
        <v>2</v>
      </c>
      <c r="AP98" s="39">
        <v>3</v>
      </c>
      <c r="AQ98" s="39">
        <v>10</v>
      </c>
      <c r="AR98" s="39">
        <v>20</v>
      </c>
      <c r="AS98" s="39">
        <v>2</v>
      </c>
      <c r="AT98" s="39">
        <v>4</v>
      </c>
      <c r="AU98" s="39">
        <v>10</v>
      </c>
      <c r="AV98" s="39">
        <v>8</v>
      </c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>
        <v>13</v>
      </c>
      <c r="BH98" s="18">
        <v>4</v>
      </c>
      <c r="BI98" s="39"/>
      <c r="BJ98" s="39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>
        <v>40</v>
      </c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9">
        <f t="shared" si="112"/>
        <v>258</v>
      </c>
      <c r="CZ98" s="19">
        <f t="shared" si="113"/>
        <v>342</v>
      </c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</row>
    <row r="99" spans="1:122" ht="18" customHeight="1">
      <c r="A99" s="9" t="s">
        <v>70</v>
      </c>
      <c r="B99" s="10"/>
      <c r="C99" s="11">
        <f t="shared" ref="C99:AJ99" si="114">SUMPRODUCT($B96:$B98,C96:C98)</f>
        <v>59328.639999999999</v>
      </c>
      <c r="D99" s="11">
        <f t="shared" si="114"/>
        <v>139712.37999999998</v>
      </c>
      <c r="E99" s="11">
        <f t="shared" si="114"/>
        <v>2533.1799999999994</v>
      </c>
      <c r="F99" s="11">
        <f t="shared" si="114"/>
        <v>9468.3799999999992</v>
      </c>
      <c r="G99" s="11">
        <f t="shared" si="114"/>
        <v>4076.9999999999995</v>
      </c>
      <c r="H99" s="11">
        <f t="shared" si="114"/>
        <v>4010.5</v>
      </c>
      <c r="I99" s="11">
        <f t="shared" si="114"/>
        <v>10809.64</v>
      </c>
      <c r="J99" s="11">
        <f t="shared" si="114"/>
        <v>10554.14</v>
      </c>
      <c r="K99" s="11">
        <f t="shared" si="114"/>
        <v>0</v>
      </c>
      <c r="L99" s="11">
        <f t="shared" si="114"/>
        <v>0</v>
      </c>
      <c r="M99" s="11">
        <f t="shared" si="114"/>
        <v>0</v>
      </c>
      <c r="N99" s="11">
        <f t="shared" si="114"/>
        <v>0</v>
      </c>
      <c r="O99" s="11">
        <f t="shared" si="114"/>
        <v>0</v>
      </c>
      <c r="P99" s="11">
        <f t="shared" si="114"/>
        <v>0</v>
      </c>
      <c r="Q99" s="11">
        <f t="shared" si="114"/>
        <v>0</v>
      </c>
      <c r="R99" s="11">
        <f t="shared" si="114"/>
        <v>1007.6999999999999</v>
      </c>
      <c r="S99" s="11">
        <f t="shared" si="114"/>
        <v>5625.6399999999994</v>
      </c>
      <c r="T99" s="11">
        <f t="shared" si="114"/>
        <v>0</v>
      </c>
      <c r="U99" s="11">
        <f t="shared" si="114"/>
        <v>8460.68</v>
      </c>
      <c r="V99" s="11">
        <f t="shared" si="114"/>
        <v>4648.82</v>
      </c>
      <c r="W99" s="11">
        <f t="shared" si="114"/>
        <v>601.72</v>
      </c>
      <c r="X99" s="11">
        <f t="shared" si="114"/>
        <v>6604.42</v>
      </c>
      <c r="Y99" s="11">
        <f t="shared" si="114"/>
        <v>0</v>
      </c>
      <c r="Z99" s="11">
        <f t="shared" si="114"/>
        <v>0</v>
      </c>
      <c r="AA99" s="11">
        <f t="shared" si="114"/>
        <v>1410.78</v>
      </c>
      <c r="AB99" s="11">
        <f t="shared" si="114"/>
        <v>9172.24</v>
      </c>
      <c r="AC99" s="11">
        <f t="shared" si="114"/>
        <v>1525.4799999999998</v>
      </c>
      <c r="AD99" s="11">
        <f t="shared" si="114"/>
        <v>2518.6799999999998</v>
      </c>
      <c r="AE99" s="11">
        <f t="shared" si="114"/>
        <v>806.16</v>
      </c>
      <c r="AF99" s="11">
        <f t="shared" si="114"/>
        <v>10470.16</v>
      </c>
      <c r="AG99" s="11">
        <f t="shared" si="114"/>
        <v>0</v>
      </c>
      <c r="AH99" s="11">
        <f t="shared" si="114"/>
        <v>0</v>
      </c>
      <c r="AI99" s="11">
        <f t="shared" si="114"/>
        <v>0</v>
      </c>
      <c r="AJ99" s="11">
        <f t="shared" si="114"/>
        <v>0</v>
      </c>
      <c r="AK99" s="40">
        <f t="shared" ref="AK99:BN99" si="115">SUMPRODUCT($B96:$B98,AK96:AK98)</f>
        <v>0</v>
      </c>
      <c r="AL99" s="40">
        <f t="shared" si="115"/>
        <v>0</v>
      </c>
      <c r="AM99" s="40">
        <f t="shared" si="115"/>
        <v>14262.859999999999</v>
      </c>
      <c r="AN99" s="40">
        <f t="shared" si="115"/>
        <v>6378.74</v>
      </c>
      <c r="AO99" s="40">
        <f t="shared" si="115"/>
        <v>2307.54</v>
      </c>
      <c r="AP99" s="40">
        <f t="shared" si="115"/>
        <v>595.91999999999996</v>
      </c>
      <c r="AQ99" s="40">
        <f t="shared" si="115"/>
        <v>8532.08</v>
      </c>
      <c r="AR99" s="40"/>
      <c r="AS99" s="40">
        <f t="shared" ref="AS99:AV99" si="116">SUMPRODUCT($B96:$B98,AS96:AS98)</f>
        <v>4371.1399999999994</v>
      </c>
      <c r="AT99" s="40">
        <f t="shared" si="116"/>
        <v>4437.6399999999994</v>
      </c>
      <c r="AU99" s="40">
        <f t="shared" si="116"/>
        <v>5460.78</v>
      </c>
      <c r="AV99" s="40">
        <f t="shared" si="116"/>
        <v>8673.739999999998</v>
      </c>
      <c r="AW99" s="11">
        <f t="shared" si="115"/>
        <v>0</v>
      </c>
      <c r="AX99" s="11">
        <f t="shared" si="115"/>
        <v>0</v>
      </c>
      <c r="AY99" s="11">
        <f t="shared" si="115"/>
        <v>0</v>
      </c>
      <c r="AZ99" s="11">
        <f t="shared" si="115"/>
        <v>0</v>
      </c>
      <c r="BA99" s="11">
        <f t="shared" si="115"/>
        <v>0</v>
      </c>
      <c r="BB99" s="11">
        <f t="shared" si="115"/>
        <v>0</v>
      </c>
      <c r="BC99" s="11">
        <f t="shared" si="115"/>
        <v>2015.3999999999999</v>
      </c>
      <c r="BD99" s="11">
        <f t="shared" si="115"/>
        <v>2015.3999999999999</v>
      </c>
      <c r="BE99" s="11">
        <f t="shared" si="115"/>
        <v>0</v>
      </c>
      <c r="BF99" s="11">
        <f t="shared" si="115"/>
        <v>0</v>
      </c>
      <c r="BG99" s="11">
        <f t="shared" si="115"/>
        <v>2582.3199999999997</v>
      </c>
      <c r="BH99" s="11">
        <f t="shared" si="115"/>
        <v>794.56</v>
      </c>
      <c r="BI99" s="40">
        <f t="shared" si="115"/>
        <v>0</v>
      </c>
      <c r="BJ99" s="40">
        <f t="shared" si="115"/>
        <v>0</v>
      </c>
      <c r="BK99" s="11">
        <f t="shared" si="115"/>
        <v>225.64</v>
      </c>
      <c r="BL99" s="11">
        <f t="shared" si="115"/>
        <v>2256.3999999999996</v>
      </c>
      <c r="BM99" s="11">
        <f t="shared" si="115"/>
        <v>0</v>
      </c>
      <c r="BN99" s="11">
        <f t="shared" si="115"/>
        <v>0</v>
      </c>
      <c r="BO99" s="11">
        <f t="shared" ref="BO99:CT99" si="117">SUMPRODUCT($B96:$B98,BO96:BO98)</f>
        <v>0</v>
      </c>
      <c r="BP99" s="11">
        <f t="shared" si="117"/>
        <v>0</v>
      </c>
      <c r="BQ99" s="11">
        <f t="shared" si="117"/>
        <v>0</v>
      </c>
      <c r="BR99" s="11">
        <f t="shared" si="117"/>
        <v>0</v>
      </c>
      <c r="BS99" s="11">
        <f t="shared" si="117"/>
        <v>0</v>
      </c>
      <c r="BT99" s="11">
        <f t="shared" si="117"/>
        <v>0</v>
      </c>
      <c r="BU99" s="11">
        <f t="shared" si="117"/>
        <v>4304.6399999999994</v>
      </c>
      <c r="BV99" s="11">
        <f t="shared" si="117"/>
        <v>5658.48</v>
      </c>
      <c r="BW99" s="11">
        <f t="shared" si="117"/>
        <v>0</v>
      </c>
      <c r="BX99" s="11">
        <f t="shared" si="117"/>
        <v>0</v>
      </c>
      <c r="BY99" s="11">
        <f t="shared" si="117"/>
        <v>42718</v>
      </c>
      <c r="BZ99" s="11">
        <f t="shared" si="117"/>
        <v>0</v>
      </c>
      <c r="CA99" s="11">
        <f t="shared" si="117"/>
        <v>0</v>
      </c>
      <c r="CB99" s="11">
        <f t="shared" si="117"/>
        <v>0</v>
      </c>
      <c r="CC99" s="11">
        <f t="shared" si="117"/>
        <v>50181.599999999999</v>
      </c>
      <c r="CD99" s="11">
        <f t="shared" si="117"/>
        <v>0</v>
      </c>
      <c r="CE99" s="11">
        <f t="shared" si="117"/>
        <v>0</v>
      </c>
      <c r="CF99" s="11">
        <f t="shared" si="117"/>
        <v>0</v>
      </c>
      <c r="CG99" s="11">
        <f t="shared" si="117"/>
        <v>0</v>
      </c>
      <c r="CH99" s="11">
        <f t="shared" si="117"/>
        <v>0</v>
      </c>
      <c r="CI99" s="11">
        <f t="shared" si="117"/>
        <v>0</v>
      </c>
      <c r="CJ99" s="11">
        <f t="shared" si="117"/>
        <v>0</v>
      </c>
      <c r="CK99" s="11">
        <f t="shared" si="117"/>
        <v>0</v>
      </c>
      <c r="CL99" s="11">
        <f t="shared" si="117"/>
        <v>0</v>
      </c>
      <c r="CM99" s="11">
        <f t="shared" si="117"/>
        <v>0</v>
      </c>
      <c r="CN99" s="11">
        <f t="shared" si="117"/>
        <v>0</v>
      </c>
      <c r="CO99" s="11">
        <f t="shared" si="117"/>
        <v>0</v>
      </c>
      <c r="CP99" s="11">
        <f t="shared" si="117"/>
        <v>0</v>
      </c>
      <c r="CQ99" s="11">
        <f t="shared" si="117"/>
        <v>0</v>
      </c>
      <c r="CR99" s="11">
        <f t="shared" si="117"/>
        <v>0</v>
      </c>
      <c r="CS99" s="11">
        <f t="shared" si="117"/>
        <v>0</v>
      </c>
      <c r="CT99" s="11">
        <f t="shared" si="117"/>
        <v>0</v>
      </c>
      <c r="CU99" s="11">
        <f t="shared" ref="CU99:CZ99" si="118">SUMPRODUCT($B96:$B98,CU96:CU98)</f>
        <v>0</v>
      </c>
      <c r="CV99" s="11">
        <f t="shared" si="118"/>
        <v>0</v>
      </c>
      <c r="CW99" s="11">
        <f t="shared" si="118"/>
        <v>0</v>
      </c>
      <c r="CX99" s="11">
        <f t="shared" si="118"/>
        <v>0</v>
      </c>
      <c r="CY99" s="11">
        <f t="shared" si="118"/>
        <v>232140.91999999998</v>
      </c>
      <c r="CZ99" s="11">
        <f t="shared" si="118"/>
        <v>235610.58000000002</v>
      </c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</row>
    <row r="100" spans="1:122" ht="18" customHeight="1">
      <c r="A100" s="13" t="s">
        <v>134</v>
      </c>
      <c r="B100" s="14">
        <f>IFERROR(VLOOKUP(A100,PRICELIST!$A$3:$D$138,4,0),"-")</f>
        <v>52.46</v>
      </c>
      <c r="C100" s="18">
        <v>174</v>
      </c>
      <c r="D100" s="18">
        <v>144</v>
      </c>
      <c r="E100" s="18">
        <v>60</v>
      </c>
      <c r="F100" s="18">
        <v>50</v>
      </c>
      <c r="G100" s="18">
        <v>20</v>
      </c>
      <c r="H100" s="18">
        <v>15</v>
      </c>
      <c r="I100" s="18">
        <v>48</v>
      </c>
      <c r="J100" s="18">
        <v>37</v>
      </c>
      <c r="K100" s="18"/>
      <c r="L100" s="18"/>
      <c r="M100" s="18"/>
      <c r="N100" s="18"/>
      <c r="O100" s="18">
        <v>46</v>
      </c>
      <c r="P100" s="18">
        <v>36</v>
      </c>
      <c r="Q100" s="18"/>
      <c r="R100" s="18">
        <v>50</v>
      </c>
      <c r="S100" s="18">
        <v>10</v>
      </c>
      <c r="T100" s="18"/>
      <c r="U100" s="18">
        <v>39</v>
      </c>
      <c r="V100" s="18">
        <v>17</v>
      </c>
      <c r="W100" s="18">
        <v>28</v>
      </c>
      <c r="X100" s="18">
        <v>32</v>
      </c>
      <c r="Y100" s="18">
        <v>100</v>
      </c>
      <c r="Z100" s="18">
        <v>50</v>
      </c>
      <c r="AA100" s="18"/>
      <c r="AB100" s="18"/>
      <c r="AC100" s="18">
        <v>2</v>
      </c>
      <c r="AD100" s="18">
        <v>15</v>
      </c>
      <c r="AE100" s="18"/>
      <c r="AF100" s="18">
        <v>70</v>
      </c>
      <c r="AG100" s="18"/>
      <c r="AH100" s="18"/>
      <c r="AI100" s="18">
        <v>59</v>
      </c>
      <c r="AJ100" s="18">
        <v>64</v>
      </c>
      <c r="AK100" s="39"/>
      <c r="AL100" s="39"/>
      <c r="AM100" s="39">
        <v>183</v>
      </c>
      <c r="AN100" s="39">
        <v>14</v>
      </c>
      <c r="AO100" s="39">
        <v>9</v>
      </c>
      <c r="AP100" s="39">
        <v>6</v>
      </c>
      <c r="AQ100" s="39">
        <v>12</v>
      </c>
      <c r="AR100" s="39">
        <v>8</v>
      </c>
      <c r="AS100" s="39">
        <v>32</v>
      </c>
      <c r="AT100" s="39">
        <v>26</v>
      </c>
      <c r="AU100" s="39">
        <v>10</v>
      </c>
      <c r="AV100" s="39">
        <v>20</v>
      </c>
      <c r="AW100" s="18"/>
      <c r="AX100" s="18"/>
      <c r="AY100" s="18"/>
      <c r="AZ100" s="18"/>
      <c r="BA100" s="18"/>
      <c r="BB100" s="18"/>
      <c r="BC100" s="18">
        <v>10</v>
      </c>
      <c r="BD100" s="18"/>
      <c r="BE100" s="18"/>
      <c r="BF100" s="18"/>
      <c r="BG100" s="18"/>
      <c r="BH100" s="18">
        <v>11</v>
      </c>
      <c r="BI100" s="39">
        <v>18</v>
      </c>
      <c r="BJ100" s="39">
        <v>8</v>
      </c>
      <c r="BK100" s="18"/>
      <c r="BL100" s="18">
        <v>18</v>
      </c>
      <c r="BM100" s="18"/>
      <c r="BN100" s="18"/>
      <c r="BO100" s="18"/>
      <c r="BP100" s="18"/>
      <c r="BQ100" s="18"/>
      <c r="BR100" s="18"/>
      <c r="BS100" s="18">
        <v>6</v>
      </c>
      <c r="BT100" s="18">
        <v>4</v>
      </c>
      <c r="BU100" s="18">
        <v>18</v>
      </c>
      <c r="BV100" s="18">
        <v>7</v>
      </c>
      <c r="BW100" s="18"/>
      <c r="BX100" s="18"/>
      <c r="BY100" s="18"/>
      <c r="BZ100" s="18"/>
      <c r="CA100" s="18">
        <v>7</v>
      </c>
      <c r="CB100" s="18">
        <v>3</v>
      </c>
      <c r="CC100" s="18">
        <v>220</v>
      </c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9">
        <f t="shared" ref="CY100:CY108" si="119">C100+E100+G100+I100+K100+M100+O100+Q100+S100+U100+W100+Y100+AA100+AC100+AE100+AG100+AI100+AK100+AM100+AO100+AQ100+AS100+AU100+AW100+AY100+BA100+BC100+BE100+BG100+BI100+BK100+BM100+BO100+BQ100+BS100+BU100+BW100+BY100+CA100+CC100+CE100+CG100+CI100+CK100+CM100+CO100+CQ100+CS100+CU100+CW100</f>
        <v>1111</v>
      </c>
      <c r="CZ100" s="19">
        <f t="shared" ref="CZ100:CZ108" si="120">D100+F100+H100+J100+L100+N100+P100+R100+T100+V100+X100+Z100+AB100+AD100+AF100+AH100+AJ100+AL100+AN100+AP100+AR100+AT100+AV100+AX100+AZ100+BB100+BD100+BF100+BH100+BJ100+BL100+BN100+BP100+BR100+BT100+BV100+BX100+BZ100+CB100+CD100+CF100+CH100+CJ100+CL100+CN100+CP100+CR100+CT100+CV100+CX100</f>
        <v>705</v>
      </c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</row>
    <row r="101" spans="1:122" ht="18" customHeight="1">
      <c r="A101" s="13" t="s">
        <v>135</v>
      </c>
      <c r="B101" s="14">
        <f>IFERROR(VLOOKUP(A101,PRICELIST!$A$3:$D$138,4,0),"-")</f>
        <v>89.62</v>
      </c>
      <c r="C101" s="18">
        <v>133</v>
      </c>
      <c r="D101" s="18">
        <v>332</v>
      </c>
      <c r="E101" s="18">
        <v>20</v>
      </c>
      <c r="F101" s="18">
        <v>58</v>
      </c>
      <c r="G101" s="18">
        <v>22</v>
      </c>
      <c r="H101" s="18">
        <v>18</v>
      </c>
      <c r="I101" s="18">
        <v>55</v>
      </c>
      <c r="J101" s="18">
        <v>34</v>
      </c>
      <c r="K101" s="18"/>
      <c r="L101" s="18"/>
      <c r="M101" s="18"/>
      <c r="N101" s="18">
        <v>40</v>
      </c>
      <c r="O101" s="18">
        <v>14</v>
      </c>
      <c r="P101" s="18"/>
      <c r="Q101" s="18">
        <v>35</v>
      </c>
      <c r="R101" s="18">
        <v>5</v>
      </c>
      <c r="S101" s="18"/>
      <c r="T101" s="18"/>
      <c r="U101" s="18">
        <v>45</v>
      </c>
      <c r="V101" s="18">
        <v>16</v>
      </c>
      <c r="W101" s="18">
        <v>3</v>
      </c>
      <c r="X101" s="18"/>
      <c r="Y101" s="18">
        <v>130</v>
      </c>
      <c r="Z101" s="18">
        <v>77</v>
      </c>
      <c r="AA101" s="18"/>
      <c r="AB101" s="18"/>
      <c r="AC101" s="18">
        <v>6</v>
      </c>
      <c r="AD101" s="18">
        <v>10</v>
      </c>
      <c r="AE101" s="18"/>
      <c r="AF101" s="18">
        <v>43</v>
      </c>
      <c r="AG101" s="18"/>
      <c r="AH101" s="18"/>
      <c r="AI101" s="18">
        <v>28</v>
      </c>
      <c r="AJ101" s="18">
        <v>34</v>
      </c>
      <c r="AK101" s="39"/>
      <c r="AL101" s="39"/>
      <c r="AM101" s="39">
        <v>36</v>
      </c>
      <c r="AN101" s="39">
        <v>8</v>
      </c>
      <c r="AO101" s="39"/>
      <c r="AP101" s="39"/>
      <c r="AQ101" s="39">
        <v>10</v>
      </c>
      <c r="AR101" s="39">
        <v>0</v>
      </c>
      <c r="AS101" s="39">
        <v>33</v>
      </c>
      <c r="AT101" s="39">
        <v>20</v>
      </c>
      <c r="AU101" s="39">
        <v>30</v>
      </c>
      <c r="AV101" s="39">
        <v>40</v>
      </c>
      <c r="AW101" s="18">
        <v>6</v>
      </c>
      <c r="AX101" s="18">
        <v>4</v>
      </c>
      <c r="AY101" s="18">
        <v>7</v>
      </c>
      <c r="AZ101" s="18">
        <v>3</v>
      </c>
      <c r="BA101" s="18"/>
      <c r="BB101" s="18"/>
      <c r="BC101" s="18"/>
      <c r="BD101" s="18"/>
      <c r="BE101" s="18">
        <v>7</v>
      </c>
      <c r="BF101" s="18">
        <v>3</v>
      </c>
      <c r="BG101" s="18">
        <v>6</v>
      </c>
      <c r="BH101" s="18">
        <v>8</v>
      </c>
      <c r="BI101" s="39">
        <v>14</v>
      </c>
      <c r="BJ101" s="39">
        <v>12</v>
      </c>
      <c r="BK101" s="18">
        <v>12</v>
      </c>
      <c r="BL101" s="18">
        <v>6</v>
      </c>
      <c r="BM101" s="18"/>
      <c r="BN101" s="18"/>
      <c r="BO101" s="18"/>
      <c r="BP101" s="18"/>
      <c r="BQ101" s="18"/>
      <c r="BR101" s="18"/>
      <c r="BS101" s="18"/>
      <c r="BT101" s="18"/>
      <c r="BU101" s="18">
        <v>18</v>
      </c>
      <c r="BV101" s="18">
        <v>3</v>
      </c>
      <c r="BW101" s="18">
        <v>42</v>
      </c>
      <c r="BX101" s="18"/>
      <c r="BY101" s="18">
        <v>100</v>
      </c>
      <c r="BZ101" s="18"/>
      <c r="CA101" s="18"/>
      <c r="CB101" s="18"/>
      <c r="CC101" s="18">
        <v>290</v>
      </c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9">
        <f t="shared" si="119"/>
        <v>1102</v>
      </c>
      <c r="CZ101" s="19">
        <f t="shared" si="120"/>
        <v>774</v>
      </c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</row>
    <row r="102" spans="1:122" ht="18" customHeight="1">
      <c r="A102" s="13" t="s">
        <v>136</v>
      </c>
      <c r="B102" s="14">
        <f>IFERROR(VLOOKUP(A102,PRICELIST!$A$3:$D$138,4,0),"-")</f>
        <v>83.41</v>
      </c>
      <c r="C102" s="18">
        <v>126</v>
      </c>
      <c r="D102" s="18">
        <v>181</v>
      </c>
      <c r="E102" s="18">
        <v>45</v>
      </c>
      <c r="F102" s="18">
        <v>28</v>
      </c>
      <c r="G102" s="18">
        <v>17</v>
      </c>
      <c r="H102" s="18">
        <v>20</v>
      </c>
      <c r="I102" s="18">
        <v>6</v>
      </c>
      <c r="J102" s="18">
        <v>9</v>
      </c>
      <c r="K102" s="18"/>
      <c r="L102" s="18"/>
      <c r="M102" s="18"/>
      <c r="N102" s="18"/>
      <c r="O102" s="18"/>
      <c r="P102" s="18"/>
      <c r="Q102" s="18"/>
      <c r="R102" s="18"/>
      <c r="S102" s="18"/>
      <c r="T102" s="18">
        <v>10</v>
      </c>
      <c r="U102" s="18">
        <v>11</v>
      </c>
      <c r="V102" s="18">
        <v>20</v>
      </c>
      <c r="W102" s="18">
        <v>41</v>
      </c>
      <c r="X102" s="18">
        <v>20</v>
      </c>
      <c r="Y102" s="18"/>
      <c r="Z102" s="18"/>
      <c r="AA102" s="18"/>
      <c r="AB102" s="18"/>
      <c r="AC102" s="18"/>
      <c r="AD102" s="18"/>
      <c r="AE102" s="18">
        <v>6</v>
      </c>
      <c r="AF102" s="18">
        <v>18</v>
      </c>
      <c r="AG102" s="18"/>
      <c r="AH102" s="18"/>
      <c r="AI102" s="18">
        <v>10</v>
      </c>
      <c r="AJ102" s="18">
        <v>39</v>
      </c>
      <c r="AK102" s="39"/>
      <c r="AL102" s="39"/>
      <c r="AM102" s="39">
        <v>15</v>
      </c>
      <c r="AN102" s="39">
        <v>4</v>
      </c>
      <c r="AO102" s="39">
        <v>6</v>
      </c>
      <c r="AP102" s="39">
        <v>4</v>
      </c>
      <c r="AQ102" s="39"/>
      <c r="AR102" s="39"/>
      <c r="AS102" s="39">
        <v>11</v>
      </c>
      <c r="AT102" s="39">
        <v>19</v>
      </c>
      <c r="AU102" s="39">
        <v>0</v>
      </c>
      <c r="AV102" s="39">
        <v>10</v>
      </c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>
        <v>7</v>
      </c>
      <c r="BI102" s="39"/>
      <c r="BJ102" s="39"/>
      <c r="BK102" s="18">
        <v>3</v>
      </c>
      <c r="BL102" s="18">
        <v>47</v>
      </c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>
        <v>40</v>
      </c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9">
        <f t="shared" si="119"/>
        <v>337</v>
      </c>
      <c r="CZ102" s="19">
        <f t="shared" si="120"/>
        <v>436</v>
      </c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</row>
    <row r="103" spans="1:122" ht="18" customHeight="1">
      <c r="A103" s="13" t="s">
        <v>137</v>
      </c>
      <c r="B103" s="14">
        <f>IFERROR(VLOOKUP(A103,PRICELIST!$A$3:$D$138,4,0),"-")</f>
        <v>109.58</v>
      </c>
      <c r="C103" s="18">
        <v>295</v>
      </c>
      <c r="D103" s="18">
        <v>392</v>
      </c>
      <c r="E103" s="18"/>
      <c r="F103" s="18"/>
      <c r="G103" s="18">
        <v>34</v>
      </c>
      <c r="H103" s="18">
        <v>18</v>
      </c>
      <c r="I103" s="18">
        <v>14</v>
      </c>
      <c r="J103" s="18">
        <v>6</v>
      </c>
      <c r="K103" s="18"/>
      <c r="L103" s="18"/>
      <c r="M103" s="18">
        <v>301</v>
      </c>
      <c r="N103" s="18">
        <v>280</v>
      </c>
      <c r="O103" s="18"/>
      <c r="P103" s="18"/>
      <c r="Q103" s="18"/>
      <c r="R103" s="18"/>
      <c r="S103" s="18">
        <v>4</v>
      </c>
      <c r="T103" s="18">
        <v>6</v>
      </c>
      <c r="U103" s="18">
        <v>59</v>
      </c>
      <c r="V103" s="18">
        <v>6</v>
      </c>
      <c r="W103" s="18">
        <v>21</v>
      </c>
      <c r="X103" s="18">
        <v>34</v>
      </c>
      <c r="Y103" s="18"/>
      <c r="Z103" s="18"/>
      <c r="AA103" s="18"/>
      <c r="AB103" s="18"/>
      <c r="AC103" s="18"/>
      <c r="AD103" s="18"/>
      <c r="AE103" s="18">
        <v>24</v>
      </c>
      <c r="AF103" s="18">
        <v>28</v>
      </c>
      <c r="AG103" s="18"/>
      <c r="AH103" s="18"/>
      <c r="AI103" s="18">
        <v>37</v>
      </c>
      <c r="AJ103" s="18">
        <v>56</v>
      </c>
      <c r="AK103" s="39"/>
      <c r="AL103" s="39"/>
      <c r="AM103" s="39">
        <v>36</v>
      </c>
      <c r="AN103" s="39">
        <v>18</v>
      </c>
      <c r="AO103" s="39"/>
      <c r="AP103" s="39"/>
      <c r="AQ103" s="39">
        <v>10</v>
      </c>
      <c r="AR103" s="39">
        <v>0</v>
      </c>
      <c r="AS103" s="39">
        <v>24</v>
      </c>
      <c r="AT103" s="39">
        <v>28</v>
      </c>
      <c r="AU103" s="39">
        <v>10</v>
      </c>
      <c r="AV103" s="39">
        <v>20</v>
      </c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39"/>
      <c r="BJ103" s="39"/>
      <c r="BK103" s="18"/>
      <c r="BL103" s="18"/>
      <c r="BM103" s="18"/>
      <c r="BN103" s="18"/>
      <c r="BO103" s="18"/>
      <c r="BP103" s="18"/>
      <c r="BQ103" s="18">
        <v>20</v>
      </c>
      <c r="BR103" s="18">
        <v>10</v>
      </c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>
        <v>130</v>
      </c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9">
        <f t="shared" si="119"/>
        <v>1019</v>
      </c>
      <c r="CZ103" s="19">
        <f t="shared" si="120"/>
        <v>902</v>
      </c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</row>
    <row r="104" spans="1:122" ht="18" customHeight="1">
      <c r="A104" s="13" t="s">
        <v>140</v>
      </c>
      <c r="B104" s="14">
        <f>IFERROR(VLOOKUP(A104,PRICELIST!$A$3:$D$138,4,0),"-")</f>
        <v>28.8</v>
      </c>
      <c r="C104" s="18">
        <v>192</v>
      </c>
      <c r="D104" s="18">
        <v>546</v>
      </c>
      <c r="E104" s="18">
        <v>50</v>
      </c>
      <c r="F104" s="18">
        <v>32</v>
      </c>
      <c r="G104" s="18">
        <v>22</v>
      </c>
      <c r="H104" s="18">
        <v>21</v>
      </c>
      <c r="I104" s="18">
        <v>12</v>
      </c>
      <c r="J104" s="18">
        <v>15</v>
      </c>
      <c r="K104" s="18"/>
      <c r="L104" s="18"/>
      <c r="M104" s="18"/>
      <c r="N104" s="18"/>
      <c r="O104" s="18"/>
      <c r="P104" s="18"/>
      <c r="Q104" s="18"/>
      <c r="R104" s="18"/>
      <c r="S104" s="18">
        <v>10</v>
      </c>
      <c r="T104" s="18">
        <v>23</v>
      </c>
      <c r="U104" s="18">
        <v>14</v>
      </c>
      <c r="V104" s="18"/>
      <c r="W104" s="18"/>
      <c r="X104" s="18"/>
      <c r="Y104" s="18"/>
      <c r="Z104" s="18"/>
      <c r="AA104" s="18"/>
      <c r="AB104" s="18">
        <v>10</v>
      </c>
      <c r="AC104" s="18"/>
      <c r="AD104" s="18"/>
      <c r="AE104" s="18"/>
      <c r="AF104" s="18"/>
      <c r="AG104" s="18"/>
      <c r="AH104" s="18"/>
      <c r="AI104" s="18">
        <v>2</v>
      </c>
      <c r="AJ104" s="18">
        <v>26</v>
      </c>
      <c r="AK104" s="39"/>
      <c r="AL104" s="39"/>
      <c r="AM104" s="39">
        <v>20</v>
      </c>
      <c r="AN104" s="39">
        <v>10</v>
      </c>
      <c r="AO104" s="39"/>
      <c r="AP104" s="39"/>
      <c r="AQ104" s="39"/>
      <c r="AR104" s="39"/>
      <c r="AS104" s="39">
        <v>3</v>
      </c>
      <c r="AT104" s="39">
        <v>21</v>
      </c>
      <c r="AU104" s="39"/>
      <c r="AV104" s="39"/>
      <c r="AW104" s="18"/>
      <c r="AX104" s="18"/>
      <c r="AY104" s="18"/>
      <c r="AZ104" s="18"/>
      <c r="BA104" s="18"/>
      <c r="BB104" s="18"/>
      <c r="BC104" s="18">
        <v>30</v>
      </c>
      <c r="BD104" s="18">
        <v>80</v>
      </c>
      <c r="BE104" s="18"/>
      <c r="BF104" s="18"/>
      <c r="BG104" s="18"/>
      <c r="BH104" s="18"/>
      <c r="BI104" s="39"/>
      <c r="BJ104" s="39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>
        <v>60</v>
      </c>
      <c r="BX104" s="18"/>
      <c r="BY104" s="18"/>
      <c r="BZ104" s="18"/>
      <c r="CA104" s="18"/>
      <c r="CB104" s="18"/>
      <c r="CC104" s="18">
        <v>10</v>
      </c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9">
        <f>C104+E104+G104+I104+K104+M104+O104+Q104+S104+U104+W104+Y104+AA104+AC104+AE104+AG104+AI104+AK104+AM104+AO104+AQ104+AS104+AU104+AW104+AY104+BA104+BC104+BE104+BG104+BI104+BK104+BM104+BO104+BQ104+BS104+BU104+BW104+BY104+CA104+CC104+CE104+CG104+CI104+CK104+CM104+CO104+CQ104+CS104+CU104+CW104</f>
        <v>425</v>
      </c>
      <c r="CZ104" s="19">
        <f>D104+F104+H104+J104+L104+N104+P104+R104+T104+V104+X104+Z104+AB104+AD104+AF104+AH104+AJ104+AL104+AN104+AP104+AR104+AT104+AV104+AX104+AZ104+BB104+BD104+BF104+BH104+BJ104+BL104+BN104+BP104+BR104+BT104+BV104+BX104+BZ104+CB104+CD104+CF104+CH104+CJ104+CL104+CN104+CP104+CR104+CT104+CV104+CX104</f>
        <v>784</v>
      </c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</row>
    <row r="105" spans="1:122" ht="18" customHeight="1">
      <c r="A105" s="13" t="s">
        <v>141</v>
      </c>
      <c r="B105" s="14">
        <f>IFERROR(VLOOKUP(A105,PRICELIST!$A$3:$D$138,4,0),"-")</f>
        <v>60.43</v>
      </c>
      <c r="C105" s="18">
        <v>145</v>
      </c>
      <c r="D105" s="18">
        <v>358</v>
      </c>
      <c r="E105" s="18">
        <v>61</v>
      </c>
      <c r="F105" s="18">
        <v>44</v>
      </c>
      <c r="G105" s="18">
        <v>38</v>
      </c>
      <c r="H105" s="18">
        <v>24</v>
      </c>
      <c r="I105" s="18">
        <v>15</v>
      </c>
      <c r="J105" s="18">
        <v>16</v>
      </c>
      <c r="K105" s="18"/>
      <c r="L105" s="18"/>
      <c r="M105" s="18">
        <v>0</v>
      </c>
      <c r="N105" s="18">
        <v>30</v>
      </c>
      <c r="O105" s="18"/>
      <c r="P105" s="18"/>
      <c r="Q105" s="18"/>
      <c r="R105" s="18"/>
      <c r="S105" s="18">
        <v>5</v>
      </c>
      <c r="T105" s="18">
        <v>6</v>
      </c>
      <c r="U105" s="18">
        <v>22</v>
      </c>
      <c r="V105" s="18">
        <v>23</v>
      </c>
      <c r="W105" s="18"/>
      <c r="X105" s="18"/>
      <c r="Y105" s="18"/>
      <c r="Z105" s="18"/>
      <c r="AA105" s="18">
        <v>2</v>
      </c>
      <c r="AB105" s="18">
        <v>8</v>
      </c>
      <c r="AC105" s="18"/>
      <c r="AD105" s="18"/>
      <c r="AE105" s="18">
        <v>3</v>
      </c>
      <c r="AF105" s="18">
        <v>1</v>
      </c>
      <c r="AG105" s="18"/>
      <c r="AH105" s="18"/>
      <c r="AI105" s="18">
        <v>56</v>
      </c>
      <c r="AJ105" s="18">
        <v>61</v>
      </c>
      <c r="AK105" s="39"/>
      <c r="AL105" s="39"/>
      <c r="AM105" s="39">
        <v>28</v>
      </c>
      <c r="AN105" s="39">
        <v>10</v>
      </c>
      <c r="AO105" s="39"/>
      <c r="AP105" s="39"/>
      <c r="AQ105" s="39">
        <v>36</v>
      </c>
      <c r="AR105" s="39">
        <v>14</v>
      </c>
      <c r="AS105" s="39">
        <v>14</v>
      </c>
      <c r="AT105" s="39">
        <v>14</v>
      </c>
      <c r="AU105" s="39"/>
      <c r="AV105" s="39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39">
        <v>15</v>
      </c>
      <c r="BJ105" s="39">
        <v>15</v>
      </c>
      <c r="BK105" s="18"/>
      <c r="BL105" s="18"/>
      <c r="BM105" s="18"/>
      <c r="BN105" s="18"/>
      <c r="BO105" s="18"/>
      <c r="BP105" s="18"/>
      <c r="BQ105" s="18">
        <v>10</v>
      </c>
      <c r="BR105" s="18">
        <v>10</v>
      </c>
      <c r="BS105" s="18"/>
      <c r="BT105" s="18"/>
      <c r="BU105" s="18"/>
      <c r="BV105" s="18"/>
      <c r="BW105" s="18">
        <v>40</v>
      </c>
      <c r="BX105" s="18"/>
      <c r="BY105" s="18"/>
      <c r="BZ105" s="18"/>
      <c r="CA105" s="18"/>
      <c r="CB105" s="18"/>
      <c r="CC105" s="18">
        <v>70</v>
      </c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9">
        <f>C105+E105+G105+I105+K105+M105+O105+Q105+S105+U105+W105+Y105+AA105+AC105+AE105+AG105+AI105+AK105+AM105+AO105+AQ105+AS105+AU105+AW105+AY105+BA105+BC105+BE105+BG105+BI105+BK105+BM105+BO105+BQ105+BS105+BU105+BW105+BY105+CA105+CC105+CE105+CG105+CI105+CK105+CM105+CO105+CQ105+CS105+CU105+CW105</f>
        <v>560</v>
      </c>
      <c r="CZ105" s="19">
        <f>D105+F105+H105+J105+L105+N105+P105+R105+T105+V105+X105+Z105+AB105+AD105+AF105+AH105+AJ105+AL105+AN105+AP105+AR105+AT105+AV105+AX105+AZ105+BB105+BD105+BF105+BH105+BJ105+BL105+BN105+BP105+BR105+BT105+BV105+BX105+BZ105+CB105+CD105+CF105+CH105+CJ105+CL105+CN105+CP105+CR105+CT105+CV105+CX105</f>
        <v>634</v>
      </c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</row>
    <row r="106" spans="1:122" ht="18" customHeight="1">
      <c r="A106" s="13" t="s">
        <v>138</v>
      </c>
      <c r="B106" s="14">
        <f>IFERROR(VLOOKUP(A106,PRICELIST!$A$3:$D$138,4,0),"-")</f>
        <v>96.43</v>
      </c>
      <c r="C106" s="18">
        <v>1948</v>
      </c>
      <c r="D106" s="18">
        <v>3081</v>
      </c>
      <c r="E106" s="18">
        <v>109</v>
      </c>
      <c r="F106" s="18">
        <v>148</v>
      </c>
      <c r="G106" s="18">
        <v>194</v>
      </c>
      <c r="H106" s="18">
        <v>110</v>
      </c>
      <c r="I106" s="18">
        <v>636</v>
      </c>
      <c r="J106" s="18">
        <v>248</v>
      </c>
      <c r="K106" s="18"/>
      <c r="L106" s="18"/>
      <c r="M106" s="18">
        <v>75</v>
      </c>
      <c r="N106" s="18">
        <v>135</v>
      </c>
      <c r="O106" s="18">
        <v>3</v>
      </c>
      <c r="P106" s="18"/>
      <c r="Q106" s="18">
        <v>10</v>
      </c>
      <c r="R106" s="18">
        <v>14</v>
      </c>
      <c r="S106" s="18">
        <v>20</v>
      </c>
      <c r="T106" s="18"/>
      <c r="U106" s="18">
        <v>261</v>
      </c>
      <c r="V106" s="18">
        <v>89</v>
      </c>
      <c r="W106" s="18"/>
      <c r="X106" s="18"/>
      <c r="Y106" s="18">
        <v>164</v>
      </c>
      <c r="Z106" s="18">
        <v>74</v>
      </c>
      <c r="AA106" s="18">
        <v>26</v>
      </c>
      <c r="AB106" s="18">
        <v>4</v>
      </c>
      <c r="AC106" s="18">
        <v>39</v>
      </c>
      <c r="AD106" s="18">
        <v>31</v>
      </c>
      <c r="AE106" s="18">
        <v>22</v>
      </c>
      <c r="AF106" s="18">
        <v>15</v>
      </c>
      <c r="AG106" s="18"/>
      <c r="AH106" s="18"/>
      <c r="AI106" s="18">
        <v>263</v>
      </c>
      <c r="AJ106" s="18">
        <v>208</v>
      </c>
      <c r="AK106" s="39">
        <v>5</v>
      </c>
      <c r="AL106" s="39">
        <v>20</v>
      </c>
      <c r="AM106" s="39">
        <v>192</v>
      </c>
      <c r="AN106" s="39">
        <v>0</v>
      </c>
      <c r="AO106" s="39">
        <v>4</v>
      </c>
      <c r="AP106" s="39">
        <v>0</v>
      </c>
      <c r="AQ106" s="39">
        <v>90</v>
      </c>
      <c r="AR106" s="39">
        <v>0</v>
      </c>
      <c r="AS106" s="39">
        <v>59</v>
      </c>
      <c r="AT106" s="39">
        <v>44</v>
      </c>
      <c r="AU106" s="39">
        <v>120</v>
      </c>
      <c r="AV106" s="39">
        <v>100</v>
      </c>
      <c r="AW106" s="18">
        <v>20</v>
      </c>
      <c r="AX106" s="18">
        <v>10</v>
      </c>
      <c r="AY106" s="18"/>
      <c r="AZ106" s="18"/>
      <c r="BA106" s="18"/>
      <c r="BB106" s="18"/>
      <c r="BC106" s="18">
        <v>3</v>
      </c>
      <c r="BD106" s="18">
        <v>27</v>
      </c>
      <c r="BE106" s="18">
        <v>20</v>
      </c>
      <c r="BF106" s="18">
        <v>10</v>
      </c>
      <c r="BG106" s="18">
        <v>41</v>
      </c>
      <c r="BH106" s="18"/>
      <c r="BI106" s="39"/>
      <c r="BJ106" s="39"/>
      <c r="BK106" s="18">
        <v>20</v>
      </c>
      <c r="BL106" s="18"/>
      <c r="BM106" s="18"/>
      <c r="BN106" s="18"/>
      <c r="BO106" s="18">
        <v>15</v>
      </c>
      <c r="BP106" s="18">
        <v>5</v>
      </c>
      <c r="BQ106" s="18">
        <v>100</v>
      </c>
      <c r="BR106" s="18">
        <v>20</v>
      </c>
      <c r="BS106" s="18"/>
      <c r="BT106" s="18"/>
      <c r="BU106" s="18"/>
      <c r="BV106" s="18"/>
      <c r="BW106" s="18">
        <v>124</v>
      </c>
      <c r="BX106" s="18"/>
      <c r="BY106" s="18">
        <v>100</v>
      </c>
      <c r="BZ106" s="18"/>
      <c r="CA106" s="18">
        <v>42</v>
      </c>
      <c r="CB106" s="18">
        <v>8</v>
      </c>
      <c r="CC106" s="18">
        <v>800</v>
      </c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9">
        <f t="shared" si="119"/>
        <v>5525</v>
      </c>
      <c r="CZ106" s="19">
        <f t="shared" si="120"/>
        <v>4401</v>
      </c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</row>
    <row r="107" spans="1:122" ht="18" customHeight="1">
      <c r="A107" s="13" t="s">
        <v>139</v>
      </c>
      <c r="B107" s="14">
        <f>IFERROR(VLOOKUP(A107,PRICELIST!$A$3:$D$138,4,0),"-")</f>
        <v>123.43</v>
      </c>
      <c r="C107" s="18">
        <v>330</v>
      </c>
      <c r="D107" s="18">
        <v>707</v>
      </c>
      <c r="E107" s="18">
        <v>25</v>
      </c>
      <c r="F107" s="18">
        <v>24</v>
      </c>
      <c r="G107" s="18">
        <v>53</v>
      </c>
      <c r="H107" s="18">
        <v>42</v>
      </c>
      <c r="I107" s="18">
        <v>13</v>
      </c>
      <c r="J107" s="18">
        <v>44</v>
      </c>
      <c r="K107" s="18"/>
      <c r="L107" s="18"/>
      <c r="M107" s="18">
        <v>1334</v>
      </c>
      <c r="N107" s="18">
        <v>1864</v>
      </c>
      <c r="O107" s="18">
        <v>1</v>
      </c>
      <c r="P107" s="18">
        <v>49</v>
      </c>
      <c r="Q107" s="18">
        <v>80</v>
      </c>
      <c r="R107" s="18">
        <v>35</v>
      </c>
      <c r="S107" s="18"/>
      <c r="T107" s="18">
        <v>46</v>
      </c>
      <c r="U107" s="18">
        <v>97</v>
      </c>
      <c r="V107" s="18">
        <v>64</v>
      </c>
      <c r="W107" s="18">
        <v>13</v>
      </c>
      <c r="X107" s="18">
        <v>22</v>
      </c>
      <c r="Y107" s="18">
        <v>110</v>
      </c>
      <c r="Z107" s="18">
        <v>100</v>
      </c>
      <c r="AA107" s="18">
        <v>1</v>
      </c>
      <c r="AB107" s="18">
        <v>16</v>
      </c>
      <c r="AC107" s="18">
        <v>5</v>
      </c>
      <c r="AD107" s="18">
        <v>13</v>
      </c>
      <c r="AE107" s="18"/>
      <c r="AF107" s="18">
        <v>50</v>
      </c>
      <c r="AG107" s="18"/>
      <c r="AH107" s="18"/>
      <c r="AI107" s="18">
        <v>89</v>
      </c>
      <c r="AJ107" s="18">
        <v>97</v>
      </c>
      <c r="AK107" s="39">
        <v>10</v>
      </c>
      <c r="AL107" s="39">
        <v>28</v>
      </c>
      <c r="AM107" s="39">
        <v>21</v>
      </c>
      <c r="AN107" s="39">
        <v>6</v>
      </c>
      <c r="AO107" s="39"/>
      <c r="AP107" s="39"/>
      <c r="AQ107" s="39">
        <v>30</v>
      </c>
      <c r="AR107" s="39">
        <v>0</v>
      </c>
      <c r="AS107" s="39">
        <v>8</v>
      </c>
      <c r="AT107" s="39">
        <v>22</v>
      </c>
      <c r="AU107" s="39">
        <v>100</v>
      </c>
      <c r="AV107" s="39">
        <v>80</v>
      </c>
      <c r="AW107" s="18"/>
      <c r="AX107" s="18"/>
      <c r="AY107" s="18"/>
      <c r="AZ107" s="18"/>
      <c r="BA107" s="18"/>
      <c r="BB107" s="18"/>
      <c r="BC107" s="18"/>
      <c r="BD107" s="18"/>
      <c r="BE107" s="18">
        <v>6</v>
      </c>
      <c r="BF107" s="18">
        <v>4</v>
      </c>
      <c r="BG107" s="18"/>
      <c r="BH107" s="18">
        <v>38</v>
      </c>
      <c r="BI107" s="39"/>
      <c r="BJ107" s="39"/>
      <c r="BK107" s="18"/>
      <c r="BL107" s="18"/>
      <c r="BM107" s="18"/>
      <c r="BN107" s="18"/>
      <c r="BO107" s="18">
        <v>40</v>
      </c>
      <c r="BP107" s="18">
        <v>10</v>
      </c>
      <c r="BQ107" s="18">
        <v>15</v>
      </c>
      <c r="BR107" s="18">
        <v>5</v>
      </c>
      <c r="BS107" s="18">
        <v>5</v>
      </c>
      <c r="BT107" s="18">
        <v>5</v>
      </c>
      <c r="BU107" s="18"/>
      <c r="BV107" s="18"/>
      <c r="BW107" s="18"/>
      <c r="BX107" s="18"/>
      <c r="BY107" s="18"/>
      <c r="BZ107" s="18"/>
      <c r="CA107" s="18">
        <v>8</v>
      </c>
      <c r="CB107" s="18">
        <v>2</v>
      </c>
      <c r="CC107" s="18">
        <v>250</v>
      </c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9">
        <f t="shared" si="119"/>
        <v>2644</v>
      </c>
      <c r="CZ107" s="19">
        <f t="shared" si="120"/>
        <v>3373</v>
      </c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</row>
    <row r="108" spans="1:122" ht="18" customHeight="1">
      <c r="A108" s="13" t="s">
        <v>142</v>
      </c>
      <c r="B108" s="14">
        <f>IFERROR(VLOOKUP(A108,PRICELIST!$A$3:$D$138,4,0),"-")</f>
        <v>121.5</v>
      </c>
      <c r="C108" s="18">
        <v>43</v>
      </c>
      <c r="D108" s="18">
        <v>146</v>
      </c>
      <c r="E108" s="18">
        <v>-5</v>
      </c>
      <c r="F108" s="18">
        <v>26</v>
      </c>
      <c r="G108" s="18">
        <v>13</v>
      </c>
      <c r="H108" s="18">
        <v>21</v>
      </c>
      <c r="I108" s="18">
        <v>31</v>
      </c>
      <c r="J108" s="18">
        <v>23</v>
      </c>
      <c r="K108" s="18"/>
      <c r="L108" s="18"/>
      <c r="M108" s="18"/>
      <c r="N108" s="18">
        <v>58</v>
      </c>
      <c r="O108" s="18">
        <v>6</v>
      </c>
      <c r="P108" s="18">
        <v>6</v>
      </c>
      <c r="Q108" s="18">
        <v>10</v>
      </c>
      <c r="R108" s="18">
        <v>6</v>
      </c>
      <c r="S108" s="18">
        <v>5</v>
      </c>
      <c r="T108" s="18">
        <v>7</v>
      </c>
      <c r="U108" s="18">
        <v>2</v>
      </c>
      <c r="V108" s="18">
        <v>2</v>
      </c>
      <c r="W108" s="18">
        <v>7</v>
      </c>
      <c r="X108" s="18">
        <v>1</v>
      </c>
      <c r="Y108" s="18"/>
      <c r="Z108" s="18">
        <v>20</v>
      </c>
      <c r="AA108" s="18"/>
      <c r="AB108" s="18"/>
      <c r="AC108" s="18">
        <v>18</v>
      </c>
      <c r="AD108" s="18">
        <v>22</v>
      </c>
      <c r="AE108" s="18"/>
      <c r="AF108" s="18">
        <v>10</v>
      </c>
      <c r="AG108" s="18"/>
      <c r="AH108" s="18"/>
      <c r="AI108" s="18">
        <v>3</v>
      </c>
      <c r="AJ108" s="18">
        <v>8</v>
      </c>
      <c r="AK108" s="39"/>
      <c r="AL108" s="39"/>
      <c r="AM108" s="39">
        <v>20</v>
      </c>
      <c r="AN108" s="39">
        <v>10</v>
      </c>
      <c r="AO108" s="39">
        <v>3</v>
      </c>
      <c r="AP108" s="39">
        <v>2</v>
      </c>
      <c r="AQ108" s="39"/>
      <c r="AR108" s="39"/>
      <c r="AS108" s="39">
        <v>0</v>
      </c>
      <c r="AT108" s="39">
        <v>10</v>
      </c>
      <c r="AU108" s="39">
        <v>9</v>
      </c>
      <c r="AV108" s="39">
        <v>10</v>
      </c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>
        <v>15</v>
      </c>
      <c r="BH108" s="18">
        <v>13</v>
      </c>
      <c r="BI108" s="39">
        <v>6</v>
      </c>
      <c r="BJ108" s="39">
        <v>5</v>
      </c>
      <c r="BK108" s="18"/>
      <c r="BL108" s="18">
        <v>18</v>
      </c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>
        <v>90</v>
      </c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9">
        <f t="shared" si="119"/>
        <v>276</v>
      </c>
      <c r="CZ108" s="19">
        <f t="shared" si="120"/>
        <v>424</v>
      </c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</row>
    <row r="109" spans="1:122" ht="18" customHeight="1">
      <c r="A109" s="13" t="s">
        <v>143</v>
      </c>
      <c r="B109" s="14">
        <f>IFERROR(VLOOKUP(A109,PRICELIST!$A$3:$D$138,4,0),"-")</f>
        <v>109.23</v>
      </c>
      <c r="C109" s="18">
        <v>155</v>
      </c>
      <c r="D109" s="18">
        <v>295</v>
      </c>
      <c r="E109" s="18">
        <v>30</v>
      </c>
      <c r="F109" s="18">
        <v>29</v>
      </c>
      <c r="G109" s="18">
        <v>17</v>
      </c>
      <c r="H109" s="18">
        <v>15</v>
      </c>
      <c r="I109" s="18">
        <v>75</v>
      </c>
      <c r="J109" s="18">
        <v>56</v>
      </c>
      <c r="K109" s="18"/>
      <c r="L109" s="18"/>
      <c r="M109" s="18">
        <v>30</v>
      </c>
      <c r="N109" s="18">
        <v>90</v>
      </c>
      <c r="O109" s="18"/>
      <c r="P109" s="18"/>
      <c r="Q109" s="18"/>
      <c r="R109" s="18"/>
      <c r="S109" s="18"/>
      <c r="T109" s="18">
        <v>10</v>
      </c>
      <c r="U109" s="18">
        <v>48</v>
      </c>
      <c r="V109" s="18">
        <v>27</v>
      </c>
      <c r="W109" s="18"/>
      <c r="X109" s="18">
        <v>5</v>
      </c>
      <c r="Y109" s="18">
        <v>20</v>
      </c>
      <c r="Z109" s="18">
        <v>30</v>
      </c>
      <c r="AA109" s="18"/>
      <c r="AB109" s="18"/>
      <c r="AC109" s="18"/>
      <c r="AD109" s="18"/>
      <c r="AE109" s="18"/>
      <c r="AF109" s="18">
        <v>58</v>
      </c>
      <c r="AG109" s="18"/>
      <c r="AH109" s="18"/>
      <c r="AI109" s="18">
        <v>42</v>
      </c>
      <c r="AJ109" s="18">
        <v>47</v>
      </c>
      <c r="AK109" s="39"/>
      <c r="AL109" s="39"/>
      <c r="AM109" s="39">
        <v>32</v>
      </c>
      <c r="AN109" s="39">
        <v>18</v>
      </c>
      <c r="AO109" s="39">
        <v>3</v>
      </c>
      <c r="AP109" s="39">
        <v>0</v>
      </c>
      <c r="AQ109" s="39"/>
      <c r="AR109" s="39"/>
      <c r="AS109" s="39">
        <v>21</v>
      </c>
      <c r="AT109" s="39">
        <v>17</v>
      </c>
      <c r="AU109" s="39">
        <v>10</v>
      </c>
      <c r="AV109" s="39">
        <v>10</v>
      </c>
      <c r="AW109" s="18"/>
      <c r="AX109" s="18"/>
      <c r="AY109" s="18"/>
      <c r="AZ109" s="18"/>
      <c r="BA109" s="18"/>
      <c r="BB109" s="18"/>
      <c r="BC109" s="18">
        <v>10</v>
      </c>
      <c r="BD109" s="18"/>
      <c r="BE109" s="18"/>
      <c r="BF109" s="18"/>
      <c r="BG109" s="18">
        <v>3</v>
      </c>
      <c r="BH109" s="18">
        <v>14</v>
      </c>
      <c r="BI109" s="39">
        <v>5</v>
      </c>
      <c r="BJ109" s="39">
        <v>7</v>
      </c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>
        <v>10</v>
      </c>
      <c r="BW109" s="18"/>
      <c r="BX109" s="18"/>
      <c r="BY109" s="18"/>
      <c r="BZ109" s="18"/>
      <c r="CA109" s="18"/>
      <c r="CB109" s="18"/>
      <c r="CC109" s="18">
        <v>100</v>
      </c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9">
        <f t="shared" ref="CY109" si="121">C109+E109+G109+I109+K109+M109+O109+Q109+S109+U109+W109+Y109+AA109+AC109+AE109+AG109+AI109+AK109+AM109+AO109+AQ109+AS109+AU109+AW109+AY109+BA109+BC109+BE109+BG109+BI109+BK109+BM109+BO109+BQ109+BS109+BU109+BW109+BY109+CA109+CC109+CE109+CG109+CI109+CK109+CM109+CO109+CQ109+CS109+CU109+CW109</f>
        <v>601</v>
      </c>
      <c r="CZ109" s="19">
        <f t="shared" ref="CZ109" si="122">D109+F109+H109+J109+L109+N109+P109+R109+T109+V109+X109+Z109+AB109+AD109+AF109+AH109+AJ109+AL109+AN109+AP109+AR109+AT109+AV109+AX109+AZ109+BB109+BD109+BF109+BH109+BJ109+BL109+BN109+BP109+BR109+BT109+BV109+BX109+BZ109+CB109+CD109+CF109+CH109+CJ109+CL109+CN109+CP109+CR109+CT109+CV109+CX109</f>
        <v>738</v>
      </c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</row>
    <row r="110" spans="1:122" ht="18" customHeight="1">
      <c r="A110" s="9" t="s">
        <v>144</v>
      </c>
      <c r="B110" s="10"/>
      <c r="C110" s="11">
        <f t="shared" ref="C110:AJ110" si="123">SUMPRODUCT($B100:$B109,C100:C109)</f>
        <v>328907.90000000008</v>
      </c>
      <c r="D110" s="11">
        <f t="shared" si="123"/>
        <v>567047.07999999996</v>
      </c>
      <c r="E110" s="11">
        <f t="shared" si="123"/>
        <v>30085.700000000004</v>
      </c>
      <c r="F110" s="11">
        <f t="shared" si="123"/>
        <v>37297.589999999997</v>
      </c>
      <c r="G110" s="11">
        <f t="shared" si="123"/>
        <v>39780.090000000004</v>
      </c>
      <c r="H110" s="11">
        <f t="shared" si="123"/>
        <v>28077.130000000005</v>
      </c>
      <c r="I110" s="11">
        <f t="shared" si="123"/>
        <v>85626.63</v>
      </c>
      <c r="J110" s="11">
        <f t="shared" si="123"/>
        <v>46052.090000000004</v>
      </c>
      <c r="K110" s="11">
        <f t="shared" si="123"/>
        <v>0</v>
      </c>
      <c r="L110" s="11">
        <f t="shared" si="123"/>
        <v>0</v>
      </c>
      <c r="M110" s="11">
        <f t="shared" si="123"/>
        <v>208148.35</v>
      </c>
      <c r="N110" s="11">
        <f t="shared" si="123"/>
        <v>296049.37000000005</v>
      </c>
      <c r="O110" s="11">
        <f t="shared" si="123"/>
        <v>4809.5599999999995</v>
      </c>
      <c r="P110" s="11">
        <f t="shared" si="123"/>
        <v>8665.630000000001</v>
      </c>
      <c r="Q110" s="11">
        <f t="shared" si="123"/>
        <v>15190.400000000001</v>
      </c>
      <c r="R110" s="11">
        <f t="shared" si="123"/>
        <v>9470.17</v>
      </c>
      <c r="S110" s="11">
        <f t="shared" si="123"/>
        <v>4089.17</v>
      </c>
      <c r="T110" s="11">
        <f t="shared" si="123"/>
        <v>10137.14</v>
      </c>
      <c r="U110" s="11">
        <f t="shared" si="123"/>
        <v>57821.210000000006</v>
      </c>
      <c r="V110" s="11">
        <f t="shared" si="123"/>
        <v>25715.31</v>
      </c>
      <c r="W110" s="11">
        <f t="shared" si="123"/>
        <v>9913.82</v>
      </c>
      <c r="X110" s="11">
        <f t="shared" si="123"/>
        <v>10455.749999999998</v>
      </c>
      <c r="Y110" s="11">
        <f t="shared" si="123"/>
        <v>48473.02</v>
      </c>
      <c r="Z110" s="11">
        <f t="shared" si="123"/>
        <v>34709.46</v>
      </c>
      <c r="AA110" s="11">
        <f t="shared" si="123"/>
        <v>2751.4700000000003</v>
      </c>
      <c r="AB110" s="11">
        <f t="shared" si="123"/>
        <v>3132.04</v>
      </c>
      <c r="AC110" s="11">
        <f t="shared" si="123"/>
        <v>7207.5600000000013</v>
      </c>
      <c r="AD110" s="11">
        <f t="shared" si="123"/>
        <v>8950.02</v>
      </c>
      <c r="AE110" s="11">
        <f t="shared" si="123"/>
        <v>5433.13</v>
      </c>
      <c r="AF110" s="11">
        <f t="shared" si="123"/>
        <v>27324.2</v>
      </c>
      <c r="AG110" s="11">
        <f t="shared" si="123"/>
        <v>0</v>
      </c>
      <c r="AH110" s="11">
        <f t="shared" si="123"/>
        <v>0</v>
      </c>
      <c r="AI110" s="11">
        <f t="shared" si="123"/>
        <v>55233.260000000009</v>
      </c>
      <c r="AJ110" s="11">
        <f t="shared" si="123"/>
        <v>58364.98</v>
      </c>
      <c r="AK110" s="40">
        <f t="shared" ref="AK110:BN110" si="124">SUMPRODUCT($B100:$B109,AK100:AK109)</f>
        <v>1716.4500000000003</v>
      </c>
      <c r="AL110" s="40">
        <f t="shared" si="124"/>
        <v>5384.64</v>
      </c>
      <c r="AM110" s="40">
        <f t="shared" si="124"/>
        <v>47322.520000000004</v>
      </c>
      <c r="AN110" s="40">
        <f t="shared" si="124"/>
        <v>8571.5</v>
      </c>
      <c r="AO110" s="40">
        <f t="shared" si="124"/>
        <v>2050.5099999999998</v>
      </c>
      <c r="AP110" s="40">
        <f t="shared" si="124"/>
        <v>891.4</v>
      </c>
      <c r="AQ110" s="40">
        <f t="shared" si="124"/>
        <v>17178.600000000002</v>
      </c>
      <c r="AR110" s="40">
        <f t="shared" si="124"/>
        <v>1265.7</v>
      </c>
      <c r="AS110" s="40">
        <f t="shared" si="124"/>
        <v>18086.670000000002</v>
      </c>
      <c r="AT110" s="40">
        <f t="shared" si="124"/>
        <v>19290.5</v>
      </c>
      <c r="AU110" s="40">
        <f t="shared" si="124"/>
        <v>30409.399999999998</v>
      </c>
      <c r="AV110" s="40">
        <f t="shared" si="124"/>
        <v>29484.400000000001</v>
      </c>
      <c r="AW110" s="11">
        <f t="shared" si="124"/>
        <v>2466.3200000000002</v>
      </c>
      <c r="AX110" s="11">
        <f t="shared" si="124"/>
        <v>1322.7800000000002</v>
      </c>
      <c r="AY110" s="11">
        <f t="shared" si="124"/>
        <v>627.34</v>
      </c>
      <c r="AZ110" s="11">
        <f t="shared" si="124"/>
        <v>268.86</v>
      </c>
      <c r="BA110" s="11">
        <f t="shared" si="124"/>
        <v>0</v>
      </c>
      <c r="BB110" s="11">
        <f t="shared" si="124"/>
        <v>0</v>
      </c>
      <c r="BC110" s="11">
        <f t="shared" si="124"/>
        <v>2770.1899999999996</v>
      </c>
      <c r="BD110" s="11">
        <f t="shared" si="124"/>
        <v>4907.6100000000006</v>
      </c>
      <c r="BE110" s="11">
        <f t="shared" si="124"/>
        <v>3296.52</v>
      </c>
      <c r="BF110" s="11">
        <f t="shared" si="124"/>
        <v>1726.88</v>
      </c>
      <c r="BG110" s="11">
        <f t="shared" si="124"/>
        <v>6641.54</v>
      </c>
      <c r="BH110" s="11">
        <f t="shared" si="124"/>
        <v>9676.9499999999989</v>
      </c>
      <c r="BI110" s="40">
        <f t="shared" si="124"/>
        <v>4380.5599999999995</v>
      </c>
      <c r="BJ110" s="40">
        <f t="shared" si="124"/>
        <v>3773.6800000000003</v>
      </c>
      <c r="BK110" s="11">
        <f t="shared" si="124"/>
        <v>3254.2700000000004</v>
      </c>
      <c r="BL110" s="11">
        <f t="shared" si="124"/>
        <v>7589.27</v>
      </c>
      <c r="BM110" s="11">
        <f t="shared" si="124"/>
        <v>0</v>
      </c>
      <c r="BN110" s="11">
        <f t="shared" si="124"/>
        <v>0</v>
      </c>
      <c r="BO110" s="11">
        <f t="shared" ref="BO110:CT110" si="125">SUMPRODUCT($B100:$B109,BO100:BO109)</f>
        <v>6383.6500000000005</v>
      </c>
      <c r="BP110" s="11">
        <f t="shared" si="125"/>
        <v>1716.4500000000003</v>
      </c>
      <c r="BQ110" s="11">
        <f t="shared" si="125"/>
        <v>14290.35</v>
      </c>
      <c r="BR110" s="11">
        <f t="shared" si="125"/>
        <v>4245.8500000000004</v>
      </c>
      <c r="BS110" s="11">
        <f t="shared" si="125"/>
        <v>931.91000000000008</v>
      </c>
      <c r="BT110" s="11">
        <f t="shared" si="125"/>
        <v>826.99000000000012</v>
      </c>
      <c r="BU110" s="11">
        <f t="shared" si="125"/>
        <v>2557.44</v>
      </c>
      <c r="BV110" s="11">
        <f t="shared" si="125"/>
        <v>1728.38</v>
      </c>
      <c r="BW110" s="11">
        <f t="shared" si="125"/>
        <v>19866.560000000001</v>
      </c>
      <c r="BX110" s="11">
        <f t="shared" si="125"/>
        <v>0</v>
      </c>
      <c r="BY110" s="11">
        <f t="shared" si="125"/>
        <v>18605</v>
      </c>
      <c r="BZ110" s="11">
        <f t="shared" si="125"/>
        <v>0</v>
      </c>
      <c r="CA110" s="11">
        <f t="shared" si="125"/>
        <v>5404.7200000000012</v>
      </c>
      <c r="CB110" s="11">
        <f t="shared" si="125"/>
        <v>1175.68</v>
      </c>
      <c r="CC110" s="11">
        <f t="shared" si="125"/>
        <v>189490.4</v>
      </c>
      <c r="CD110" s="11">
        <f t="shared" si="125"/>
        <v>0</v>
      </c>
      <c r="CE110" s="11">
        <f t="shared" si="125"/>
        <v>0</v>
      </c>
      <c r="CF110" s="11">
        <f t="shared" si="125"/>
        <v>0</v>
      </c>
      <c r="CG110" s="11">
        <f t="shared" si="125"/>
        <v>0</v>
      </c>
      <c r="CH110" s="11">
        <f t="shared" si="125"/>
        <v>0</v>
      </c>
      <c r="CI110" s="11">
        <f t="shared" si="125"/>
        <v>0</v>
      </c>
      <c r="CJ110" s="11">
        <f t="shared" si="125"/>
        <v>0</v>
      </c>
      <c r="CK110" s="11">
        <f t="shared" si="125"/>
        <v>0</v>
      </c>
      <c r="CL110" s="11">
        <f t="shared" si="125"/>
        <v>0</v>
      </c>
      <c r="CM110" s="11">
        <f t="shared" si="125"/>
        <v>0</v>
      </c>
      <c r="CN110" s="11">
        <f t="shared" si="125"/>
        <v>0</v>
      </c>
      <c r="CO110" s="11">
        <f t="shared" si="125"/>
        <v>0</v>
      </c>
      <c r="CP110" s="11">
        <f t="shared" si="125"/>
        <v>0</v>
      </c>
      <c r="CQ110" s="11">
        <f t="shared" si="125"/>
        <v>0</v>
      </c>
      <c r="CR110" s="11">
        <f t="shared" si="125"/>
        <v>0</v>
      </c>
      <c r="CS110" s="11">
        <f t="shared" si="125"/>
        <v>0</v>
      </c>
      <c r="CT110" s="11">
        <f t="shared" si="125"/>
        <v>0</v>
      </c>
      <c r="CU110" s="11">
        <f t="shared" ref="CU110:CZ110" si="126">SUMPRODUCT($B100:$B109,CU100:CU109)</f>
        <v>0</v>
      </c>
      <c r="CV110" s="11">
        <f t="shared" si="126"/>
        <v>0</v>
      </c>
      <c r="CW110" s="11">
        <f t="shared" si="126"/>
        <v>0</v>
      </c>
      <c r="CX110" s="11">
        <f t="shared" si="126"/>
        <v>0</v>
      </c>
      <c r="CY110" s="11">
        <f t="shared" si="126"/>
        <v>1301202.19</v>
      </c>
      <c r="CZ110" s="11">
        <f t="shared" si="126"/>
        <v>1275295.4800000002</v>
      </c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</row>
    <row r="111" spans="1:122" ht="18" customHeight="1">
      <c r="A111" s="13" t="s">
        <v>146</v>
      </c>
      <c r="B111" s="14">
        <f>IFERROR(VLOOKUP(A111,PRICELIST!$A$3:$D$138,4,0),"-")</f>
        <v>31.29</v>
      </c>
      <c r="C111" s="18">
        <v>104</v>
      </c>
      <c r="D111" s="18">
        <v>332</v>
      </c>
      <c r="E111" s="18">
        <v>43</v>
      </c>
      <c r="F111" s="18">
        <v>19</v>
      </c>
      <c r="G111" s="18">
        <v>13</v>
      </c>
      <c r="H111" s="18">
        <v>26</v>
      </c>
      <c r="I111" s="18">
        <v>33</v>
      </c>
      <c r="J111" s="18">
        <v>31</v>
      </c>
      <c r="K111" s="18"/>
      <c r="L111" s="18"/>
      <c r="M111" s="18"/>
      <c r="N111" s="18"/>
      <c r="O111" s="18"/>
      <c r="P111" s="18">
        <v>20</v>
      </c>
      <c r="Q111" s="18"/>
      <c r="R111" s="18"/>
      <c r="S111" s="18"/>
      <c r="T111" s="18"/>
      <c r="U111" s="18">
        <v>16</v>
      </c>
      <c r="V111" s="18"/>
      <c r="W111" s="18"/>
      <c r="X111" s="18"/>
      <c r="Y111" s="18"/>
      <c r="Z111" s="18">
        <v>39</v>
      </c>
      <c r="AA111" s="18"/>
      <c r="AB111" s="18"/>
      <c r="AC111" s="18"/>
      <c r="AD111" s="18"/>
      <c r="AE111" s="18">
        <v>4</v>
      </c>
      <c r="AF111" s="18">
        <v>28</v>
      </c>
      <c r="AG111" s="18"/>
      <c r="AH111" s="18"/>
      <c r="AI111" s="18">
        <v>33</v>
      </c>
      <c r="AJ111" s="18">
        <v>15</v>
      </c>
      <c r="AK111" s="39"/>
      <c r="AL111" s="39"/>
      <c r="AM111" s="39">
        <v>74</v>
      </c>
      <c r="AN111" s="39">
        <v>26</v>
      </c>
      <c r="AO111" s="39">
        <v>4</v>
      </c>
      <c r="AP111" s="39">
        <v>0</v>
      </c>
      <c r="AQ111" s="39">
        <v>3</v>
      </c>
      <c r="AR111" s="39">
        <v>17</v>
      </c>
      <c r="AS111" s="39">
        <v>16</v>
      </c>
      <c r="AT111" s="39">
        <v>11</v>
      </c>
      <c r="AU111" s="39">
        <v>25</v>
      </c>
      <c r="AV111" s="39">
        <v>4</v>
      </c>
      <c r="AW111" s="18"/>
      <c r="AX111" s="18"/>
      <c r="AY111" s="18"/>
      <c r="AZ111" s="18"/>
      <c r="BA111" s="18"/>
      <c r="BB111" s="18"/>
      <c r="BC111" s="18"/>
      <c r="BD111" s="18">
        <v>11</v>
      </c>
      <c r="BE111" s="18"/>
      <c r="BF111" s="18"/>
      <c r="BG111" s="18">
        <v>23</v>
      </c>
      <c r="BH111" s="18">
        <v>25</v>
      </c>
      <c r="BI111" s="39">
        <v>6</v>
      </c>
      <c r="BJ111" s="39">
        <v>20</v>
      </c>
      <c r="BK111" s="18">
        <v>5</v>
      </c>
      <c r="BL111" s="18">
        <v>6</v>
      </c>
      <c r="BM111" s="18"/>
      <c r="BN111" s="18"/>
      <c r="BO111" s="18"/>
      <c r="BP111" s="18"/>
      <c r="BQ111" s="18"/>
      <c r="BR111" s="18"/>
      <c r="BS111" s="18"/>
      <c r="BT111" s="18"/>
      <c r="BU111" s="18">
        <v>4</v>
      </c>
      <c r="BV111" s="18">
        <v>14</v>
      </c>
      <c r="BW111" s="18"/>
      <c r="BX111" s="18"/>
      <c r="BY111" s="18"/>
      <c r="BZ111" s="18"/>
      <c r="CA111" s="18"/>
      <c r="CB111" s="18"/>
      <c r="CC111" s="18">
        <v>140</v>
      </c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9">
        <f t="shared" ref="CY111:CY114" si="127">C111+E111+G111+I111+K111+M111+O111+Q111+S111+U111+W111+Y111+AA111+AC111+AE111+AG111+AI111+AK111+AM111+AO111+AQ111+AS111+AU111+AW111+AY111+BA111+BC111+BE111+BG111+BI111+BK111+BM111+BO111+BQ111+BS111+BU111+BW111+BY111+CA111+CC111+CE111+CG111+CI111+CK111+CM111+CO111+CQ111+CS111+CU111+CW111</f>
        <v>546</v>
      </c>
      <c r="CZ111" s="19">
        <f t="shared" ref="CZ111:CZ114" si="128">D111+F111+H111+J111+L111+N111+P111+R111+T111+V111+X111+Z111+AB111+AD111+AF111+AH111+AJ111+AL111+AN111+AP111+AR111+AT111+AV111+AX111+AZ111+BB111+BD111+BF111+BH111+BJ111+BL111+BN111+BP111+BR111+BT111+BV111+BX111+BZ111+CB111+CD111+CF111+CH111+CJ111+CL111+CN111+CP111+CR111+CT111+CV111+CX111</f>
        <v>644</v>
      </c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</row>
    <row r="112" spans="1:122" ht="18" customHeight="1">
      <c r="A112" s="13" t="s">
        <v>147</v>
      </c>
      <c r="B112" s="14">
        <f>IFERROR(VLOOKUP(A112,PRICELIST!$A$3:$D$138,4,0),"-")</f>
        <v>68.36</v>
      </c>
      <c r="C112" s="18">
        <v>131</v>
      </c>
      <c r="D112" s="18">
        <v>351</v>
      </c>
      <c r="E112" s="18">
        <v>65</v>
      </c>
      <c r="F112" s="18">
        <v>25</v>
      </c>
      <c r="G112" s="18">
        <v>18</v>
      </c>
      <c r="H112" s="18">
        <v>29</v>
      </c>
      <c r="I112" s="18">
        <v>67</v>
      </c>
      <c r="J112" s="18">
        <v>59</v>
      </c>
      <c r="K112" s="18"/>
      <c r="L112" s="18"/>
      <c r="M112" s="18"/>
      <c r="N112" s="18"/>
      <c r="O112" s="18">
        <v>16</v>
      </c>
      <c r="P112" s="18">
        <v>13</v>
      </c>
      <c r="Q112" s="18">
        <v>75</v>
      </c>
      <c r="R112" s="18">
        <v>90</v>
      </c>
      <c r="S112" s="18"/>
      <c r="T112" s="18"/>
      <c r="U112" s="18">
        <v>44</v>
      </c>
      <c r="V112" s="18">
        <v>35</v>
      </c>
      <c r="W112" s="18"/>
      <c r="X112" s="18"/>
      <c r="Y112" s="18"/>
      <c r="Z112" s="18">
        <v>42</v>
      </c>
      <c r="AA112" s="18"/>
      <c r="AB112" s="18"/>
      <c r="AC112" s="18"/>
      <c r="AD112" s="18"/>
      <c r="AE112" s="18">
        <v>16</v>
      </c>
      <c r="AF112" s="18">
        <v>25</v>
      </c>
      <c r="AG112" s="18"/>
      <c r="AH112" s="18"/>
      <c r="AI112" s="18">
        <v>26</v>
      </c>
      <c r="AJ112" s="18">
        <v>20</v>
      </c>
      <c r="AK112" s="39"/>
      <c r="AL112" s="39"/>
      <c r="AM112" s="39">
        <v>151</v>
      </c>
      <c r="AN112" s="39">
        <v>2</v>
      </c>
      <c r="AO112" s="39">
        <v>14</v>
      </c>
      <c r="AP112" s="39">
        <v>16</v>
      </c>
      <c r="AQ112" s="39">
        <v>1</v>
      </c>
      <c r="AR112" s="39">
        <v>0</v>
      </c>
      <c r="AS112" s="39">
        <v>11</v>
      </c>
      <c r="AT112" s="39">
        <v>18</v>
      </c>
      <c r="AU112" s="39">
        <v>22</v>
      </c>
      <c r="AV112" s="39">
        <v>11</v>
      </c>
      <c r="AW112" s="18"/>
      <c r="AX112" s="18"/>
      <c r="AY112" s="18">
        <v>15</v>
      </c>
      <c r="AZ112" s="18">
        <v>5</v>
      </c>
      <c r="BA112" s="18"/>
      <c r="BB112" s="18"/>
      <c r="BC112" s="18">
        <v>28</v>
      </c>
      <c r="BD112" s="18">
        <v>16</v>
      </c>
      <c r="BE112" s="18"/>
      <c r="BF112" s="18"/>
      <c r="BG112" s="18">
        <v>5</v>
      </c>
      <c r="BH112" s="18">
        <v>21</v>
      </c>
      <c r="BI112" s="39">
        <v>12</v>
      </c>
      <c r="BJ112" s="39">
        <v>12</v>
      </c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>
        <v>11</v>
      </c>
      <c r="BV112" s="18">
        <v>1</v>
      </c>
      <c r="BW112" s="18"/>
      <c r="BX112" s="18"/>
      <c r="BY112" s="18"/>
      <c r="BZ112" s="18"/>
      <c r="CA112" s="18">
        <v>16</v>
      </c>
      <c r="CB112" s="18">
        <v>4</v>
      </c>
      <c r="CC112" s="18">
        <v>200</v>
      </c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9">
        <f t="shared" ref="CY112:CY113" si="129">C112+E112+G112+I112+K112+M112+O112+Q112+S112+U112+W112+Y112+AA112+AC112+AE112+AG112+AI112+AK112+AM112+AO112+AQ112+AS112+AU112+AW112+AY112+BA112+BC112+BE112+BG112+BI112+BK112+BM112+BO112+BQ112+BS112+BU112+BW112+BY112+CA112+CC112+CE112+CG112+CI112+CK112+CM112+CO112+CQ112+CS112+CU112+CW112</f>
        <v>944</v>
      </c>
      <c r="CZ112" s="19">
        <f t="shared" ref="CZ112:CZ113" si="130">D112+F112+H112+J112+L112+N112+P112+R112+T112+V112+X112+Z112+AB112+AD112+AF112+AH112+AJ112+AL112+AN112+AP112+AR112+AT112+AV112+AX112+AZ112+BB112+BD112+BF112+BH112+BJ112+BL112+BN112+BP112+BR112+BT112+BV112+BX112+BZ112+CB112+CD112+CF112+CH112+CJ112+CL112+CN112+CP112+CR112+CT112+CV112+CX112</f>
        <v>795</v>
      </c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</row>
    <row r="113" spans="1:122" ht="18" customHeight="1">
      <c r="A113" s="13" t="s">
        <v>148</v>
      </c>
      <c r="B113" s="14">
        <f>IFERROR(VLOOKUP(A113,PRICELIST!$A$3:$D$138,4,0),"-")</f>
        <v>210.72</v>
      </c>
      <c r="C113" s="18">
        <v>132</v>
      </c>
      <c r="D113" s="18">
        <v>293</v>
      </c>
      <c r="E113" s="18">
        <v>20</v>
      </c>
      <c r="F113" s="18">
        <v>11</v>
      </c>
      <c r="G113" s="18">
        <v>26</v>
      </c>
      <c r="H113" s="18">
        <v>33</v>
      </c>
      <c r="I113" s="18">
        <v>47</v>
      </c>
      <c r="J113" s="18">
        <v>31</v>
      </c>
      <c r="K113" s="18"/>
      <c r="L113" s="18"/>
      <c r="M113" s="18"/>
      <c r="N113" s="18">
        <v>8</v>
      </c>
      <c r="O113" s="18"/>
      <c r="P113" s="18"/>
      <c r="Q113" s="18">
        <v>70</v>
      </c>
      <c r="R113" s="18"/>
      <c r="S113" s="18"/>
      <c r="T113" s="18"/>
      <c r="U113" s="18">
        <v>20</v>
      </c>
      <c r="V113" s="18">
        <v>15</v>
      </c>
      <c r="W113" s="18"/>
      <c r="X113" s="18"/>
      <c r="Y113" s="18"/>
      <c r="Z113" s="18"/>
      <c r="AA113" s="18"/>
      <c r="AB113" s="18"/>
      <c r="AC113" s="18"/>
      <c r="AD113" s="18"/>
      <c r="AE113" s="18"/>
      <c r="AF113" s="18">
        <v>26</v>
      </c>
      <c r="AG113" s="18"/>
      <c r="AH113" s="18"/>
      <c r="AI113" s="18">
        <v>16</v>
      </c>
      <c r="AJ113" s="18">
        <v>29</v>
      </c>
      <c r="AK113" s="39"/>
      <c r="AL113" s="39"/>
      <c r="AM113" s="39">
        <v>113</v>
      </c>
      <c r="AN113" s="39">
        <v>27</v>
      </c>
      <c r="AO113" s="39">
        <v>17</v>
      </c>
      <c r="AP113" s="39">
        <v>11</v>
      </c>
      <c r="AQ113" s="39"/>
      <c r="AR113" s="39"/>
      <c r="AS113" s="39">
        <v>20</v>
      </c>
      <c r="AT113" s="39">
        <v>10</v>
      </c>
      <c r="AU113" s="39">
        <v>13</v>
      </c>
      <c r="AV113" s="39">
        <v>21</v>
      </c>
      <c r="AW113" s="18"/>
      <c r="AX113" s="18"/>
      <c r="AY113" s="18"/>
      <c r="AZ113" s="18"/>
      <c r="BA113" s="18"/>
      <c r="BB113" s="18"/>
      <c r="BC113" s="18"/>
      <c r="BD113" s="18"/>
      <c r="BE113" s="18">
        <v>15</v>
      </c>
      <c r="BF113" s="18">
        <v>5</v>
      </c>
      <c r="BG113" s="18">
        <v>19</v>
      </c>
      <c r="BH113" s="18">
        <v>10</v>
      </c>
      <c r="BI113" s="39"/>
      <c r="BJ113" s="39"/>
      <c r="BK113" s="18">
        <v>6</v>
      </c>
      <c r="BL113" s="18">
        <v>12</v>
      </c>
      <c r="BM113" s="18"/>
      <c r="BN113" s="18"/>
      <c r="BO113" s="18"/>
      <c r="BP113" s="18"/>
      <c r="BQ113" s="18"/>
      <c r="BR113" s="18"/>
      <c r="BS113" s="18"/>
      <c r="BT113" s="18"/>
      <c r="BU113" s="18">
        <v>17</v>
      </c>
      <c r="BV113" s="18">
        <v>20</v>
      </c>
      <c r="BW113" s="18"/>
      <c r="BX113" s="18"/>
      <c r="BY113" s="18"/>
      <c r="BZ113" s="18"/>
      <c r="CA113" s="18">
        <v>15</v>
      </c>
      <c r="CB113" s="18">
        <v>5</v>
      </c>
      <c r="CC113" s="18">
        <v>120</v>
      </c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9">
        <f t="shared" si="129"/>
        <v>686</v>
      </c>
      <c r="CZ113" s="19">
        <f t="shared" si="130"/>
        <v>567</v>
      </c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</row>
    <row r="114" spans="1:122" ht="18" customHeight="1">
      <c r="A114" s="13" t="s">
        <v>149</v>
      </c>
      <c r="B114" s="14">
        <f>IFERROR(VLOOKUP(A114,PRICELIST!$A$3:$D$138,4,0),"-")</f>
        <v>180.9</v>
      </c>
      <c r="C114" s="18">
        <v>228</v>
      </c>
      <c r="D114" s="18">
        <v>438</v>
      </c>
      <c r="E114" s="18">
        <v>65</v>
      </c>
      <c r="F114" s="18">
        <v>31</v>
      </c>
      <c r="G114" s="18">
        <v>64</v>
      </c>
      <c r="H114" s="18">
        <v>59</v>
      </c>
      <c r="I114" s="18">
        <v>44</v>
      </c>
      <c r="J114" s="18">
        <v>41</v>
      </c>
      <c r="K114" s="18"/>
      <c r="L114" s="18"/>
      <c r="M114" s="18">
        <v>12</v>
      </c>
      <c r="N114" s="18">
        <v>26</v>
      </c>
      <c r="O114" s="18"/>
      <c r="P114" s="18"/>
      <c r="Q114" s="18">
        <v>70</v>
      </c>
      <c r="R114" s="18"/>
      <c r="S114" s="18"/>
      <c r="T114" s="18"/>
      <c r="U114" s="18">
        <v>39</v>
      </c>
      <c r="V114" s="18">
        <v>41</v>
      </c>
      <c r="W114" s="18"/>
      <c r="X114" s="18"/>
      <c r="Y114" s="18"/>
      <c r="Z114" s="18"/>
      <c r="AA114" s="18"/>
      <c r="AB114" s="18"/>
      <c r="AC114" s="18"/>
      <c r="AD114" s="18"/>
      <c r="AE114" s="18">
        <v>15</v>
      </c>
      <c r="AF114" s="18">
        <v>14</v>
      </c>
      <c r="AG114" s="18"/>
      <c r="AH114" s="18"/>
      <c r="AI114" s="18">
        <v>28</v>
      </c>
      <c r="AJ114" s="18">
        <v>69</v>
      </c>
      <c r="AK114" s="39"/>
      <c r="AL114" s="39"/>
      <c r="AM114" s="39"/>
      <c r="AN114" s="39"/>
      <c r="AO114" s="39">
        <v>23</v>
      </c>
      <c r="AP114" s="39">
        <v>6</v>
      </c>
      <c r="AQ114" s="39">
        <v>18</v>
      </c>
      <c r="AR114" s="39">
        <v>2</v>
      </c>
      <c r="AS114" s="39">
        <v>68</v>
      </c>
      <c r="AT114" s="39">
        <v>41</v>
      </c>
      <c r="AU114" s="39">
        <v>48</v>
      </c>
      <c r="AV114" s="39">
        <v>25</v>
      </c>
      <c r="AW114" s="18"/>
      <c r="AX114" s="18"/>
      <c r="AY114" s="18"/>
      <c r="AZ114" s="18"/>
      <c r="BA114" s="18"/>
      <c r="BB114" s="18"/>
      <c r="BC114" s="18"/>
      <c r="BD114" s="18">
        <v>10</v>
      </c>
      <c r="BE114" s="18"/>
      <c r="BF114" s="18"/>
      <c r="BG114" s="18">
        <v>20</v>
      </c>
      <c r="BH114" s="18">
        <v>25</v>
      </c>
      <c r="BI114" s="39"/>
      <c r="BJ114" s="39"/>
      <c r="BK114" s="18">
        <v>4</v>
      </c>
      <c r="BL114" s="18">
        <v>5</v>
      </c>
      <c r="BM114" s="18"/>
      <c r="BN114" s="18"/>
      <c r="BO114" s="18"/>
      <c r="BP114" s="18"/>
      <c r="BQ114" s="18"/>
      <c r="BR114" s="18"/>
      <c r="BS114" s="18"/>
      <c r="BT114" s="18"/>
      <c r="BU114" s="18"/>
      <c r="BV114" s="18">
        <v>27</v>
      </c>
      <c r="BW114" s="18"/>
      <c r="BX114" s="18"/>
      <c r="BY114" s="18"/>
      <c r="BZ114" s="18"/>
      <c r="CA114" s="18"/>
      <c r="CB114" s="18"/>
      <c r="CC114" s="18">
        <v>280</v>
      </c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9">
        <f t="shared" si="127"/>
        <v>1026</v>
      </c>
      <c r="CZ114" s="19">
        <f t="shared" si="128"/>
        <v>860</v>
      </c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</row>
    <row r="115" spans="1:122" ht="18" customHeight="1">
      <c r="A115" s="9" t="s">
        <v>145</v>
      </c>
      <c r="B115" s="10"/>
      <c r="C115" s="11">
        <f>SUMPRODUCT($B111:$B114,C111:C114)</f>
        <v>81269.56</v>
      </c>
      <c r="D115" s="11">
        <f t="shared" ref="D115:BO115" si="131">SUMPRODUCT($B111:$B114,D111:D114)</f>
        <v>175357.8</v>
      </c>
      <c r="E115" s="11">
        <f t="shared" si="131"/>
        <v>21761.77</v>
      </c>
      <c r="F115" s="11">
        <f t="shared" si="131"/>
        <v>10229.330000000002</v>
      </c>
      <c r="G115" s="11">
        <f t="shared" si="131"/>
        <v>18693.57</v>
      </c>
      <c r="H115" s="11">
        <f t="shared" si="131"/>
        <v>20422.84</v>
      </c>
      <c r="I115" s="11">
        <f t="shared" si="131"/>
        <v>23476.129999999997</v>
      </c>
      <c r="J115" s="11">
        <f t="shared" si="131"/>
        <v>18952.45</v>
      </c>
      <c r="K115" s="11">
        <f t="shared" si="131"/>
        <v>0</v>
      </c>
      <c r="L115" s="11">
        <f t="shared" si="131"/>
        <v>0</v>
      </c>
      <c r="M115" s="11">
        <f t="shared" si="131"/>
        <v>2170.8000000000002</v>
      </c>
      <c r="N115" s="11">
        <f t="shared" si="131"/>
        <v>6389.1600000000008</v>
      </c>
      <c r="O115" s="11">
        <f t="shared" si="131"/>
        <v>1093.76</v>
      </c>
      <c r="P115" s="11">
        <f t="shared" si="131"/>
        <v>1514.48</v>
      </c>
      <c r="Q115" s="11">
        <f t="shared" si="131"/>
        <v>32540.400000000001</v>
      </c>
      <c r="R115" s="11">
        <f t="shared" si="131"/>
        <v>6152.4</v>
      </c>
      <c r="S115" s="11">
        <f t="shared" si="131"/>
        <v>0</v>
      </c>
      <c r="T115" s="11">
        <f t="shared" si="131"/>
        <v>0</v>
      </c>
      <c r="U115" s="11">
        <f t="shared" si="131"/>
        <v>14777.98</v>
      </c>
      <c r="V115" s="11">
        <f t="shared" si="131"/>
        <v>12970.3</v>
      </c>
      <c r="W115" s="11">
        <f t="shared" si="131"/>
        <v>0</v>
      </c>
      <c r="X115" s="11">
        <f t="shared" si="131"/>
        <v>0</v>
      </c>
      <c r="Y115" s="11">
        <f t="shared" si="131"/>
        <v>0</v>
      </c>
      <c r="Z115" s="11">
        <f t="shared" si="131"/>
        <v>4091.43</v>
      </c>
      <c r="AA115" s="11">
        <f t="shared" si="131"/>
        <v>0</v>
      </c>
      <c r="AB115" s="11">
        <f t="shared" si="131"/>
        <v>0</v>
      </c>
      <c r="AC115" s="11">
        <f t="shared" si="131"/>
        <v>0</v>
      </c>
      <c r="AD115" s="11">
        <f t="shared" si="131"/>
        <v>0</v>
      </c>
      <c r="AE115" s="11">
        <f t="shared" si="131"/>
        <v>3932.42</v>
      </c>
      <c r="AF115" s="11">
        <f t="shared" si="131"/>
        <v>10596.44</v>
      </c>
      <c r="AG115" s="11">
        <f t="shared" si="131"/>
        <v>0</v>
      </c>
      <c r="AH115" s="11">
        <f t="shared" si="131"/>
        <v>0</v>
      </c>
      <c r="AI115" s="11">
        <f t="shared" si="131"/>
        <v>11246.65</v>
      </c>
      <c r="AJ115" s="11">
        <f t="shared" si="131"/>
        <v>20429.53</v>
      </c>
      <c r="AK115" s="11">
        <f t="shared" si="131"/>
        <v>0</v>
      </c>
      <c r="AL115" s="11">
        <f t="shared" si="131"/>
        <v>0</v>
      </c>
      <c r="AM115" s="11">
        <f t="shared" si="131"/>
        <v>36449.18</v>
      </c>
      <c r="AN115" s="11">
        <f t="shared" si="131"/>
        <v>6639.7</v>
      </c>
      <c r="AO115" s="11">
        <f t="shared" si="131"/>
        <v>8825.14</v>
      </c>
      <c r="AP115" s="11">
        <f t="shared" si="131"/>
        <v>4497.08</v>
      </c>
      <c r="AQ115" s="11">
        <f t="shared" si="131"/>
        <v>3418.4300000000003</v>
      </c>
      <c r="AR115" s="11">
        <f t="shared" si="131"/>
        <v>893.73</v>
      </c>
      <c r="AS115" s="11">
        <f t="shared" si="131"/>
        <v>17768.2</v>
      </c>
      <c r="AT115" s="11">
        <f t="shared" si="131"/>
        <v>11098.77</v>
      </c>
      <c r="AU115" s="11">
        <f t="shared" si="131"/>
        <v>13708.730000000001</v>
      </c>
      <c r="AV115" s="11">
        <f t="shared" si="131"/>
        <v>9824.74</v>
      </c>
      <c r="AW115" s="11">
        <f t="shared" si="131"/>
        <v>0</v>
      </c>
      <c r="AX115" s="11">
        <f t="shared" si="131"/>
        <v>0</v>
      </c>
      <c r="AY115" s="11">
        <f t="shared" si="131"/>
        <v>1025.4000000000001</v>
      </c>
      <c r="AZ115" s="11">
        <f t="shared" si="131"/>
        <v>341.8</v>
      </c>
      <c r="BA115" s="11">
        <f t="shared" si="131"/>
        <v>0</v>
      </c>
      <c r="BB115" s="11">
        <f t="shared" si="131"/>
        <v>0</v>
      </c>
      <c r="BC115" s="11">
        <f t="shared" si="131"/>
        <v>1914.08</v>
      </c>
      <c r="BD115" s="11">
        <f t="shared" si="131"/>
        <v>3246.95</v>
      </c>
      <c r="BE115" s="11">
        <f t="shared" si="131"/>
        <v>3160.8</v>
      </c>
      <c r="BF115" s="11">
        <f t="shared" si="131"/>
        <v>1053.5999999999999</v>
      </c>
      <c r="BG115" s="11">
        <f t="shared" si="131"/>
        <v>8683.15</v>
      </c>
      <c r="BH115" s="11">
        <f t="shared" si="131"/>
        <v>8847.51</v>
      </c>
      <c r="BI115" s="11">
        <f t="shared" si="131"/>
        <v>1008.06</v>
      </c>
      <c r="BJ115" s="11">
        <f t="shared" si="131"/>
        <v>1446.12</v>
      </c>
      <c r="BK115" s="11">
        <f t="shared" si="131"/>
        <v>2144.37</v>
      </c>
      <c r="BL115" s="11">
        <f t="shared" si="131"/>
        <v>3620.88</v>
      </c>
      <c r="BM115" s="11">
        <f t="shared" si="131"/>
        <v>0</v>
      </c>
      <c r="BN115" s="11">
        <f t="shared" si="131"/>
        <v>0</v>
      </c>
      <c r="BO115" s="11">
        <f t="shared" si="131"/>
        <v>0</v>
      </c>
      <c r="BP115" s="11">
        <f t="shared" ref="BP115:CZ115" si="132">SUMPRODUCT($B111:$B114,BP111:BP114)</f>
        <v>0</v>
      </c>
      <c r="BQ115" s="11">
        <f t="shared" si="132"/>
        <v>0</v>
      </c>
      <c r="BR115" s="11">
        <f t="shared" si="132"/>
        <v>0</v>
      </c>
      <c r="BS115" s="11">
        <f t="shared" si="132"/>
        <v>0</v>
      </c>
      <c r="BT115" s="11">
        <f t="shared" si="132"/>
        <v>0</v>
      </c>
      <c r="BU115" s="11">
        <f t="shared" si="132"/>
        <v>4459.3599999999997</v>
      </c>
      <c r="BV115" s="11">
        <f t="shared" si="132"/>
        <v>9605.119999999999</v>
      </c>
      <c r="BW115" s="11">
        <f t="shared" si="132"/>
        <v>0</v>
      </c>
      <c r="BX115" s="11">
        <f t="shared" si="132"/>
        <v>0</v>
      </c>
      <c r="BY115" s="11">
        <f t="shared" si="132"/>
        <v>0</v>
      </c>
      <c r="BZ115" s="11">
        <f t="shared" si="132"/>
        <v>0</v>
      </c>
      <c r="CA115" s="11">
        <f t="shared" si="132"/>
        <v>4254.5600000000004</v>
      </c>
      <c r="CB115" s="11">
        <f t="shared" si="132"/>
        <v>1327.04</v>
      </c>
      <c r="CC115" s="11">
        <f t="shared" si="132"/>
        <v>93991</v>
      </c>
      <c r="CD115" s="11">
        <f t="shared" si="132"/>
        <v>0</v>
      </c>
      <c r="CE115" s="11">
        <f t="shared" si="132"/>
        <v>0</v>
      </c>
      <c r="CF115" s="11">
        <f t="shared" si="132"/>
        <v>0</v>
      </c>
      <c r="CG115" s="11">
        <f t="shared" si="132"/>
        <v>0</v>
      </c>
      <c r="CH115" s="11">
        <f t="shared" si="132"/>
        <v>0</v>
      </c>
      <c r="CI115" s="11">
        <f t="shared" si="132"/>
        <v>0</v>
      </c>
      <c r="CJ115" s="11">
        <f t="shared" si="132"/>
        <v>0</v>
      </c>
      <c r="CK115" s="11">
        <f t="shared" si="132"/>
        <v>0</v>
      </c>
      <c r="CL115" s="11">
        <f t="shared" si="132"/>
        <v>0</v>
      </c>
      <c r="CM115" s="11">
        <f t="shared" si="132"/>
        <v>0</v>
      </c>
      <c r="CN115" s="11">
        <f t="shared" si="132"/>
        <v>0</v>
      </c>
      <c r="CO115" s="11">
        <f t="shared" si="132"/>
        <v>0</v>
      </c>
      <c r="CP115" s="11">
        <f t="shared" si="132"/>
        <v>0</v>
      </c>
      <c r="CQ115" s="11">
        <f t="shared" si="132"/>
        <v>0</v>
      </c>
      <c r="CR115" s="11">
        <f t="shared" si="132"/>
        <v>0</v>
      </c>
      <c r="CS115" s="11">
        <f t="shared" si="132"/>
        <v>0</v>
      </c>
      <c r="CT115" s="11">
        <f t="shared" si="132"/>
        <v>0</v>
      </c>
      <c r="CU115" s="11">
        <f t="shared" si="132"/>
        <v>0</v>
      </c>
      <c r="CV115" s="11">
        <f t="shared" si="132"/>
        <v>0</v>
      </c>
      <c r="CW115" s="11">
        <f t="shared" si="132"/>
        <v>0</v>
      </c>
      <c r="CX115" s="11">
        <f t="shared" si="132"/>
        <v>0</v>
      </c>
      <c r="CY115" s="11">
        <f t="shared" si="132"/>
        <v>411773.5</v>
      </c>
      <c r="CZ115" s="11">
        <f t="shared" si="132"/>
        <v>349549.2</v>
      </c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</row>
    <row r="116" spans="1:122" ht="18" hidden="1" customHeight="1">
      <c r="A116" s="4"/>
      <c r="B116" s="14" t="str">
        <f>IFERROR(VLOOKUP(A116,PRICELIST!$A$3:$D$138,4,0),"-")</f>
        <v>-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9">
        <f t="shared" ref="CY116:CY118" si="133">C116+E116+G116+I116+K116+M116+O116+Q116+S116+U116+W116+Y116+AA116+AC116+AE116+AG116+AI116+AK116+AM116+AO116+AQ116+AS116+AU116+AW116+AY116+BA116+BC116+BE116+BG116+BI116+BK116+BM116+BO116+BQ116+BS116+BU116+BW116+BY116+CA116+CC116+CE116+CG116+CI116+CK116+CM116+CO116+CQ116+CS116+CU116+CW116</f>
        <v>0</v>
      </c>
      <c r="CZ116" s="19">
        <f t="shared" ref="CZ116:CZ118" si="134">D116+F116+H116+J116+L116+N116+P116+R116+T116+V116+X116+Z116+AB116+AD116+AF116+AH116+AJ116+AL116+AN116+AP116+AR116+AT116+AV116+AX116+AZ116+BB116+BD116+BF116+BH116+BJ116+BL116+BN116+BP116+BR116+BT116+BV116+BX116+BZ116+CB116+CD116+CF116+CH116+CJ116+CL116+CN116+CP116+CR116+CT116+CV116+CX116</f>
        <v>0</v>
      </c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</row>
    <row r="117" spans="1:122" ht="18" hidden="1" customHeight="1">
      <c r="A117" s="4"/>
      <c r="B117" s="14" t="str">
        <f>IFERROR(VLOOKUP(A117,PRICELIST!$A$3:$D$138,4,0),"-")</f>
        <v>-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9">
        <f t="shared" si="133"/>
        <v>0</v>
      </c>
      <c r="CZ117" s="19">
        <f t="shared" si="134"/>
        <v>0</v>
      </c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</row>
    <row r="118" spans="1:122" ht="18" hidden="1" customHeight="1">
      <c r="A118" s="4"/>
      <c r="B118" s="14" t="str">
        <f>IFERROR(VLOOKUP(A118,PRICELIST!$A$3:$D$138,4,0),"-")</f>
        <v>-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9">
        <f t="shared" si="133"/>
        <v>0</v>
      </c>
      <c r="CZ118" s="19">
        <f t="shared" si="134"/>
        <v>0</v>
      </c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</row>
    <row r="119" spans="1:122" ht="18" hidden="1" customHeight="1">
      <c r="A119" s="9"/>
      <c r="B119" s="15"/>
      <c r="C119" s="5">
        <f>SUMPRODUCT($B116:$B118,C116:C118)</f>
        <v>0</v>
      </c>
      <c r="D119" s="5">
        <f t="shared" ref="D119:BO119" si="135">SUMPRODUCT($B116:$B118,D116:D118)</f>
        <v>0</v>
      </c>
      <c r="E119" s="5">
        <f t="shared" si="135"/>
        <v>0</v>
      </c>
      <c r="F119" s="5">
        <f t="shared" si="135"/>
        <v>0</v>
      </c>
      <c r="G119" s="5">
        <f t="shared" si="135"/>
        <v>0</v>
      </c>
      <c r="H119" s="5">
        <f t="shared" si="135"/>
        <v>0</v>
      </c>
      <c r="I119" s="5">
        <f t="shared" si="135"/>
        <v>0</v>
      </c>
      <c r="J119" s="5">
        <f t="shared" si="135"/>
        <v>0</v>
      </c>
      <c r="K119" s="5">
        <f t="shared" si="135"/>
        <v>0</v>
      </c>
      <c r="L119" s="5">
        <f t="shared" si="135"/>
        <v>0</v>
      </c>
      <c r="M119" s="5">
        <f t="shared" si="135"/>
        <v>0</v>
      </c>
      <c r="N119" s="5">
        <f t="shared" si="135"/>
        <v>0</v>
      </c>
      <c r="O119" s="5">
        <f t="shared" si="135"/>
        <v>0</v>
      </c>
      <c r="P119" s="5">
        <f t="shared" si="135"/>
        <v>0</v>
      </c>
      <c r="Q119" s="5">
        <f t="shared" si="135"/>
        <v>0</v>
      </c>
      <c r="R119" s="5">
        <f t="shared" si="135"/>
        <v>0</v>
      </c>
      <c r="S119" s="5">
        <f t="shared" si="135"/>
        <v>0</v>
      </c>
      <c r="T119" s="5">
        <f t="shared" si="135"/>
        <v>0</v>
      </c>
      <c r="U119" s="5">
        <f t="shared" si="135"/>
        <v>0</v>
      </c>
      <c r="V119" s="5">
        <f t="shared" si="135"/>
        <v>0</v>
      </c>
      <c r="W119" s="5">
        <f t="shared" si="135"/>
        <v>0</v>
      </c>
      <c r="X119" s="5">
        <f t="shared" si="135"/>
        <v>0</v>
      </c>
      <c r="Y119" s="5">
        <f t="shared" si="135"/>
        <v>0</v>
      </c>
      <c r="Z119" s="5">
        <f t="shared" si="135"/>
        <v>0</v>
      </c>
      <c r="AA119" s="5">
        <f t="shared" si="135"/>
        <v>0</v>
      </c>
      <c r="AB119" s="5">
        <f t="shared" si="135"/>
        <v>0</v>
      </c>
      <c r="AC119" s="5">
        <f t="shared" si="135"/>
        <v>0</v>
      </c>
      <c r="AD119" s="5">
        <f t="shared" si="135"/>
        <v>0</v>
      </c>
      <c r="AE119" s="5">
        <f t="shared" si="135"/>
        <v>0</v>
      </c>
      <c r="AF119" s="5">
        <f t="shared" si="135"/>
        <v>0</v>
      </c>
      <c r="AG119" s="5">
        <f t="shared" si="135"/>
        <v>0</v>
      </c>
      <c r="AH119" s="5">
        <f t="shared" si="135"/>
        <v>0</v>
      </c>
      <c r="AI119" s="5">
        <f t="shared" si="135"/>
        <v>0</v>
      </c>
      <c r="AJ119" s="5">
        <f t="shared" si="135"/>
        <v>0</v>
      </c>
      <c r="AK119" s="5">
        <f t="shared" si="135"/>
        <v>0</v>
      </c>
      <c r="AL119" s="5">
        <f t="shared" si="135"/>
        <v>0</v>
      </c>
      <c r="AM119" s="5">
        <f t="shared" si="135"/>
        <v>0</v>
      </c>
      <c r="AN119" s="5">
        <f t="shared" si="135"/>
        <v>0</v>
      </c>
      <c r="AO119" s="5">
        <f t="shared" si="135"/>
        <v>0</v>
      </c>
      <c r="AP119" s="5">
        <f t="shared" si="135"/>
        <v>0</v>
      </c>
      <c r="AQ119" s="5">
        <f t="shared" si="135"/>
        <v>0</v>
      </c>
      <c r="AR119" s="5">
        <f t="shared" si="135"/>
        <v>0</v>
      </c>
      <c r="AS119" s="5">
        <f t="shared" si="135"/>
        <v>0</v>
      </c>
      <c r="AT119" s="5">
        <f t="shared" si="135"/>
        <v>0</v>
      </c>
      <c r="AU119" s="5">
        <f t="shared" si="135"/>
        <v>0</v>
      </c>
      <c r="AV119" s="5">
        <f t="shared" si="135"/>
        <v>0</v>
      </c>
      <c r="AW119" s="5">
        <f t="shared" si="135"/>
        <v>0</v>
      </c>
      <c r="AX119" s="5">
        <f t="shared" si="135"/>
        <v>0</v>
      </c>
      <c r="AY119" s="5">
        <f t="shared" si="135"/>
        <v>0</v>
      </c>
      <c r="AZ119" s="5">
        <f t="shared" si="135"/>
        <v>0</v>
      </c>
      <c r="BA119" s="5">
        <f t="shared" si="135"/>
        <v>0</v>
      </c>
      <c r="BB119" s="5">
        <f t="shared" si="135"/>
        <v>0</v>
      </c>
      <c r="BC119" s="5">
        <f t="shared" si="135"/>
        <v>0</v>
      </c>
      <c r="BD119" s="5">
        <f t="shared" si="135"/>
        <v>0</v>
      </c>
      <c r="BE119" s="5">
        <f t="shared" si="135"/>
        <v>0</v>
      </c>
      <c r="BF119" s="5">
        <f t="shared" si="135"/>
        <v>0</v>
      </c>
      <c r="BG119" s="5">
        <f t="shared" si="135"/>
        <v>0</v>
      </c>
      <c r="BH119" s="5">
        <f t="shared" si="135"/>
        <v>0</v>
      </c>
      <c r="BI119" s="5">
        <f t="shared" si="135"/>
        <v>0</v>
      </c>
      <c r="BJ119" s="5">
        <f t="shared" si="135"/>
        <v>0</v>
      </c>
      <c r="BK119" s="5">
        <f t="shared" si="135"/>
        <v>0</v>
      </c>
      <c r="BL119" s="5">
        <f t="shared" si="135"/>
        <v>0</v>
      </c>
      <c r="BM119" s="5">
        <f t="shared" si="135"/>
        <v>0</v>
      </c>
      <c r="BN119" s="5">
        <f t="shared" si="135"/>
        <v>0</v>
      </c>
      <c r="BO119" s="5">
        <f t="shared" si="135"/>
        <v>0</v>
      </c>
      <c r="BP119" s="5">
        <f t="shared" ref="BP119:CX119" si="136">SUMPRODUCT($B116:$B118,BP116:BP118)</f>
        <v>0</v>
      </c>
      <c r="BQ119" s="5">
        <f t="shared" si="136"/>
        <v>0</v>
      </c>
      <c r="BR119" s="5">
        <f t="shared" si="136"/>
        <v>0</v>
      </c>
      <c r="BS119" s="5">
        <f t="shared" si="136"/>
        <v>0</v>
      </c>
      <c r="BT119" s="5">
        <f t="shared" si="136"/>
        <v>0</v>
      </c>
      <c r="BU119" s="5">
        <f t="shared" si="136"/>
        <v>0</v>
      </c>
      <c r="BV119" s="5">
        <f t="shared" si="136"/>
        <v>0</v>
      </c>
      <c r="BW119" s="5">
        <f t="shared" si="136"/>
        <v>0</v>
      </c>
      <c r="BX119" s="5">
        <f t="shared" si="136"/>
        <v>0</v>
      </c>
      <c r="BY119" s="5">
        <f t="shared" si="136"/>
        <v>0</v>
      </c>
      <c r="BZ119" s="5">
        <f t="shared" si="136"/>
        <v>0</v>
      </c>
      <c r="CA119" s="5">
        <f t="shared" si="136"/>
        <v>0</v>
      </c>
      <c r="CB119" s="5">
        <f t="shared" si="136"/>
        <v>0</v>
      </c>
      <c r="CC119" s="5">
        <f t="shared" si="136"/>
        <v>0</v>
      </c>
      <c r="CD119" s="5">
        <f t="shared" si="136"/>
        <v>0</v>
      </c>
      <c r="CE119" s="5">
        <f t="shared" si="136"/>
        <v>0</v>
      </c>
      <c r="CF119" s="5">
        <f t="shared" si="136"/>
        <v>0</v>
      </c>
      <c r="CG119" s="5">
        <f t="shared" si="136"/>
        <v>0</v>
      </c>
      <c r="CH119" s="5">
        <f t="shared" si="136"/>
        <v>0</v>
      </c>
      <c r="CI119" s="5">
        <f t="shared" si="136"/>
        <v>0</v>
      </c>
      <c r="CJ119" s="5">
        <f t="shared" si="136"/>
        <v>0</v>
      </c>
      <c r="CK119" s="5">
        <f t="shared" si="136"/>
        <v>0</v>
      </c>
      <c r="CL119" s="5">
        <f t="shared" si="136"/>
        <v>0</v>
      </c>
      <c r="CM119" s="5">
        <f t="shared" si="136"/>
        <v>0</v>
      </c>
      <c r="CN119" s="5">
        <f t="shared" si="136"/>
        <v>0</v>
      </c>
      <c r="CO119" s="5">
        <f t="shared" si="136"/>
        <v>0</v>
      </c>
      <c r="CP119" s="5">
        <f t="shared" si="136"/>
        <v>0</v>
      </c>
      <c r="CQ119" s="5">
        <f t="shared" si="136"/>
        <v>0</v>
      </c>
      <c r="CR119" s="5">
        <f t="shared" si="136"/>
        <v>0</v>
      </c>
      <c r="CS119" s="5">
        <f t="shared" si="136"/>
        <v>0</v>
      </c>
      <c r="CT119" s="5">
        <f t="shared" si="136"/>
        <v>0</v>
      </c>
      <c r="CU119" s="5">
        <f t="shared" si="136"/>
        <v>0</v>
      </c>
      <c r="CV119" s="5">
        <f t="shared" si="136"/>
        <v>0</v>
      </c>
      <c r="CW119" s="5">
        <f t="shared" si="136"/>
        <v>0</v>
      </c>
      <c r="CX119" s="5">
        <f t="shared" si="136"/>
        <v>0</v>
      </c>
      <c r="CY119" s="5">
        <f t="shared" ref="CY119" si="137">SUMPRODUCT($B116:$B118,CY116:CY118)</f>
        <v>0</v>
      </c>
      <c r="CZ119" s="5">
        <f t="shared" ref="CZ119" si="138">SUMPRODUCT($B116:$B118,CZ116:CZ118)</f>
        <v>0</v>
      </c>
    </row>
    <row r="120" spans="1:122" ht="18" customHeight="1">
      <c r="A120" s="16" t="s">
        <v>71</v>
      </c>
      <c r="B120" s="17"/>
      <c r="C120" s="6">
        <f t="shared" ref="C120:AH120" si="139">SUM(C10,C20,C24,C27,C34,C37,C40,C47,C49,C53,C59,C71,C79,C81,C88,C92,C95,C99,C110,C115,C119)/100000</f>
        <v>18.674777750000001</v>
      </c>
      <c r="D120" s="6">
        <f t="shared" si="139"/>
        <v>49.612732799999996</v>
      </c>
      <c r="E120" s="6">
        <f t="shared" si="139"/>
        <v>2.4311300000000005</v>
      </c>
      <c r="F120" s="6">
        <f t="shared" si="139"/>
        <v>2.9447942999999999</v>
      </c>
      <c r="G120" s="6">
        <f t="shared" si="139"/>
        <v>2.4103469</v>
      </c>
      <c r="H120" s="6">
        <f t="shared" si="139"/>
        <v>2.0854386000000003</v>
      </c>
      <c r="I120" s="6">
        <f t="shared" si="139"/>
        <v>6.2887374000000014</v>
      </c>
      <c r="J120" s="6">
        <f t="shared" si="139"/>
        <v>4.7948711000000008</v>
      </c>
      <c r="K120" s="6">
        <f t="shared" si="139"/>
        <v>0</v>
      </c>
      <c r="L120" s="6">
        <f t="shared" si="139"/>
        <v>0</v>
      </c>
      <c r="M120" s="6">
        <f t="shared" si="139"/>
        <v>3.3396162999999994</v>
      </c>
      <c r="N120" s="6">
        <f t="shared" si="139"/>
        <v>5.7176420000000006</v>
      </c>
      <c r="O120" s="6">
        <f t="shared" si="139"/>
        <v>0.24714039999999998</v>
      </c>
      <c r="P120" s="6">
        <f t="shared" si="139"/>
        <v>0.59293039999999986</v>
      </c>
      <c r="Q120" s="6">
        <f t="shared" si="139"/>
        <v>3.5562788000000007</v>
      </c>
      <c r="R120" s="6">
        <f t="shared" si="139"/>
        <v>0.36492790000000003</v>
      </c>
      <c r="S120" s="6">
        <f t="shared" si="139"/>
        <v>0.6136163</v>
      </c>
      <c r="T120" s="6">
        <f t="shared" si="139"/>
        <v>0.33495930000000002</v>
      </c>
      <c r="U120" s="6">
        <f t="shared" si="139"/>
        <v>2.7850000999999995</v>
      </c>
      <c r="V120" s="6">
        <f t="shared" si="139"/>
        <v>1.6953535999999998</v>
      </c>
      <c r="W120" s="6">
        <f t="shared" si="139"/>
        <v>0.59112469999999995</v>
      </c>
      <c r="X120" s="6">
        <f t="shared" si="139"/>
        <v>0.83071380000000006</v>
      </c>
      <c r="Y120" s="6">
        <f t="shared" si="139"/>
        <v>1.0301440999999998</v>
      </c>
      <c r="Z120" s="6">
        <f t="shared" si="139"/>
        <v>1.1224813999999999</v>
      </c>
      <c r="AA120" s="6">
        <f t="shared" si="139"/>
        <v>1.2785991999999999</v>
      </c>
      <c r="AB120" s="6">
        <f t="shared" si="139"/>
        <v>1.3017769000000001</v>
      </c>
      <c r="AC120" s="6">
        <f t="shared" si="139"/>
        <v>0.32327719999999999</v>
      </c>
      <c r="AD120" s="6">
        <f t="shared" si="139"/>
        <v>0.36030499999999999</v>
      </c>
      <c r="AE120" s="6">
        <f t="shared" si="139"/>
        <v>2.5900299000000007</v>
      </c>
      <c r="AF120" s="6">
        <f t="shared" si="139"/>
        <v>1.6016425000000001</v>
      </c>
      <c r="AG120" s="6">
        <f t="shared" si="139"/>
        <v>0.12136719999999998</v>
      </c>
      <c r="AH120" s="6">
        <f t="shared" si="139"/>
        <v>4.7811799999999995E-2</v>
      </c>
      <c r="AI120" s="6">
        <f t="shared" ref="AI120:BN120" si="140">SUM(AI10,AI20,AI24,AI27,AI34,AI37,AI40,AI47,AI49,AI53,AI59,AI71,AI79,AI81,AI88,AI92,AI95,AI99,AI110,AI115,AI119)/100000</f>
        <v>2.4877132</v>
      </c>
      <c r="AJ120" s="6">
        <f t="shared" si="140"/>
        <v>3.0886233999999995</v>
      </c>
      <c r="AK120" s="6">
        <f t="shared" si="140"/>
        <v>0.30715929999999997</v>
      </c>
      <c r="AL120" s="6">
        <f t="shared" si="140"/>
        <v>0.48791559999999995</v>
      </c>
      <c r="AM120" s="6">
        <f t="shared" si="140"/>
        <v>5.2669122000000019</v>
      </c>
      <c r="AN120" s="6">
        <f t="shared" si="140"/>
        <v>1.7857327999999999</v>
      </c>
      <c r="AO120" s="6">
        <f t="shared" si="140"/>
        <v>0.33977949999999996</v>
      </c>
      <c r="AP120" s="6">
        <f t="shared" si="140"/>
        <v>0.15947839999999999</v>
      </c>
      <c r="AQ120" s="6">
        <f t="shared" si="140"/>
        <v>1.5897553</v>
      </c>
      <c r="AR120" s="6">
        <f t="shared" si="140"/>
        <v>2.7648000000000001</v>
      </c>
      <c r="AS120" s="6">
        <f t="shared" si="140"/>
        <v>1.2176383</v>
      </c>
      <c r="AT120" s="6">
        <f t="shared" si="140"/>
        <v>1.1327448</v>
      </c>
      <c r="AU120" s="6">
        <f t="shared" si="140"/>
        <v>1.2803426999999998</v>
      </c>
      <c r="AV120" s="6">
        <f t="shared" si="140"/>
        <v>1.3337346999999999</v>
      </c>
      <c r="AW120" s="6">
        <f t="shared" si="140"/>
        <v>0.19193190000000002</v>
      </c>
      <c r="AX120" s="6">
        <f t="shared" si="140"/>
        <v>9.5544500000000004E-2</v>
      </c>
      <c r="AY120" s="6">
        <f t="shared" si="140"/>
        <v>2.6742499999999999E-2</v>
      </c>
      <c r="AZ120" s="6">
        <f t="shared" si="140"/>
        <v>1.0484500000000001E-2</v>
      </c>
      <c r="BA120" s="6">
        <f t="shared" si="140"/>
        <v>0</v>
      </c>
      <c r="BB120" s="6">
        <f t="shared" si="140"/>
        <v>9.1199999999999996E-3</v>
      </c>
      <c r="BC120" s="6">
        <f t="shared" si="140"/>
        <v>0.34677300000000005</v>
      </c>
      <c r="BD120" s="6">
        <f t="shared" si="140"/>
        <v>0.44433869999999998</v>
      </c>
      <c r="BE120" s="6">
        <f t="shared" si="140"/>
        <v>0.48739710000000008</v>
      </c>
      <c r="BF120" s="6">
        <f t="shared" si="140"/>
        <v>0.19318439999999998</v>
      </c>
      <c r="BG120" s="6">
        <f t="shared" si="140"/>
        <v>0.31573980000000001</v>
      </c>
      <c r="BH120" s="6">
        <f t="shared" si="140"/>
        <v>0.37645139999999999</v>
      </c>
      <c r="BI120" s="6">
        <f t="shared" si="140"/>
        <v>0.15591260000000001</v>
      </c>
      <c r="BJ120" s="6">
        <f t="shared" si="140"/>
        <v>0.1367593</v>
      </c>
      <c r="BK120" s="6">
        <f t="shared" si="140"/>
        <v>0.10954650000000002</v>
      </c>
      <c r="BL120" s="6">
        <f t="shared" si="140"/>
        <v>0.16738439999999999</v>
      </c>
      <c r="BM120" s="6">
        <f t="shared" si="140"/>
        <v>7.2624000000000005E-3</v>
      </c>
      <c r="BN120" s="6">
        <f t="shared" si="140"/>
        <v>3.8065800000000004E-2</v>
      </c>
      <c r="BO120" s="6">
        <f t="shared" ref="BO120:CT120" si="141">SUM(BO10,BO20,BO24,BO27,BO34,BO37,BO40,BO47,BO49,BO53,BO59,BO71,BO79,BO81,BO88,BO92,BO95,BO99,BO110,BO115,BO119)/100000</f>
        <v>6.3836500000000004E-2</v>
      </c>
      <c r="BP120" s="6">
        <f t="shared" si="141"/>
        <v>1.7164500000000003E-2</v>
      </c>
      <c r="BQ120" s="6">
        <f t="shared" si="141"/>
        <v>0.486956</v>
      </c>
      <c r="BR120" s="6">
        <f t="shared" si="141"/>
        <v>0.2225586</v>
      </c>
      <c r="BS120" s="6">
        <f t="shared" si="141"/>
        <v>7.2116099999999989E-2</v>
      </c>
      <c r="BT120" s="6">
        <f t="shared" si="141"/>
        <v>4.4826899999999996E-2</v>
      </c>
      <c r="BU120" s="6">
        <f t="shared" si="141"/>
        <v>0.68051339999999994</v>
      </c>
      <c r="BV120" s="6">
        <f t="shared" si="141"/>
        <v>0.8049554000000001</v>
      </c>
      <c r="BW120" s="6">
        <f t="shared" si="141"/>
        <v>0.36707740000000005</v>
      </c>
      <c r="BX120" s="6">
        <f t="shared" si="141"/>
        <v>0</v>
      </c>
      <c r="BY120" s="6">
        <f t="shared" si="141"/>
        <v>2.8379226000000002</v>
      </c>
      <c r="BZ120" s="6">
        <f t="shared" si="141"/>
        <v>0</v>
      </c>
      <c r="CA120" s="6">
        <f t="shared" si="141"/>
        <v>0.25313170000000002</v>
      </c>
      <c r="CB120" s="6">
        <f t="shared" si="141"/>
        <v>8.4868699999999991E-2</v>
      </c>
      <c r="CC120" s="6">
        <f t="shared" si="141"/>
        <v>13.546513599999995</v>
      </c>
      <c r="CD120" s="6">
        <f t="shared" si="141"/>
        <v>0</v>
      </c>
      <c r="CE120" s="6">
        <f t="shared" si="141"/>
        <v>0</v>
      </c>
      <c r="CF120" s="6">
        <f t="shared" si="141"/>
        <v>0</v>
      </c>
      <c r="CG120" s="6">
        <f t="shared" si="141"/>
        <v>0</v>
      </c>
      <c r="CH120" s="6">
        <f t="shared" si="141"/>
        <v>0</v>
      </c>
      <c r="CI120" s="6">
        <f t="shared" si="141"/>
        <v>0</v>
      </c>
      <c r="CJ120" s="6">
        <f t="shared" si="141"/>
        <v>0</v>
      </c>
      <c r="CK120" s="6">
        <f t="shared" si="141"/>
        <v>0</v>
      </c>
      <c r="CL120" s="6">
        <f t="shared" si="141"/>
        <v>0</v>
      </c>
      <c r="CM120" s="6">
        <f t="shared" si="141"/>
        <v>0</v>
      </c>
      <c r="CN120" s="6">
        <f t="shared" si="141"/>
        <v>0</v>
      </c>
      <c r="CO120" s="6">
        <f t="shared" si="141"/>
        <v>0</v>
      </c>
      <c r="CP120" s="6">
        <f t="shared" si="141"/>
        <v>0</v>
      </c>
      <c r="CQ120" s="6">
        <f t="shared" si="141"/>
        <v>0</v>
      </c>
      <c r="CR120" s="6">
        <f t="shared" si="141"/>
        <v>0</v>
      </c>
      <c r="CS120" s="6">
        <f t="shared" si="141"/>
        <v>0</v>
      </c>
      <c r="CT120" s="6">
        <f t="shared" si="141"/>
        <v>0</v>
      </c>
      <c r="CU120" s="6">
        <f t="shared" ref="CU120:CZ120" si="142">SUM(CU10,CU20,CU24,CU27,CU34,CU37,CU40,CU47,CU49,CU53,CU59,CU71,CU79,CU81,CU88,CU92,CU95,CU99,CU110,CU115,CU119)/100000</f>
        <v>0</v>
      </c>
      <c r="CV120" s="6">
        <f t="shared" si="142"/>
        <v>0</v>
      </c>
      <c r="CW120" s="6">
        <f t="shared" si="142"/>
        <v>0</v>
      </c>
      <c r="CX120" s="6">
        <f t="shared" si="142"/>
        <v>0</v>
      </c>
      <c r="CY120" s="6">
        <f t="shared" si="142"/>
        <v>78.719859849999992</v>
      </c>
      <c r="CZ120" s="6">
        <f t="shared" si="142"/>
        <v>86.873441</v>
      </c>
    </row>
  </sheetData>
  <sheetProtection formatCells="0" selectLockedCells="1" autoFilter="0"/>
  <autoFilter ref="A2:CZ120" xr:uid="{00000000-0009-0000-0000-000000000000}"/>
  <mergeCells count="52">
    <mergeCell ref="CY1:CZ1"/>
    <mergeCell ref="A1:A2"/>
    <mergeCell ref="CO1:CP1"/>
    <mergeCell ref="CQ1:CR1"/>
    <mergeCell ref="CS1:CT1"/>
    <mergeCell ref="CU1:CV1"/>
    <mergeCell ref="CW1:CX1"/>
    <mergeCell ref="CE1:CF1"/>
    <mergeCell ref="CG1:CH1"/>
    <mergeCell ref="CI1:CJ1"/>
    <mergeCell ref="CK1:CL1"/>
    <mergeCell ref="CM1:CN1"/>
    <mergeCell ref="BU1:BV1"/>
    <mergeCell ref="BW1:BX1"/>
    <mergeCell ref="BY1:BZ1"/>
    <mergeCell ref="CA1:CB1"/>
    <mergeCell ref="CC1:CD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Q1:AR1"/>
    <mergeCell ref="AS1:AT1"/>
    <mergeCell ref="AU1:AV1"/>
    <mergeCell ref="AW1:AX1"/>
    <mergeCell ref="AY1:AZ1"/>
    <mergeCell ref="AG1:AH1"/>
    <mergeCell ref="AI1:AJ1"/>
    <mergeCell ref="AK1:AL1"/>
    <mergeCell ref="AM1:AN1"/>
    <mergeCell ref="AO1:AP1"/>
    <mergeCell ref="W1:X1"/>
    <mergeCell ref="Y1:Z1"/>
    <mergeCell ref="AA1:AB1"/>
    <mergeCell ref="AC1:AD1"/>
    <mergeCell ref="AE1:AF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69930555555555596" right="0.69930555555555596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R120"/>
  <sheetViews>
    <sheetView tabSelected="1" workbookViewId="0">
      <pane xSplit="2" ySplit="2" topLeftCell="G96" activePane="bottomRight" state="frozen"/>
      <selection pane="topRight" activeCell="C1" sqref="C1"/>
      <selection pane="bottomLeft" activeCell="A3" sqref="A3"/>
      <selection pane="bottomRight" activeCell="G102" sqref="G102"/>
    </sheetView>
  </sheetViews>
  <sheetFormatPr defaultColWidth="9.1796875" defaultRowHeight="14.5"/>
  <cols>
    <col min="1" max="1" width="31.54296875" style="2" customWidth="1"/>
    <col min="2" max="2" width="8.81640625" style="3" customWidth="1"/>
    <col min="3" max="3" width="10" style="3" bestFit="1" customWidth="1"/>
    <col min="4" max="41" width="9.1796875" style="3"/>
    <col min="42" max="42" width="8.54296875" style="3" customWidth="1"/>
    <col min="43" max="43" width="7.54296875" style="3" customWidth="1"/>
    <col min="44" max="44" width="8.54296875" style="3" customWidth="1"/>
    <col min="45" max="45" width="7.54296875" style="3" customWidth="1"/>
    <col min="46" max="46" width="8.54296875" style="3" customWidth="1"/>
    <col min="47" max="47" width="7.54296875" style="3" customWidth="1"/>
    <col min="48" max="48" width="8.54296875" style="3" customWidth="1"/>
    <col min="49" max="49" width="7.54296875" style="3" customWidth="1"/>
    <col min="50" max="50" width="8.54296875" style="3" customWidth="1"/>
    <col min="51" max="51" width="7.54296875" style="3" customWidth="1"/>
    <col min="52" max="52" width="8.54296875" style="3" customWidth="1"/>
    <col min="53" max="53" width="7.54296875" style="3" customWidth="1"/>
    <col min="54" max="54" width="8.54296875" style="3" customWidth="1"/>
    <col min="55" max="55" width="7.54296875" style="3" customWidth="1"/>
    <col min="56" max="56" width="8.54296875" style="3" customWidth="1"/>
    <col min="57" max="57" width="7.54296875" style="3" customWidth="1"/>
    <col min="58" max="58" width="8.54296875" style="3" customWidth="1"/>
    <col min="59" max="59" width="7.54296875" style="3" customWidth="1"/>
    <col min="60" max="60" width="8.54296875" style="3" customWidth="1"/>
    <col min="61" max="61" width="7.54296875" style="3" customWidth="1"/>
    <col min="62" max="62" width="8.54296875" style="3" customWidth="1"/>
    <col min="63" max="63" width="7.54296875" style="3" customWidth="1"/>
    <col min="64" max="64" width="8.54296875" style="3" customWidth="1"/>
    <col min="65" max="65" width="7.54296875" style="3" customWidth="1"/>
    <col min="66" max="66" width="8.54296875" style="3" customWidth="1"/>
    <col min="67" max="67" width="7.54296875" style="3" customWidth="1"/>
    <col min="68" max="68" width="8.54296875" style="3" customWidth="1"/>
    <col min="69" max="69" width="7.54296875" style="3" customWidth="1"/>
    <col min="70" max="70" width="8.54296875" style="3" customWidth="1"/>
    <col min="71" max="71" width="7.54296875" style="3" customWidth="1"/>
    <col min="72" max="72" width="8.54296875" style="3" customWidth="1"/>
    <col min="73" max="73" width="7.54296875" style="3" customWidth="1"/>
    <col min="74" max="74" width="8.54296875" style="3" customWidth="1"/>
    <col min="75" max="75" width="7.54296875" style="3" customWidth="1"/>
    <col min="76" max="76" width="8.54296875" style="3" customWidth="1"/>
    <col min="77" max="77" width="7.54296875" style="3" customWidth="1"/>
    <col min="78" max="78" width="8.54296875" style="3" customWidth="1"/>
    <col min="79" max="79" width="7.54296875" style="3" customWidth="1"/>
    <col min="80" max="80" width="8.54296875" style="3" customWidth="1"/>
    <col min="81" max="81" width="7.54296875" style="3" customWidth="1"/>
    <col min="82" max="82" width="8.54296875" style="3" customWidth="1"/>
    <col min="83" max="83" width="7.54296875" style="3" customWidth="1"/>
    <col min="84" max="84" width="8.54296875" style="3" customWidth="1"/>
    <col min="85" max="85" width="7.54296875" style="3" customWidth="1"/>
    <col min="86" max="86" width="8.54296875" style="3" customWidth="1"/>
    <col min="87" max="87" width="7.54296875" style="3" customWidth="1"/>
    <col min="88" max="88" width="8.54296875" style="3" customWidth="1"/>
    <col min="89" max="89" width="7.54296875" style="3" customWidth="1"/>
    <col min="90" max="90" width="8.54296875" style="3" customWidth="1"/>
    <col min="91" max="91" width="7.54296875" style="3" customWidth="1"/>
    <col min="92" max="92" width="8.54296875" style="3" customWidth="1"/>
    <col min="93" max="93" width="7.54296875" style="3" customWidth="1"/>
    <col min="94" max="94" width="8.54296875" style="3" customWidth="1"/>
    <col min="95" max="95" width="7.54296875" style="3" customWidth="1"/>
    <col min="96" max="96" width="8.54296875" style="3" customWidth="1"/>
    <col min="97" max="97" width="7.54296875" style="3" customWidth="1"/>
    <col min="98" max="98" width="8.54296875" style="3" customWidth="1"/>
    <col min="99" max="99" width="7.54296875" style="3" customWidth="1"/>
    <col min="100" max="100" width="8.54296875" style="3" customWidth="1"/>
    <col min="101" max="101" width="7.54296875" style="3" customWidth="1"/>
    <col min="102" max="102" width="8.54296875" style="3" customWidth="1"/>
    <col min="103" max="103" width="11.81640625" style="3" customWidth="1"/>
    <col min="104" max="104" width="12.453125" style="3" customWidth="1"/>
    <col min="105" max="107" width="9.1796875" style="2"/>
    <col min="108" max="108" width="8" style="2" customWidth="1"/>
    <col min="109" max="16384" width="9.1796875" style="2"/>
  </cols>
  <sheetData>
    <row r="1" spans="1:122" s="37" customFormat="1" ht="35.4" customHeight="1">
      <c r="A1" s="44" t="s">
        <v>0</v>
      </c>
      <c r="B1" s="12"/>
      <c r="C1" s="46" t="str">
        <f>APRIL!C1</f>
        <v>VASU PHARMA DRUGS PVT LTD</v>
      </c>
      <c r="D1" s="46"/>
      <c r="E1" s="46" t="str">
        <f>APRIL!E1</f>
        <v>PRAKASH PHARMA DISTRIBUTORS</v>
      </c>
      <c r="F1" s="46"/>
      <c r="G1" s="46" t="str">
        <f>APRIL!G1</f>
        <v>Divya Pharma</v>
      </c>
      <c r="H1" s="46"/>
      <c r="I1" s="46" t="str">
        <f>APRIL!I1</f>
        <v>KEIMED PRIVATE LIMITED</v>
      </c>
      <c r="J1" s="46"/>
      <c r="K1" s="46" t="str">
        <f>APRIL!K1</f>
        <v>SAI SRIDHAR PHARMA PVT LTD</v>
      </c>
      <c r="L1" s="46"/>
      <c r="M1" s="46" t="str">
        <f>APRIL!M1</f>
        <v>SRI VENKATARAGHAVA AGENCIES</v>
      </c>
      <c r="N1" s="46"/>
      <c r="O1" s="46" t="str">
        <f>APRIL!O1</f>
        <v>SHREEJI DIST PVT LTD</v>
      </c>
      <c r="P1" s="46"/>
      <c r="Q1" s="46" t="str">
        <f>APRIL!Q1</f>
        <v>SVS PHARMA</v>
      </c>
      <c r="R1" s="46"/>
      <c r="S1" s="46" t="str">
        <f>APRIL!S1</f>
        <v>PHARMA DISTRIBUTORS</v>
      </c>
      <c r="T1" s="46"/>
      <c r="U1" s="46" t="str">
        <f>APRIL!U1</f>
        <v>SAI PHARMA DISTRIBUTERS PVT LTD</v>
      </c>
      <c r="V1" s="46"/>
      <c r="W1" s="46" t="str">
        <f>APRIL!W1</f>
        <v>ALANKRITA AGENCIES</v>
      </c>
      <c r="X1" s="46"/>
      <c r="Y1" s="46" t="str">
        <f>APRIL!Y1</f>
        <v>JAYA SURG &amp; PHARMA PVT LTD</v>
      </c>
      <c r="Z1" s="46"/>
      <c r="AA1" s="46" t="str">
        <f>APRIL!AA1</f>
        <v>MANASA MEDICAL AGENCIES</v>
      </c>
      <c r="AB1" s="46"/>
      <c r="AC1" s="46" t="str">
        <f>APRIL!AC1</f>
        <v>KARTHICK AGENCIES</v>
      </c>
      <c r="AD1" s="46"/>
      <c r="AE1" s="46" t="str">
        <f>APRIL!AE1</f>
        <v>NIRMALA AGENCIES</v>
      </c>
      <c r="AF1" s="46"/>
      <c r="AG1" s="46" t="str">
        <f>APRIL!AG1</f>
        <v>HIMALAYA MEDICAL AGENCIES</v>
      </c>
      <c r="AH1" s="46"/>
      <c r="AI1" s="46" t="str">
        <f>APRIL!AI1</f>
        <v xml:space="preserve">Maruthi </v>
      </c>
      <c r="AJ1" s="46"/>
      <c r="AK1" s="46" t="str">
        <f>APRIL!AK1</f>
        <v>LAXMI SAI MEDICAL AGENCIES</v>
      </c>
      <c r="AL1" s="46"/>
      <c r="AM1" s="46" t="str">
        <f>APRIL!AM1</f>
        <v>Patwari Pharma</v>
      </c>
      <c r="AN1" s="46"/>
      <c r="AO1" s="46" t="str">
        <f>APRIL!AO1</f>
        <v>Vishnu &amp; Co</v>
      </c>
      <c r="AP1" s="46"/>
      <c r="AQ1" s="46" t="str">
        <f>APRIL!AQ1</f>
        <v>SUMAN AGENCIES HYD PVT LTD</v>
      </c>
      <c r="AR1" s="46"/>
      <c r="AS1" s="46" t="str">
        <f>APRIL!AS1</f>
        <v>Sri Nirmala</v>
      </c>
      <c r="AT1" s="46"/>
      <c r="AU1" s="46" t="str">
        <f>APRIL!AU1</f>
        <v>SHREE SHARADA PHARMA</v>
      </c>
      <c r="AV1" s="46"/>
      <c r="AW1" s="46" t="str">
        <f>APRIL!AW1</f>
        <v>ALLIED PHARMA</v>
      </c>
      <c r="AX1" s="46"/>
      <c r="AY1" s="46" t="str">
        <f>APRIL!AY1</f>
        <v>GOEL DISTRIBUTER</v>
      </c>
      <c r="AZ1" s="46"/>
      <c r="BA1" s="46" t="str">
        <f>APRIL!BA1</f>
        <v>KAMALESH PHARMA</v>
      </c>
      <c r="BB1" s="46"/>
      <c r="BC1" s="46" t="str">
        <f>APRIL!BC1</f>
        <v>ARVIND PHARMA DISTRIBUTER</v>
      </c>
      <c r="BD1" s="46"/>
      <c r="BE1" s="46" t="str">
        <f>APRIL!BE1</f>
        <v>GOEL PHARMA</v>
      </c>
      <c r="BF1" s="46"/>
      <c r="BG1" s="46" t="str">
        <f>APRIL!BG1</f>
        <v>KRISHNA  PHARMACEUTICALS</v>
      </c>
      <c r="BH1" s="46"/>
      <c r="BI1" s="46" t="str">
        <f>APRIL!BI1</f>
        <v>AP DRUGS</v>
      </c>
      <c r="BJ1" s="46"/>
      <c r="BK1" s="46" t="str">
        <f>APRIL!BK1</f>
        <v>MAWA PHARMACEUTICALS</v>
      </c>
      <c r="BL1" s="46"/>
      <c r="BM1" s="46" t="str">
        <f>APRIL!BM1</f>
        <v>TIRUMALA AGENCIES</v>
      </c>
      <c r="BN1" s="46"/>
      <c r="BO1" s="46" t="str">
        <f>APRIL!BO1</f>
        <v>SREE HARI MEDICALS</v>
      </c>
      <c r="BP1" s="46"/>
      <c r="BQ1" s="46" t="str">
        <f>APRIL!BQ1</f>
        <v>SREE VENKATESHWARA MEDISOLUTIONS</v>
      </c>
      <c r="BR1" s="46"/>
      <c r="BS1" s="46" t="str">
        <f>APRIL!BS1</f>
        <v>SRI BALAJI DRUGS</v>
      </c>
      <c r="BT1" s="46"/>
      <c r="BU1" s="46" t="str">
        <f>APRIL!BU1</f>
        <v>VISHNU MEDICAL HALL</v>
      </c>
      <c r="BV1" s="46"/>
      <c r="BW1" s="46" t="str">
        <f>APRIL!BW1</f>
        <v>HYDERABAD SPECIALITY DRUGS</v>
      </c>
      <c r="BX1" s="46"/>
      <c r="BY1" s="46" t="str">
        <f>APRIL!BY1</f>
        <v>LORVEN PHARMA &amp; SURGICALS (CORP)</v>
      </c>
      <c r="BZ1" s="46"/>
      <c r="CA1" s="46" t="str">
        <f>APRIL!CA1</f>
        <v>AK PHARMA</v>
      </c>
      <c r="CB1" s="46"/>
      <c r="CC1" s="46" t="str">
        <f>APRIL!CC1</f>
        <v>OPTIVAL HEALTHSOLUTIONS</v>
      </c>
      <c r="CD1" s="46"/>
      <c r="CE1" s="46" t="str">
        <f>APRIL!CE1</f>
        <v>BALAJI MEDICAL AGENCIES</v>
      </c>
      <c r="CF1" s="46"/>
      <c r="CG1" s="46" t="str">
        <f>APRIL!CG1</f>
        <v>S42</v>
      </c>
      <c r="CH1" s="46"/>
      <c r="CI1" s="46" t="str">
        <f>APRIL!CI1</f>
        <v>S43</v>
      </c>
      <c r="CJ1" s="46"/>
      <c r="CK1" s="46" t="str">
        <f>APRIL!CK1</f>
        <v>S44</v>
      </c>
      <c r="CL1" s="46"/>
      <c r="CM1" s="46" t="str">
        <f>APRIL!CM1</f>
        <v>S45</v>
      </c>
      <c r="CN1" s="46"/>
      <c r="CO1" s="46" t="str">
        <f>APRIL!CO1</f>
        <v>S46</v>
      </c>
      <c r="CP1" s="46"/>
      <c r="CQ1" s="46" t="str">
        <f>APRIL!CQ1</f>
        <v>S47</v>
      </c>
      <c r="CR1" s="46"/>
      <c r="CS1" s="46" t="str">
        <f>APRIL!CS1</f>
        <v>S48</v>
      </c>
      <c r="CT1" s="46"/>
      <c r="CU1" s="46" t="str">
        <f>APRIL!CU1</f>
        <v>S49</v>
      </c>
      <c r="CV1" s="46"/>
      <c r="CW1" s="46" t="str">
        <f>APRIL!CW1</f>
        <v>S50</v>
      </c>
      <c r="CX1" s="46"/>
      <c r="CY1" s="43" t="s">
        <v>1</v>
      </c>
      <c r="CZ1" s="43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</row>
    <row r="2" spans="1:122" ht="43.5">
      <c r="A2" s="44"/>
      <c r="B2" s="12" t="s">
        <v>2</v>
      </c>
      <c r="C2" s="7" t="s">
        <v>90</v>
      </c>
      <c r="D2" s="7" t="s">
        <v>91</v>
      </c>
      <c r="E2" s="7" t="s">
        <v>90</v>
      </c>
      <c r="F2" s="7" t="s">
        <v>91</v>
      </c>
      <c r="G2" s="7" t="s">
        <v>90</v>
      </c>
      <c r="H2" s="7" t="s">
        <v>91</v>
      </c>
      <c r="I2" s="7" t="s">
        <v>90</v>
      </c>
      <c r="J2" s="7" t="s">
        <v>91</v>
      </c>
      <c r="K2" s="7" t="s">
        <v>90</v>
      </c>
      <c r="L2" s="7" t="s">
        <v>91</v>
      </c>
      <c r="M2" s="7" t="s">
        <v>90</v>
      </c>
      <c r="N2" s="7" t="s">
        <v>91</v>
      </c>
      <c r="O2" s="7" t="s">
        <v>90</v>
      </c>
      <c r="P2" s="7" t="s">
        <v>91</v>
      </c>
      <c r="Q2" s="7" t="s">
        <v>90</v>
      </c>
      <c r="R2" s="7" t="s">
        <v>91</v>
      </c>
      <c r="S2" s="7" t="s">
        <v>90</v>
      </c>
      <c r="T2" s="7" t="s">
        <v>91</v>
      </c>
      <c r="U2" s="7" t="s">
        <v>90</v>
      </c>
      <c r="V2" s="7" t="s">
        <v>91</v>
      </c>
      <c r="W2" s="7" t="s">
        <v>90</v>
      </c>
      <c r="X2" s="7" t="s">
        <v>91</v>
      </c>
      <c r="Y2" s="7" t="s">
        <v>90</v>
      </c>
      <c r="Z2" s="7" t="s">
        <v>91</v>
      </c>
      <c r="AA2" s="7" t="s">
        <v>90</v>
      </c>
      <c r="AB2" s="7" t="s">
        <v>91</v>
      </c>
      <c r="AC2" s="7" t="s">
        <v>90</v>
      </c>
      <c r="AD2" s="7" t="s">
        <v>91</v>
      </c>
      <c r="AE2" s="7" t="s">
        <v>90</v>
      </c>
      <c r="AF2" s="7" t="s">
        <v>91</v>
      </c>
      <c r="AG2" s="7" t="s">
        <v>90</v>
      </c>
      <c r="AH2" s="7" t="s">
        <v>91</v>
      </c>
      <c r="AI2" s="7" t="s">
        <v>90</v>
      </c>
      <c r="AJ2" s="7" t="s">
        <v>91</v>
      </c>
      <c r="AK2" s="7" t="s">
        <v>90</v>
      </c>
      <c r="AL2" s="7" t="s">
        <v>91</v>
      </c>
      <c r="AM2" s="7" t="s">
        <v>90</v>
      </c>
      <c r="AN2" s="7" t="s">
        <v>91</v>
      </c>
      <c r="AO2" s="7" t="s">
        <v>90</v>
      </c>
      <c r="AP2" s="7" t="s">
        <v>91</v>
      </c>
      <c r="AQ2" s="7" t="s">
        <v>90</v>
      </c>
      <c r="AR2" s="7" t="s">
        <v>91</v>
      </c>
      <c r="AS2" s="7" t="s">
        <v>90</v>
      </c>
      <c r="AT2" s="7" t="s">
        <v>91</v>
      </c>
      <c r="AU2" s="7" t="s">
        <v>90</v>
      </c>
      <c r="AV2" s="7" t="s">
        <v>91</v>
      </c>
      <c r="AW2" s="7" t="s">
        <v>90</v>
      </c>
      <c r="AX2" s="7" t="s">
        <v>91</v>
      </c>
      <c r="AY2" s="7" t="s">
        <v>90</v>
      </c>
      <c r="AZ2" s="7" t="s">
        <v>91</v>
      </c>
      <c r="BA2" s="7" t="s">
        <v>90</v>
      </c>
      <c r="BB2" s="7" t="s">
        <v>91</v>
      </c>
      <c r="BC2" s="7" t="s">
        <v>90</v>
      </c>
      <c r="BD2" s="7" t="s">
        <v>91</v>
      </c>
      <c r="BE2" s="7" t="s">
        <v>90</v>
      </c>
      <c r="BF2" s="7" t="s">
        <v>91</v>
      </c>
      <c r="BG2" s="7" t="s">
        <v>90</v>
      </c>
      <c r="BH2" s="7" t="s">
        <v>91</v>
      </c>
      <c r="BI2" s="7" t="s">
        <v>90</v>
      </c>
      <c r="BJ2" s="7" t="s">
        <v>91</v>
      </c>
      <c r="BK2" s="7" t="s">
        <v>90</v>
      </c>
      <c r="BL2" s="7" t="s">
        <v>91</v>
      </c>
      <c r="BM2" s="7" t="s">
        <v>90</v>
      </c>
      <c r="BN2" s="7" t="s">
        <v>91</v>
      </c>
      <c r="BO2" s="7" t="s">
        <v>90</v>
      </c>
      <c r="BP2" s="7" t="s">
        <v>91</v>
      </c>
      <c r="BQ2" s="7" t="s">
        <v>90</v>
      </c>
      <c r="BR2" s="7" t="s">
        <v>91</v>
      </c>
      <c r="BS2" s="7" t="s">
        <v>90</v>
      </c>
      <c r="BT2" s="7" t="s">
        <v>91</v>
      </c>
      <c r="BU2" s="7" t="s">
        <v>90</v>
      </c>
      <c r="BV2" s="7" t="s">
        <v>91</v>
      </c>
      <c r="BW2" s="7" t="s">
        <v>90</v>
      </c>
      <c r="BX2" s="7" t="s">
        <v>91</v>
      </c>
      <c r="BY2" s="7" t="s">
        <v>90</v>
      </c>
      <c r="BZ2" s="7" t="s">
        <v>91</v>
      </c>
      <c r="CA2" s="7" t="s">
        <v>90</v>
      </c>
      <c r="CB2" s="7" t="s">
        <v>91</v>
      </c>
      <c r="CC2" s="7" t="s">
        <v>90</v>
      </c>
      <c r="CD2" s="7" t="s">
        <v>91</v>
      </c>
      <c r="CE2" s="7" t="s">
        <v>90</v>
      </c>
      <c r="CF2" s="7" t="s">
        <v>91</v>
      </c>
      <c r="CG2" s="7" t="s">
        <v>90</v>
      </c>
      <c r="CH2" s="7" t="s">
        <v>91</v>
      </c>
      <c r="CI2" s="7" t="s">
        <v>90</v>
      </c>
      <c r="CJ2" s="7" t="s">
        <v>91</v>
      </c>
      <c r="CK2" s="7" t="s">
        <v>90</v>
      </c>
      <c r="CL2" s="7" t="s">
        <v>91</v>
      </c>
      <c r="CM2" s="7" t="s">
        <v>90</v>
      </c>
      <c r="CN2" s="7" t="s">
        <v>91</v>
      </c>
      <c r="CO2" s="7" t="s">
        <v>90</v>
      </c>
      <c r="CP2" s="7" t="s">
        <v>91</v>
      </c>
      <c r="CQ2" s="7" t="s">
        <v>90</v>
      </c>
      <c r="CR2" s="7" t="s">
        <v>91</v>
      </c>
      <c r="CS2" s="7" t="s">
        <v>90</v>
      </c>
      <c r="CT2" s="7" t="s">
        <v>91</v>
      </c>
      <c r="CU2" s="7" t="s">
        <v>90</v>
      </c>
      <c r="CV2" s="7" t="s">
        <v>91</v>
      </c>
      <c r="CW2" s="7" t="s">
        <v>90</v>
      </c>
      <c r="CX2" s="7" t="s">
        <v>91</v>
      </c>
      <c r="CY2" s="7" t="s">
        <v>90</v>
      </c>
      <c r="CZ2" s="7" t="s">
        <v>91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</row>
    <row r="3" spans="1:122" ht="18" customHeight="1">
      <c r="A3" s="13" t="s">
        <v>3</v>
      </c>
      <c r="B3" s="14">
        <f>IFERROR(VLOOKUP(A3,PRICELIST!$A$3:$D$138,4,0),"-")</f>
        <v>167.79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9">
        <f>C3+E3+G3+I3+K3+M3+O3+Q3+S3+U3+W3+Y3+AA3+AC3+AE3+AG3+AI3+AK3+AM3+AO3+AQ3+AS3+AU3+AW3+AY3+BA3+BC3+BE3+BG3+BI3+BK3+BM3+BO3+BQ3+BS3+BU3+BW3+BY3+CA3+CC3+CE3+CG3+CI3+CK3+CM3+CO3+CQ3+CS3+CU3+CW3</f>
        <v>0</v>
      </c>
      <c r="CZ3" s="19">
        <f>D3+F3+H3+J3+L3+N3+P3+R3+T3+V3+X3+Z3+AB3+AD3+AF3+AH3+AJ3+AL3+AN3+AP3+AR3+AT3+AV3+AX3+AZ3+BB3+BD3+BF3+BH3+BJ3+BL3+BN3+BP3+BR3+BT3+BV3+BX3+BZ3+CB3+CD3+CF3+CH3+CJ3+CL3+CN3+CP3+CR3+CT3+CV3+CX3</f>
        <v>0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</row>
    <row r="4" spans="1:122" ht="18" customHeight="1">
      <c r="A4" s="13" t="s">
        <v>4</v>
      </c>
      <c r="B4" s="14">
        <f>IFERROR(VLOOKUP(A4,PRICELIST!$A$3:$D$138,4,0),"-")</f>
        <v>112.5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9">
        <f t="shared" ref="CY4:CZ9" si="0">C4+E4+G4+I4+K4+M4+O4+Q4+S4+U4+W4+Y4+AA4+AC4+AE4+AG4+AI4+AK4+AM4+AO4+AQ4+AS4+AU4+AW4+AY4+BA4+BC4+BE4+BG4+BI4+BK4+BM4+BO4+BQ4+BS4+BU4+BW4+BY4+CA4+CC4+CE4+CG4+CI4+CK4+CM4+CO4+CQ4+CS4+CU4+CW4</f>
        <v>0</v>
      </c>
      <c r="CZ4" s="19">
        <f t="shared" si="0"/>
        <v>0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</row>
    <row r="5" spans="1:122" ht="18" customHeight="1">
      <c r="A5" s="13" t="s">
        <v>5</v>
      </c>
      <c r="B5" s="14">
        <f>IFERROR(VLOOKUP(A5,PRICELIST!$A$3:$D$138,4,0),"-")</f>
        <v>127.87</v>
      </c>
      <c r="C5" s="18"/>
      <c r="D5" s="18"/>
      <c r="E5" s="18"/>
      <c r="F5" s="18"/>
      <c r="G5" s="18">
        <v>3</v>
      </c>
      <c r="H5" s="18">
        <v>17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9">
        <f t="shared" si="0"/>
        <v>3</v>
      </c>
      <c r="CZ5" s="19">
        <f t="shared" si="0"/>
        <v>17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</row>
    <row r="6" spans="1:122" ht="18" customHeight="1">
      <c r="A6" s="13" t="s">
        <v>6</v>
      </c>
      <c r="B6" s="14">
        <f>IFERROR(VLOOKUP(A6,PRICELIST!$A$3:$D$138,4,0),"-")</f>
        <v>88.7</v>
      </c>
      <c r="C6" s="18"/>
      <c r="D6" s="18"/>
      <c r="E6" s="18"/>
      <c r="F6" s="18"/>
      <c r="G6" s="18">
        <v>6</v>
      </c>
      <c r="H6" s="18">
        <v>19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9">
        <f t="shared" si="0"/>
        <v>6</v>
      </c>
      <c r="CZ6" s="19">
        <f t="shared" si="0"/>
        <v>19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</row>
    <row r="7" spans="1:122" ht="18" customHeight="1">
      <c r="A7" s="13" t="s">
        <v>78</v>
      </c>
      <c r="B7" s="14">
        <f>IFERROR(VLOOKUP(A7,PRICELIST!$A$3:$D$138,4,0),"-")</f>
        <v>171.64</v>
      </c>
      <c r="C7" s="18"/>
      <c r="D7" s="18"/>
      <c r="E7" s="18"/>
      <c r="F7" s="18"/>
      <c r="G7" s="18">
        <v>3</v>
      </c>
      <c r="H7" s="18">
        <v>11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9">
        <f t="shared" si="0"/>
        <v>3</v>
      </c>
      <c r="CZ7" s="19">
        <f t="shared" si="0"/>
        <v>11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</row>
    <row r="8" spans="1:122" ht="18" customHeight="1">
      <c r="A8" s="13" t="s">
        <v>7</v>
      </c>
      <c r="B8" s="14">
        <f>IFERROR(VLOOKUP(A8,PRICELIST!$A$3:$D$138,4,0),"-")</f>
        <v>216</v>
      </c>
      <c r="C8" s="18"/>
      <c r="D8" s="18"/>
      <c r="E8" s="18"/>
      <c r="F8" s="18"/>
      <c r="G8" s="18">
        <v>46</v>
      </c>
      <c r="H8" s="18">
        <v>24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9">
        <f t="shared" si="0"/>
        <v>46</v>
      </c>
      <c r="CZ8" s="19">
        <f t="shared" si="0"/>
        <v>24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</row>
    <row r="9" spans="1:122" ht="18" customHeight="1">
      <c r="A9" s="13" t="s">
        <v>8</v>
      </c>
      <c r="B9" s="14">
        <f>IFERROR(VLOOKUP(A9,PRICELIST!$A$3:$D$138,4,0),"-")</f>
        <v>163.93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9">
        <f t="shared" si="0"/>
        <v>0</v>
      </c>
      <c r="CZ9" s="19">
        <f t="shared" si="0"/>
        <v>0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</row>
    <row r="10" spans="1:122" ht="18" customHeight="1">
      <c r="A10" s="9" t="s">
        <v>9</v>
      </c>
      <c r="B10" s="10"/>
      <c r="C10" s="11">
        <f>SUMPRODUCT($B3:$B9,C3:C9)</f>
        <v>0</v>
      </c>
      <c r="D10" s="11">
        <f t="shared" ref="D10:BO10" si="1">SUMPRODUCT($B3:$B9,D3:D9)</f>
        <v>0</v>
      </c>
      <c r="E10" s="11">
        <f t="shared" si="1"/>
        <v>0</v>
      </c>
      <c r="F10" s="11">
        <f t="shared" si="1"/>
        <v>0</v>
      </c>
      <c r="G10" s="11">
        <f t="shared" si="1"/>
        <v>11366.73</v>
      </c>
      <c r="H10" s="11">
        <f t="shared" si="1"/>
        <v>10931.130000000001</v>
      </c>
      <c r="I10" s="11">
        <f t="shared" si="1"/>
        <v>0</v>
      </c>
      <c r="J10" s="11">
        <f t="shared" si="1"/>
        <v>0</v>
      </c>
      <c r="K10" s="11">
        <f t="shared" si="1"/>
        <v>0</v>
      </c>
      <c r="L10" s="11">
        <f t="shared" si="1"/>
        <v>0</v>
      </c>
      <c r="M10" s="11">
        <f t="shared" si="1"/>
        <v>0</v>
      </c>
      <c r="N10" s="11">
        <f t="shared" si="1"/>
        <v>0</v>
      </c>
      <c r="O10" s="11">
        <f t="shared" si="1"/>
        <v>0</v>
      </c>
      <c r="P10" s="11">
        <f t="shared" si="1"/>
        <v>0</v>
      </c>
      <c r="Q10" s="11">
        <f t="shared" si="1"/>
        <v>0</v>
      </c>
      <c r="R10" s="11">
        <f t="shared" si="1"/>
        <v>0</v>
      </c>
      <c r="S10" s="11">
        <f t="shared" si="1"/>
        <v>0</v>
      </c>
      <c r="T10" s="11">
        <f t="shared" si="1"/>
        <v>0</v>
      </c>
      <c r="U10" s="11">
        <f t="shared" si="1"/>
        <v>0</v>
      </c>
      <c r="V10" s="11">
        <f t="shared" si="1"/>
        <v>0</v>
      </c>
      <c r="W10" s="11">
        <f t="shared" si="1"/>
        <v>0</v>
      </c>
      <c r="X10" s="11">
        <f t="shared" si="1"/>
        <v>0</v>
      </c>
      <c r="Y10" s="11">
        <f t="shared" si="1"/>
        <v>0</v>
      </c>
      <c r="Z10" s="11">
        <f t="shared" si="1"/>
        <v>0</v>
      </c>
      <c r="AA10" s="11">
        <f t="shared" si="1"/>
        <v>0</v>
      </c>
      <c r="AB10" s="11">
        <f t="shared" si="1"/>
        <v>0</v>
      </c>
      <c r="AC10" s="11">
        <f t="shared" si="1"/>
        <v>0</v>
      </c>
      <c r="AD10" s="11">
        <f t="shared" si="1"/>
        <v>0</v>
      </c>
      <c r="AE10" s="11">
        <f t="shared" si="1"/>
        <v>0</v>
      </c>
      <c r="AF10" s="11">
        <f t="shared" si="1"/>
        <v>0</v>
      </c>
      <c r="AG10" s="11">
        <f t="shared" si="1"/>
        <v>0</v>
      </c>
      <c r="AH10" s="11">
        <f t="shared" si="1"/>
        <v>0</v>
      </c>
      <c r="AI10" s="11">
        <f t="shared" si="1"/>
        <v>0</v>
      </c>
      <c r="AJ10" s="11">
        <f t="shared" si="1"/>
        <v>0</v>
      </c>
      <c r="AK10" s="11">
        <f t="shared" si="1"/>
        <v>0</v>
      </c>
      <c r="AL10" s="11">
        <f t="shared" si="1"/>
        <v>0</v>
      </c>
      <c r="AM10" s="11">
        <f t="shared" si="1"/>
        <v>0</v>
      </c>
      <c r="AN10" s="11">
        <f t="shared" si="1"/>
        <v>0</v>
      </c>
      <c r="AO10" s="11">
        <f t="shared" si="1"/>
        <v>0</v>
      </c>
      <c r="AP10" s="11">
        <f t="shared" si="1"/>
        <v>0</v>
      </c>
      <c r="AQ10" s="11">
        <f t="shared" si="1"/>
        <v>0</v>
      </c>
      <c r="AR10" s="11">
        <f t="shared" si="1"/>
        <v>0</v>
      </c>
      <c r="AS10" s="11">
        <f t="shared" si="1"/>
        <v>0</v>
      </c>
      <c r="AT10" s="11">
        <f t="shared" si="1"/>
        <v>0</v>
      </c>
      <c r="AU10" s="11">
        <f t="shared" si="1"/>
        <v>0</v>
      </c>
      <c r="AV10" s="11">
        <f t="shared" si="1"/>
        <v>0</v>
      </c>
      <c r="AW10" s="11">
        <f t="shared" si="1"/>
        <v>0</v>
      </c>
      <c r="AX10" s="11">
        <f t="shared" si="1"/>
        <v>0</v>
      </c>
      <c r="AY10" s="11">
        <f t="shared" si="1"/>
        <v>0</v>
      </c>
      <c r="AZ10" s="11">
        <f t="shared" si="1"/>
        <v>0</v>
      </c>
      <c r="BA10" s="11">
        <f t="shared" si="1"/>
        <v>0</v>
      </c>
      <c r="BB10" s="11">
        <f t="shared" si="1"/>
        <v>0</v>
      </c>
      <c r="BC10" s="11">
        <f t="shared" si="1"/>
        <v>0</v>
      </c>
      <c r="BD10" s="11">
        <f t="shared" si="1"/>
        <v>0</v>
      </c>
      <c r="BE10" s="11">
        <f t="shared" si="1"/>
        <v>0</v>
      </c>
      <c r="BF10" s="11">
        <f t="shared" si="1"/>
        <v>0</v>
      </c>
      <c r="BG10" s="11">
        <f t="shared" si="1"/>
        <v>0</v>
      </c>
      <c r="BH10" s="11">
        <f t="shared" si="1"/>
        <v>0</v>
      </c>
      <c r="BI10" s="11">
        <f t="shared" si="1"/>
        <v>0</v>
      </c>
      <c r="BJ10" s="11">
        <f t="shared" si="1"/>
        <v>0</v>
      </c>
      <c r="BK10" s="11">
        <f t="shared" si="1"/>
        <v>0</v>
      </c>
      <c r="BL10" s="11">
        <f t="shared" si="1"/>
        <v>0</v>
      </c>
      <c r="BM10" s="11">
        <f t="shared" si="1"/>
        <v>0</v>
      </c>
      <c r="BN10" s="11">
        <f t="shared" si="1"/>
        <v>0</v>
      </c>
      <c r="BO10" s="11">
        <f t="shared" si="1"/>
        <v>0</v>
      </c>
      <c r="BP10" s="11">
        <f t="shared" ref="BP10:CZ10" si="2">SUMPRODUCT($B3:$B9,BP3:BP9)</f>
        <v>0</v>
      </c>
      <c r="BQ10" s="11">
        <f t="shared" si="2"/>
        <v>0</v>
      </c>
      <c r="BR10" s="11">
        <f t="shared" si="2"/>
        <v>0</v>
      </c>
      <c r="BS10" s="11">
        <f t="shared" si="2"/>
        <v>0</v>
      </c>
      <c r="BT10" s="11">
        <f t="shared" si="2"/>
        <v>0</v>
      </c>
      <c r="BU10" s="11">
        <f t="shared" si="2"/>
        <v>0</v>
      </c>
      <c r="BV10" s="11">
        <f t="shared" si="2"/>
        <v>0</v>
      </c>
      <c r="BW10" s="11">
        <f t="shared" si="2"/>
        <v>0</v>
      </c>
      <c r="BX10" s="11">
        <f t="shared" si="2"/>
        <v>0</v>
      </c>
      <c r="BY10" s="11">
        <f t="shared" si="2"/>
        <v>0</v>
      </c>
      <c r="BZ10" s="11">
        <f t="shared" si="2"/>
        <v>0</v>
      </c>
      <c r="CA10" s="11">
        <f t="shared" si="2"/>
        <v>0</v>
      </c>
      <c r="CB10" s="11">
        <f t="shared" si="2"/>
        <v>0</v>
      </c>
      <c r="CC10" s="11">
        <f t="shared" si="2"/>
        <v>0</v>
      </c>
      <c r="CD10" s="11">
        <f t="shared" si="2"/>
        <v>0</v>
      </c>
      <c r="CE10" s="11">
        <f t="shared" si="2"/>
        <v>0</v>
      </c>
      <c r="CF10" s="11">
        <f t="shared" si="2"/>
        <v>0</v>
      </c>
      <c r="CG10" s="11">
        <f t="shared" si="2"/>
        <v>0</v>
      </c>
      <c r="CH10" s="11">
        <f t="shared" si="2"/>
        <v>0</v>
      </c>
      <c r="CI10" s="11">
        <f t="shared" si="2"/>
        <v>0</v>
      </c>
      <c r="CJ10" s="11">
        <f t="shared" si="2"/>
        <v>0</v>
      </c>
      <c r="CK10" s="11">
        <f t="shared" si="2"/>
        <v>0</v>
      </c>
      <c r="CL10" s="11">
        <f t="shared" si="2"/>
        <v>0</v>
      </c>
      <c r="CM10" s="11">
        <f t="shared" si="2"/>
        <v>0</v>
      </c>
      <c r="CN10" s="11">
        <f t="shared" si="2"/>
        <v>0</v>
      </c>
      <c r="CO10" s="11">
        <f t="shared" si="2"/>
        <v>0</v>
      </c>
      <c r="CP10" s="11">
        <f t="shared" si="2"/>
        <v>0</v>
      </c>
      <c r="CQ10" s="11">
        <f t="shared" si="2"/>
        <v>0</v>
      </c>
      <c r="CR10" s="11">
        <f t="shared" si="2"/>
        <v>0</v>
      </c>
      <c r="CS10" s="11">
        <f t="shared" si="2"/>
        <v>0</v>
      </c>
      <c r="CT10" s="11">
        <f t="shared" si="2"/>
        <v>0</v>
      </c>
      <c r="CU10" s="11">
        <f t="shared" si="2"/>
        <v>0</v>
      </c>
      <c r="CV10" s="11">
        <f t="shared" si="2"/>
        <v>0</v>
      </c>
      <c r="CW10" s="11">
        <f t="shared" si="2"/>
        <v>0</v>
      </c>
      <c r="CX10" s="11">
        <f t="shared" si="2"/>
        <v>0</v>
      </c>
      <c r="CY10" s="11">
        <f t="shared" si="2"/>
        <v>11366.73</v>
      </c>
      <c r="CZ10" s="11">
        <f t="shared" si="2"/>
        <v>10931.130000000001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</row>
    <row r="11" spans="1:122" ht="18" customHeight="1">
      <c r="A11" s="4" t="s">
        <v>127</v>
      </c>
      <c r="B11" s="14">
        <f>IFERROR(VLOOKUP(A11,PRICELIST!$A$3:$D$138,4,0),"-")</f>
        <v>432.21</v>
      </c>
      <c r="C11" s="18"/>
      <c r="D11" s="18"/>
      <c r="E11" s="18"/>
      <c r="F11" s="18"/>
      <c r="G11" s="18">
        <v>24</v>
      </c>
      <c r="H11" s="18">
        <v>0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9">
        <f t="shared" ref="CY11:CZ19" si="3">C11+E11+G11+I11+K11+M11+O11+Q11+S11+U11+W11+Y11+AA11+AC11+AE11+AG11+AI11+AK11+AM11+AO11+AQ11+AS11+AU11+AW11+AY11+BA11+BC11+BE11+BG11+BI11+BK11+BM11+BO11+BQ11+BS11+BU11+BW11+BY11+CA11+CC11+CE11+CG11+CI11+CK11+CM11+CO11+CQ11+CS11+CU11+CW11</f>
        <v>24</v>
      </c>
      <c r="CZ11" s="19">
        <f t="shared" si="3"/>
        <v>0</v>
      </c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</row>
    <row r="12" spans="1:122" ht="18" customHeight="1">
      <c r="A12" s="4" t="s">
        <v>128</v>
      </c>
      <c r="B12" s="14">
        <f>IFERROR(VLOOKUP(A12,PRICELIST!$A$3:$D$138,4,0),"-")</f>
        <v>107.11</v>
      </c>
      <c r="C12" s="18"/>
      <c r="D12" s="18"/>
      <c r="E12" s="18"/>
      <c r="F12" s="18"/>
      <c r="G12" s="18">
        <v>10</v>
      </c>
      <c r="H12" s="18">
        <v>20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9">
        <f t="shared" si="3"/>
        <v>10</v>
      </c>
      <c r="CZ12" s="19">
        <f t="shared" si="3"/>
        <v>20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</row>
    <row r="13" spans="1:122" ht="18" customHeight="1">
      <c r="A13" s="4" t="s">
        <v>129</v>
      </c>
      <c r="B13" s="14">
        <f>IFERROR(VLOOKUP(A13,PRICELIST!$A$3:$D$138,4,0),"-")</f>
        <v>205.07</v>
      </c>
      <c r="C13" s="18"/>
      <c r="D13" s="18"/>
      <c r="E13" s="18"/>
      <c r="F13" s="18"/>
      <c r="G13" s="18">
        <v>80</v>
      </c>
      <c r="H13" s="18">
        <v>35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9">
        <f t="shared" si="3"/>
        <v>80</v>
      </c>
      <c r="CZ13" s="19">
        <f t="shared" si="3"/>
        <v>35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</row>
    <row r="14" spans="1:122" ht="18" customHeight="1">
      <c r="A14" s="4" t="s">
        <v>130</v>
      </c>
      <c r="B14" s="14">
        <f>IFERROR(VLOOKUP(A14,PRICELIST!$A$3:$D$138,4,0),"-")</f>
        <v>322.70999999999998</v>
      </c>
      <c r="C14" s="18"/>
      <c r="D14" s="18"/>
      <c r="E14" s="18"/>
      <c r="F14" s="18"/>
      <c r="G14" s="18">
        <v>16</v>
      </c>
      <c r="H14" s="18">
        <v>4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9">
        <f t="shared" si="3"/>
        <v>16</v>
      </c>
      <c r="CZ14" s="19">
        <f t="shared" si="3"/>
        <v>4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</row>
    <row r="15" spans="1:122" ht="18" customHeight="1">
      <c r="A15" s="4" t="s">
        <v>118</v>
      </c>
      <c r="B15" s="14">
        <f>IFERROR(VLOOKUP(A15,PRICELIST!$A$3:$D$138,4,0),"-")</f>
        <v>272.23</v>
      </c>
      <c r="C15" s="18"/>
      <c r="D15" s="18"/>
      <c r="E15" s="18"/>
      <c r="F15" s="18"/>
      <c r="G15" s="18">
        <v>20</v>
      </c>
      <c r="H15" s="18">
        <v>16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9">
        <f t="shared" si="3"/>
        <v>20</v>
      </c>
      <c r="CZ15" s="19">
        <f t="shared" si="3"/>
        <v>16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</row>
    <row r="16" spans="1:122" ht="18" customHeight="1">
      <c r="A16" s="4" t="s">
        <v>119</v>
      </c>
      <c r="B16" s="14">
        <f>IFERROR(VLOOKUP(A16,PRICELIST!$A$3:$D$138,4,0),"-")</f>
        <v>352.76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9">
        <f t="shared" si="3"/>
        <v>0</v>
      </c>
      <c r="CZ16" s="19">
        <f t="shared" si="3"/>
        <v>0</v>
      </c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</row>
    <row r="17" spans="1:122" ht="18" customHeight="1">
      <c r="A17" s="4" t="s">
        <v>120</v>
      </c>
      <c r="B17" s="14">
        <f>IFERROR(VLOOKUP(A17,PRICELIST!$A$3:$D$138,4,0),"-")</f>
        <v>137.57</v>
      </c>
      <c r="C17" s="18"/>
      <c r="D17" s="18"/>
      <c r="E17" s="18"/>
      <c r="F17" s="18"/>
      <c r="G17" s="18">
        <v>27</v>
      </c>
      <c r="H17" s="18">
        <v>30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9">
        <f t="shared" si="3"/>
        <v>27</v>
      </c>
      <c r="CZ17" s="19">
        <f t="shared" si="3"/>
        <v>30</v>
      </c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</row>
    <row r="18" spans="1:122" ht="18" customHeight="1">
      <c r="A18" s="32" t="s">
        <v>124</v>
      </c>
      <c r="B18" s="14">
        <f>IFERROR(VLOOKUP(A18,PRICELIST!$A$3:$D$138,4,0),"-")</f>
        <v>647.36</v>
      </c>
      <c r="C18" s="18"/>
      <c r="D18" s="18"/>
      <c r="E18" s="18"/>
      <c r="F18" s="18"/>
      <c r="G18" s="18">
        <v>1</v>
      </c>
      <c r="H18" s="18">
        <v>1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9">
        <f t="shared" si="3"/>
        <v>1</v>
      </c>
      <c r="CZ18" s="19">
        <f t="shared" si="3"/>
        <v>1</v>
      </c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</row>
    <row r="19" spans="1:122" ht="18" customHeight="1">
      <c r="A19" s="4" t="s">
        <v>79</v>
      </c>
      <c r="B19" s="14">
        <f>IFERROR(VLOOKUP(A19,PRICELIST!$A$3:$D$138,4,0),"-")</f>
        <v>110.25</v>
      </c>
      <c r="C19" s="18"/>
      <c r="D19" s="18"/>
      <c r="E19" s="18"/>
      <c r="F19" s="18"/>
      <c r="G19" s="18"/>
      <c r="H19" s="18">
        <v>11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9">
        <f t="shared" si="3"/>
        <v>0</v>
      </c>
      <c r="CZ19" s="19">
        <f t="shared" si="3"/>
        <v>11</v>
      </c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</row>
    <row r="20" spans="1:122" ht="18" customHeight="1">
      <c r="A20" s="33" t="s">
        <v>125</v>
      </c>
      <c r="B20" s="15"/>
      <c r="C20" s="11">
        <f t="shared" ref="C20:BN20" si="4">SUMPRODUCT($B11:$B19,C11:C19)</f>
        <v>0</v>
      </c>
      <c r="D20" s="11">
        <f t="shared" si="4"/>
        <v>0</v>
      </c>
      <c r="E20" s="11">
        <f t="shared" si="4"/>
        <v>0</v>
      </c>
      <c r="F20" s="11">
        <f t="shared" si="4"/>
        <v>0</v>
      </c>
      <c r="G20" s="11">
        <f t="shared" si="4"/>
        <v>42819.45</v>
      </c>
      <c r="H20" s="11">
        <f t="shared" si="4"/>
        <v>20953.38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0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0</v>
      </c>
      <c r="X20" s="11">
        <f t="shared" si="4"/>
        <v>0</v>
      </c>
      <c r="Y20" s="11">
        <f t="shared" si="4"/>
        <v>0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  <c r="AI20" s="11">
        <f t="shared" si="4"/>
        <v>0</v>
      </c>
      <c r="AJ20" s="11">
        <f t="shared" si="4"/>
        <v>0</v>
      </c>
      <c r="AK20" s="11">
        <f t="shared" si="4"/>
        <v>0</v>
      </c>
      <c r="AL20" s="11">
        <f t="shared" si="4"/>
        <v>0</v>
      </c>
      <c r="AM20" s="11">
        <f t="shared" si="4"/>
        <v>0</v>
      </c>
      <c r="AN20" s="11">
        <f t="shared" si="4"/>
        <v>0</v>
      </c>
      <c r="AO20" s="11">
        <f t="shared" si="4"/>
        <v>0</v>
      </c>
      <c r="AP20" s="11">
        <f t="shared" si="4"/>
        <v>0</v>
      </c>
      <c r="AQ20" s="11">
        <f t="shared" si="4"/>
        <v>0</v>
      </c>
      <c r="AR20" s="11">
        <f t="shared" si="4"/>
        <v>0</v>
      </c>
      <c r="AS20" s="11">
        <f t="shared" si="4"/>
        <v>0</v>
      </c>
      <c r="AT20" s="11">
        <f t="shared" si="4"/>
        <v>0</v>
      </c>
      <c r="AU20" s="11">
        <f t="shared" si="4"/>
        <v>0</v>
      </c>
      <c r="AV20" s="11">
        <f t="shared" si="4"/>
        <v>0</v>
      </c>
      <c r="AW20" s="11">
        <f t="shared" si="4"/>
        <v>0</v>
      </c>
      <c r="AX20" s="11">
        <f t="shared" si="4"/>
        <v>0</v>
      </c>
      <c r="AY20" s="11">
        <f t="shared" si="4"/>
        <v>0</v>
      </c>
      <c r="AZ20" s="11">
        <f t="shared" si="4"/>
        <v>0</v>
      </c>
      <c r="BA20" s="11">
        <f t="shared" si="4"/>
        <v>0</v>
      </c>
      <c r="BB20" s="11">
        <f t="shared" si="4"/>
        <v>0</v>
      </c>
      <c r="BC20" s="11">
        <f t="shared" si="4"/>
        <v>0</v>
      </c>
      <c r="BD20" s="11">
        <f t="shared" si="4"/>
        <v>0</v>
      </c>
      <c r="BE20" s="11">
        <f t="shared" si="4"/>
        <v>0</v>
      </c>
      <c r="BF20" s="11">
        <f t="shared" si="4"/>
        <v>0</v>
      </c>
      <c r="BG20" s="11">
        <f t="shared" si="4"/>
        <v>0</v>
      </c>
      <c r="BH20" s="11">
        <f t="shared" si="4"/>
        <v>0</v>
      </c>
      <c r="BI20" s="11">
        <f t="shared" si="4"/>
        <v>0</v>
      </c>
      <c r="BJ20" s="11">
        <f t="shared" si="4"/>
        <v>0</v>
      </c>
      <c r="BK20" s="11">
        <f t="shared" si="4"/>
        <v>0</v>
      </c>
      <c r="BL20" s="11">
        <f t="shared" si="4"/>
        <v>0</v>
      </c>
      <c r="BM20" s="11">
        <f t="shared" si="4"/>
        <v>0</v>
      </c>
      <c r="BN20" s="11">
        <f t="shared" si="4"/>
        <v>0</v>
      </c>
      <c r="BO20" s="11">
        <f t="shared" ref="BO20:CZ20" si="5">SUMPRODUCT($B11:$B19,BO11:BO19)</f>
        <v>0</v>
      </c>
      <c r="BP20" s="11">
        <f t="shared" si="5"/>
        <v>0</v>
      </c>
      <c r="BQ20" s="11">
        <f t="shared" si="5"/>
        <v>0</v>
      </c>
      <c r="BR20" s="11">
        <f t="shared" si="5"/>
        <v>0</v>
      </c>
      <c r="BS20" s="11">
        <f t="shared" si="5"/>
        <v>0</v>
      </c>
      <c r="BT20" s="11">
        <f t="shared" si="5"/>
        <v>0</v>
      </c>
      <c r="BU20" s="11">
        <f t="shared" si="5"/>
        <v>0</v>
      </c>
      <c r="BV20" s="11">
        <f t="shared" si="5"/>
        <v>0</v>
      </c>
      <c r="BW20" s="11">
        <f t="shared" si="5"/>
        <v>0</v>
      </c>
      <c r="BX20" s="11">
        <f t="shared" si="5"/>
        <v>0</v>
      </c>
      <c r="BY20" s="11">
        <f t="shared" si="5"/>
        <v>0</v>
      </c>
      <c r="BZ20" s="11">
        <f t="shared" si="5"/>
        <v>0</v>
      </c>
      <c r="CA20" s="11">
        <f t="shared" si="5"/>
        <v>0</v>
      </c>
      <c r="CB20" s="11">
        <f t="shared" si="5"/>
        <v>0</v>
      </c>
      <c r="CC20" s="11">
        <f t="shared" si="5"/>
        <v>0</v>
      </c>
      <c r="CD20" s="11">
        <f t="shared" si="5"/>
        <v>0</v>
      </c>
      <c r="CE20" s="11">
        <f t="shared" si="5"/>
        <v>0</v>
      </c>
      <c r="CF20" s="11">
        <f t="shared" si="5"/>
        <v>0</v>
      </c>
      <c r="CG20" s="11">
        <f t="shared" si="5"/>
        <v>0</v>
      </c>
      <c r="CH20" s="11">
        <f t="shared" si="5"/>
        <v>0</v>
      </c>
      <c r="CI20" s="11">
        <f t="shared" si="5"/>
        <v>0</v>
      </c>
      <c r="CJ20" s="11">
        <f t="shared" si="5"/>
        <v>0</v>
      </c>
      <c r="CK20" s="11">
        <f t="shared" si="5"/>
        <v>0</v>
      </c>
      <c r="CL20" s="11">
        <f t="shared" si="5"/>
        <v>0</v>
      </c>
      <c r="CM20" s="11">
        <f t="shared" si="5"/>
        <v>0</v>
      </c>
      <c r="CN20" s="11">
        <f t="shared" si="5"/>
        <v>0</v>
      </c>
      <c r="CO20" s="11">
        <f t="shared" si="5"/>
        <v>0</v>
      </c>
      <c r="CP20" s="11">
        <f t="shared" si="5"/>
        <v>0</v>
      </c>
      <c r="CQ20" s="11">
        <f t="shared" si="5"/>
        <v>0</v>
      </c>
      <c r="CR20" s="11">
        <f t="shared" si="5"/>
        <v>0</v>
      </c>
      <c r="CS20" s="11">
        <f t="shared" si="5"/>
        <v>0</v>
      </c>
      <c r="CT20" s="11">
        <f t="shared" si="5"/>
        <v>0</v>
      </c>
      <c r="CU20" s="11">
        <f t="shared" si="5"/>
        <v>0</v>
      </c>
      <c r="CV20" s="11">
        <f t="shared" si="5"/>
        <v>0</v>
      </c>
      <c r="CW20" s="11">
        <f t="shared" si="5"/>
        <v>0</v>
      </c>
      <c r="CX20" s="11">
        <f t="shared" si="5"/>
        <v>0</v>
      </c>
      <c r="CY20" s="11">
        <f t="shared" si="5"/>
        <v>42819.45</v>
      </c>
      <c r="CZ20" s="11">
        <f t="shared" si="5"/>
        <v>20953.38</v>
      </c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</row>
    <row r="21" spans="1:122" ht="18" customHeight="1">
      <c r="A21" s="13" t="s">
        <v>80</v>
      </c>
      <c r="B21" s="14">
        <f>IFERROR(VLOOKUP(A21,PRICELIST!$A$3:$D$138,4,0),"-")</f>
        <v>128.88</v>
      </c>
      <c r="C21" s="18"/>
      <c r="D21" s="18"/>
      <c r="E21" s="18"/>
      <c r="F21" s="18"/>
      <c r="G21" s="18">
        <v>7</v>
      </c>
      <c r="H21" s="18">
        <v>21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9">
        <f t="shared" ref="CY21:CZ23" si="6">C21+E21+G21+I21+K21+M21+O21+Q21+S21+U21+W21+Y21+AA21+AC21+AE21+AG21+AI21+AK21+AM21+AO21+AQ21+AS21+AU21+AW21+AY21+BA21+BC21+BE21+BG21+BI21+BK21+BM21+BO21+BQ21+BS21+BU21+BW21+BY21+CA21+CC21+CE21+CG21+CI21+CK21+CM21+CO21+CQ21+CS21+CU21+CW21</f>
        <v>7</v>
      </c>
      <c r="CZ21" s="19">
        <f t="shared" si="6"/>
        <v>21</v>
      </c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</row>
    <row r="22" spans="1:122" ht="18" customHeight="1">
      <c r="A22" s="13" t="s">
        <v>10</v>
      </c>
      <c r="B22" s="14">
        <f>IFERROR(VLOOKUP(A22,PRICELIST!$A$3:$D$138,4,0),"-")</f>
        <v>120.53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9">
        <f t="shared" si="6"/>
        <v>0</v>
      </c>
      <c r="CZ22" s="19">
        <f t="shared" si="6"/>
        <v>0</v>
      </c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</row>
    <row r="23" spans="1:122" ht="18" customHeight="1">
      <c r="A23" s="13" t="s">
        <v>11</v>
      </c>
      <c r="B23" s="14">
        <f>IFERROR(VLOOKUP(A23,PRICELIST!$A$3:$D$138,4,0),"-")</f>
        <v>144.29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9">
        <f t="shared" si="6"/>
        <v>0</v>
      </c>
      <c r="CZ23" s="19">
        <f t="shared" si="6"/>
        <v>0</v>
      </c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</row>
    <row r="24" spans="1:122" ht="18" customHeight="1">
      <c r="A24" s="9" t="s">
        <v>12</v>
      </c>
      <c r="B24" s="10"/>
      <c r="C24" s="11">
        <f>SUMPRODUCT($B21:$B23,C21:C23)</f>
        <v>0</v>
      </c>
      <c r="D24" s="11">
        <f t="shared" ref="D24:BO24" si="7">SUMPRODUCT($B21:$B23,D21:D23)</f>
        <v>0</v>
      </c>
      <c r="E24" s="11">
        <f t="shared" si="7"/>
        <v>0</v>
      </c>
      <c r="F24" s="11">
        <f t="shared" si="7"/>
        <v>0</v>
      </c>
      <c r="G24" s="11">
        <f t="shared" si="7"/>
        <v>902.16</v>
      </c>
      <c r="H24" s="11">
        <f t="shared" si="7"/>
        <v>2706.48</v>
      </c>
      <c r="I24" s="11">
        <f t="shared" si="7"/>
        <v>0</v>
      </c>
      <c r="J24" s="11">
        <f t="shared" si="7"/>
        <v>0</v>
      </c>
      <c r="K24" s="11">
        <f t="shared" si="7"/>
        <v>0</v>
      </c>
      <c r="L24" s="11">
        <f t="shared" si="7"/>
        <v>0</v>
      </c>
      <c r="M24" s="11">
        <f t="shared" si="7"/>
        <v>0</v>
      </c>
      <c r="N24" s="11">
        <f t="shared" si="7"/>
        <v>0</v>
      </c>
      <c r="O24" s="11">
        <f t="shared" si="7"/>
        <v>0</v>
      </c>
      <c r="P24" s="11">
        <f t="shared" si="7"/>
        <v>0</v>
      </c>
      <c r="Q24" s="11">
        <f t="shared" si="7"/>
        <v>0</v>
      </c>
      <c r="R24" s="11">
        <f t="shared" si="7"/>
        <v>0</v>
      </c>
      <c r="S24" s="11">
        <f t="shared" si="7"/>
        <v>0</v>
      </c>
      <c r="T24" s="11">
        <f t="shared" si="7"/>
        <v>0</v>
      </c>
      <c r="U24" s="11">
        <f t="shared" si="7"/>
        <v>0</v>
      </c>
      <c r="V24" s="11">
        <f t="shared" si="7"/>
        <v>0</v>
      </c>
      <c r="W24" s="11">
        <f t="shared" si="7"/>
        <v>0</v>
      </c>
      <c r="X24" s="11">
        <f t="shared" si="7"/>
        <v>0</v>
      </c>
      <c r="Y24" s="11">
        <f t="shared" si="7"/>
        <v>0</v>
      </c>
      <c r="Z24" s="11">
        <f t="shared" si="7"/>
        <v>0</v>
      </c>
      <c r="AA24" s="11">
        <f t="shared" si="7"/>
        <v>0</v>
      </c>
      <c r="AB24" s="11">
        <f t="shared" si="7"/>
        <v>0</v>
      </c>
      <c r="AC24" s="11">
        <f t="shared" si="7"/>
        <v>0</v>
      </c>
      <c r="AD24" s="11">
        <f t="shared" si="7"/>
        <v>0</v>
      </c>
      <c r="AE24" s="11">
        <f t="shared" si="7"/>
        <v>0</v>
      </c>
      <c r="AF24" s="11">
        <f t="shared" si="7"/>
        <v>0</v>
      </c>
      <c r="AG24" s="11">
        <f t="shared" si="7"/>
        <v>0</v>
      </c>
      <c r="AH24" s="11">
        <f t="shared" si="7"/>
        <v>0</v>
      </c>
      <c r="AI24" s="11">
        <f t="shared" si="7"/>
        <v>0</v>
      </c>
      <c r="AJ24" s="11">
        <f t="shared" si="7"/>
        <v>0</v>
      </c>
      <c r="AK24" s="11">
        <f t="shared" si="7"/>
        <v>0</v>
      </c>
      <c r="AL24" s="11">
        <f t="shared" si="7"/>
        <v>0</v>
      </c>
      <c r="AM24" s="11">
        <f t="shared" si="7"/>
        <v>0</v>
      </c>
      <c r="AN24" s="11">
        <f t="shared" si="7"/>
        <v>0</v>
      </c>
      <c r="AO24" s="11">
        <f t="shared" si="7"/>
        <v>0</v>
      </c>
      <c r="AP24" s="11">
        <f t="shared" si="7"/>
        <v>0</v>
      </c>
      <c r="AQ24" s="11">
        <f t="shared" si="7"/>
        <v>0</v>
      </c>
      <c r="AR24" s="11">
        <f t="shared" si="7"/>
        <v>0</v>
      </c>
      <c r="AS24" s="11">
        <f t="shared" si="7"/>
        <v>0</v>
      </c>
      <c r="AT24" s="11">
        <f t="shared" si="7"/>
        <v>0</v>
      </c>
      <c r="AU24" s="11">
        <f t="shared" si="7"/>
        <v>0</v>
      </c>
      <c r="AV24" s="11">
        <f t="shared" si="7"/>
        <v>0</v>
      </c>
      <c r="AW24" s="11">
        <f t="shared" si="7"/>
        <v>0</v>
      </c>
      <c r="AX24" s="11">
        <f t="shared" si="7"/>
        <v>0</v>
      </c>
      <c r="AY24" s="11">
        <f t="shared" si="7"/>
        <v>0</v>
      </c>
      <c r="AZ24" s="11">
        <f t="shared" si="7"/>
        <v>0</v>
      </c>
      <c r="BA24" s="11">
        <f t="shared" si="7"/>
        <v>0</v>
      </c>
      <c r="BB24" s="11">
        <f t="shared" si="7"/>
        <v>0</v>
      </c>
      <c r="BC24" s="11">
        <f t="shared" si="7"/>
        <v>0</v>
      </c>
      <c r="BD24" s="11">
        <f t="shared" si="7"/>
        <v>0</v>
      </c>
      <c r="BE24" s="11">
        <f t="shared" si="7"/>
        <v>0</v>
      </c>
      <c r="BF24" s="11">
        <f t="shared" si="7"/>
        <v>0</v>
      </c>
      <c r="BG24" s="11">
        <f t="shared" si="7"/>
        <v>0</v>
      </c>
      <c r="BH24" s="11">
        <f t="shared" si="7"/>
        <v>0</v>
      </c>
      <c r="BI24" s="11">
        <f t="shared" si="7"/>
        <v>0</v>
      </c>
      <c r="BJ24" s="11">
        <f t="shared" si="7"/>
        <v>0</v>
      </c>
      <c r="BK24" s="11">
        <f t="shared" si="7"/>
        <v>0</v>
      </c>
      <c r="BL24" s="11">
        <f t="shared" si="7"/>
        <v>0</v>
      </c>
      <c r="BM24" s="11">
        <f t="shared" si="7"/>
        <v>0</v>
      </c>
      <c r="BN24" s="11">
        <f t="shared" si="7"/>
        <v>0</v>
      </c>
      <c r="BO24" s="11">
        <f t="shared" si="7"/>
        <v>0</v>
      </c>
      <c r="BP24" s="11">
        <f t="shared" ref="BP24:CZ24" si="8">SUMPRODUCT($B21:$B23,BP21:BP23)</f>
        <v>0</v>
      </c>
      <c r="BQ24" s="11">
        <f t="shared" si="8"/>
        <v>0</v>
      </c>
      <c r="BR24" s="11">
        <f t="shared" si="8"/>
        <v>0</v>
      </c>
      <c r="BS24" s="11">
        <f t="shared" si="8"/>
        <v>0</v>
      </c>
      <c r="BT24" s="11">
        <f t="shared" si="8"/>
        <v>0</v>
      </c>
      <c r="BU24" s="11">
        <f t="shared" si="8"/>
        <v>0</v>
      </c>
      <c r="BV24" s="11">
        <f t="shared" si="8"/>
        <v>0</v>
      </c>
      <c r="BW24" s="11">
        <f t="shared" si="8"/>
        <v>0</v>
      </c>
      <c r="BX24" s="11">
        <f t="shared" si="8"/>
        <v>0</v>
      </c>
      <c r="BY24" s="11">
        <f t="shared" si="8"/>
        <v>0</v>
      </c>
      <c r="BZ24" s="11">
        <f t="shared" si="8"/>
        <v>0</v>
      </c>
      <c r="CA24" s="11">
        <f t="shared" si="8"/>
        <v>0</v>
      </c>
      <c r="CB24" s="11">
        <f t="shared" si="8"/>
        <v>0</v>
      </c>
      <c r="CC24" s="11">
        <f t="shared" si="8"/>
        <v>0</v>
      </c>
      <c r="CD24" s="11">
        <f t="shared" si="8"/>
        <v>0</v>
      </c>
      <c r="CE24" s="11">
        <f t="shared" si="8"/>
        <v>0</v>
      </c>
      <c r="CF24" s="11">
        <f t="shared" si="8"/>
        <v>0</v>
      </c>
      <c r="CG24" s="11">
        <f t="shared" si="8"/>
        <v>0</v>
      </c>
      <c r="CH24" s="11">
        <f t="shared" si="8"/>
        <v>0</v>
      </c>
      <c r="CI24" s="11">
        <f t="shared" si="8"/>
        <v>0</v>
      </c>
      <c r="CJ24" s="11">
        <f t="shared" si="8"/>
        <v>0</v>
      </c>
      <c r="CK24" s="11">
        <f t="shared" si="8"/>
        <v>0</v>
      </c>
      <c r="CL24" s="11">
        <f t="shared" si="8"/>
        <v>0</v>
      </c>
      <c r="CM24" s="11">
        <f t="shared" si="8"/>
        <v>0</v>
      </c>
      <c r="CN24" s="11">
        <f t="shared" si="8"/>
        <v>0</v>
      </c>
      <c r="CO24" s="11">
        <f t="shared" si="8"/>
        <v>0</v>
      </c>
      <c r="CP24" s="11">
        <f t="shared" si="8"/>
        <v>0</v>
      </c>
      <c r="CQ24" s="11">
        <f t="shared" si="8"/>
        <v>0</v>
      </c>
      <c r="CR24" s="11">
        <f t="shared" si="8"/>
        <v>0</v>
      </c>
      <c r="CS24" s="11">
        <f t="shared" si="8"/>
        <v>0</v>
      </c>
      <c r="CT24" s="11">
        <f t="shared" si="8"/>
        <v>0</v>
      </c>
      <c r="CU24" s="11">
        <f t="shared" si="8"/>
        <v>0</v>
      </c>
      <c r="CV24" s="11">
        <f t="shared" si="8"/>
        <v>0</v>
      </c>
      <c r="CW24" s="11">
        <f t="shared" si="8"/>
        <v>0</v>
      </c>
      <c r="CX24" s="11">
        <f t="shared" si="8"/>
        <v>0</v>
      </c>
      <c r="CY24" s="11">
        <f t="shared" si="8"/>
        <v>902.16</v>
      </c>
      <c r="CZ24" s="11">
        <f t="shared" si="8"/>
        <v>2706.48</v>
      </c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</row>
    <row r="25" spans="1:122" ht="18" customHeight="1">
      <c r="A25" s="13" t="s">
        <v>13</v>
      </c>
      <c r="B25" s="14">
        <f>IFERROR(VLOOKUP(A25,PRICELIST!$A$3:$D$138,4,0),"-")</f>
        <v>110.57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9">
        <f t="shared" ref="CY25:CZ26" si="9">C25+E25+G25+I25+K25+M25+O25+Q25+S25+U25+W25+Y25+AA25+AC25+AE25+AG25+AI25+AK25+AM25+AO25+AQ25+AS25+AU25+AW25+AY25+BA25+BC25+BE25+BG25+BI25+BK25+BM25+BO25+BQ25+BS25+BU25+BW25+BY25+CA25+CC25+CE25+CG25+CI25+CK25+CM25+CO25+CQ25+CS25+CU25+CW25</f>
        <v>0</v>
      </c>
      <c r="CZ25" s="19">
        <f t="shared" si="9"/>
        <v>0</v>
      </c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</row>
    <row r="26" spans="1:122" ht="18" customHeight="1">
      <c r="A26" s="13" t="s">
        <v>14</v>
      </c>
      <c r="B26" s="14">
        <f>IFERROR(VLOOKUP(A26,PRICELIST!$A$3:$D$138,4,0),"-")</f>
        <v>184.82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9">
        <f t="shared" si="9"/>
        <v>0</v>
      </c>
      <c r="CZ26" s="19">
        <f t="shared" si="9"/>
        <v>0</v>
      </c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</row>
    <row r="27" spans="1:122" ht="18" customHeight="1">
      <c r="A27" s="9" t="s">
        <v>15</v>
      </c>
      <c r="B27" s="10"/>
      <c r="C27" s="11">
        <f>SUMPRODUCT($B25:$B26,C25:C26)</f>
        <v>0</v>
      </c>
      <c r="D27" s="11">
        <f t="shared" ref="D27:BO27" si="10">SUMPRODUCT($B25:$B26,D25:D26)</f>
        <v>0</v>
      </c>
      <c r="E27" s="11">
        <f t="shared" si="10"/>
        <v>0</v>
      </c>
      <c r="F27" s="11">
        <f t="shared" si="10"/>
        <v>0</v>
      </c>
      <c r="G27" s="11">
        <f t="shared" si="10"/>
        <v>0</v>
      </c>
      <c r="H27" s="11">
        <f t="shared" si="10"/>
        <v>0</v>
      </c>
      <c r="I27" s="11">
        <f t="shared" si="10"/>
        <v>0</v>
      </c>
      <c r="J27" s="11">
        <f t="shared" si="10"/>
        <v>0</v>
      </c>
      <c r="K27" s="11">
        <f t="shared" si="10"/>
        <v>0</v>
      </c>
      <c r="L27" s="11">
        <f t="shared" si="10"/>
        <v>0</v>
      </c>
      <c r="M27" s="11">
        <f t="shared" si="10"/>
        <v>0</v>
      </c>
      <c r="N27" s="11">
        <f t="shared" si="10"/>
        <v>0</v>
      </c>
      <c r="O27" s="11">
        <f t="shared" si="10"/>
        <v>0</v>
      </c>
      <c r="P27" s="11">
        <f t="shared" si="10"/>
        <v>0</v>
      </c>
      <c r="Q27" s="11">
        <f t="shared" si="10"/>
        <v>0</v>
      </c>
      <c r="R27" s="11">
        <f t="shared" si="10"/>
        <v>0</v>
      </c>
      <c r="S27" s="11">
        <f t="shared" si="10"/>
        <v>0</v>
      </c>
      <c r="T27" s="11">
        <f t="shared" si="10"/>
        <v>0</v>
      </c>
      <c r="U27" s="11">
        <f t="shared" si="10"/>
        <v>0</v>
      </c>
      <c r="V27" s="11">
        <f t="shared" si="10"/>
        <v>0</v>
      </c>
      <c r="W27" s="11">
        <f t="shared" si="10"/>
        <v>0</v>
      </c>
      <c r="X27" s="11">
        <f t="shared" si="10"/>
        <v>0</v>
      </c>
      <c r="Y27" s="11">
        <f t="shared" si="10"/>
        <v>0</v>
      </c>
      <c r="Z27" s="11">
        <f t="shared" si="10"/>
        <v>0</v>
      </c>
      <c r="AA27" s="11">
        <f t="shared" si="10"/>
        <v>0</v>
      </c>
      <c r="AB27" s="11">
        <f t="shared" si="10"/>
        <v>0</v>
      </c>
      <c r="AC27" s="11">
        <f t="shared" si="10"/>
        <v>0</v>
      </c>
      <c r="AD27" s="11">
        <f t="shared" si="10"/>
        <v>0</v>
      </c>
      <c r="AE27" s="11">
        <f t="shared" si="10"/>
        <v>0</v>
      </c>
      <c r="AF27" s="11">
        <f t="shared" si="10"/>
        <v>0</v>
      </c>
      <c r="AG27" s="11">
        <f t="shared" si="10"/>
        <v>0</v>
      </c>
      <c r="AH27" s="11">
        <f t="shared" si="10"/>
        <v>0</v>
      </c>
      <c r="AI27" s="11">
        <f t="shared" si="10"/>
        <v>0</v>
      </c>
      <c r="AJ27" s="11">
        <f t="shared" si="10"/>
        <v>0</v>
      </c>
      <c r="AK27" s="11">
        <f t="shared" si="10"/>
        <v>0</v>
      </c>
      <c r="AL27" s="11">
        <f t="shared" si="10"/>
        <v>0</v>
      </c>
      <c r="AM27" s="11">
        <f t="shared" si="10"/>
        <v>0</v>
      </c>
      <c r="AN27" s="11">
        <f t="shared" si="10"/>
        <v>0</v>
      </c>
      <c r="AO27" s="11">
        <f t="shared" si="10"/>
        <v>0</v>
      </c>
      <c r="AP27" s="11">
        <f t="shared" si="10"/>
        <v>0</v>
      </c>
      <c r="AQ27" s="11">
        <f t="shared" si="10"/>
        <v>0</v>
      </c>
      <c r="AR27" s="11">
        <f t="shared" si="10"/>
        <v>0</v>
      </c>
      <c r="AS27" s="11">
        <f t="shared" si="10"/>
        <v>0</v>
      </c>
      <c r="AT27" s="11">
        <f t="shared" si="10"/>
        <v>0</v>
      </c>
      <c r="AU27" s="11">
        <f t="shared" si="10"/>
        <v>0</v>
      </c>
      <c r="AV27" s="11">
        <f t="shared" si="10"/>
        <v>0</v>
      </c>
      <c r="AW27" s="11">
        <f t="shared" si="10"/>
        <v>0</v>
      </c>
      <c r="AX27" s="11">
        <f t="shared" si="10"/>
        <v>0</v>
      </c>
      <c r="AY27" s="11">
        <f t="shared" si="10"/>
        <v>0</v>
      </c>
      <c r="AZ27" s="11">
        <f t="shared" si="10"/>
        <v>0</v>
      </c>
      <c r="BA27" s="11">
        <f t="shared" si="10"/>
        <v>0</v>
      </c>
      <c r="BB27" s="11">
        <f t="shared" si="10"/>
        <v>0</v>
      </c>
      <c r="BC27" s="11">
        <f t="shared" si="10"/>
        <v>0</v>
      </c>
      <c r="BD27" s="11">
        <f t="shared" si="10"/>
        <v>0</v>
      </c>
      <c r="BE27" s="11">
        <f t="shared" si="10"/>
        <v>0</v>
      </c>
      <c r="BF27" s="11">
        <f t="shared" si="10"/>
        <v>0</v>
      </c>
      <c r="BG27" s="11">
        <f t="shared" si="10"/>
        <v>0</v>
      </c>
      <c r="BH27" s="11">
        <f t="shared" si="10"/>
        <v>0</v>
      </c>
      <c r="BI27" s="11">
        <f t="shared" si="10"/>
        <v>0</v>
      </c>
      <c r="BJ27" s="11">
        <f t="shared" si="10"/>
        <v>0</v>
      </c>
      <c r="BK27" s="11">
        <f t="shared" si="10"/>
        <v>0</v>
      </c>
      <c r="BL27" s="11">
        <f t="shared" si="10"/>
        <v>0</v>
      </c>
      <c r="BM27" s="11">
        <f t="shared" si="10"/>
        <v>0</v>
      </c>
      <c r="BN27" s="11">
        <f t="shared" si="10"/>
        <v>0</v>
      </c>
      <c r="BO27" s="11">
        <f t="shared" si="10"/>
        <v>0</v>
      </c>
      <c r="BP27" s="11">
        <f t="shared" ref="BP27:CZ27" si="11">SUMPRODUCT($B25:$B26,BP25:BP26)</f>
        <v>0</v>
      </c>
      <c r="BQ27" s="11">
        <f t="shared" si="11"/>
        <v>0</v>
      </c>
      <c r="BR27" s="11">
        <f t="shared" si="11"/>
        <v>0</v>
      </c>
      <c r="BS27" s="11">
        <f t="shared" si="11"/>
        <v>0</v>
      </c>
      <c r="BT27" s="11">
        <f t="shared" si="11"/>
        <v>0</v>
      </c>
      <c r="BU27" s="11">
        <f t="shared" si="11"/>
        <v>0</v>
      </c>
      <c r="BV27" s="11">
        <f t="shared" si="11"/>
        <v>0</v>
      </c>
      <c r="BW27" s="11">
        <f t="shared" si="11"/>
        <v>0</v>
      </c>
      <c r="BX27" s="11">
        <f t="shared" si="11"/>
        <v>0</v>
      </c>
      <c r="BY27" s="11">
        <f t="shared" si="11"/>
        <v>0</v>
      </c>
      <c r="BZ27" s="11">
        <f t="shared" si="11"/>
        <v>0</v>
      </c>
      <c r="CA27" s="11">
        <f t="shared" si="11"/>
        <v>0</v>
      </c>
      <c r="CB27" s="11">
        <f t="shared" si="11"/>
        <v>0</v>
      </c>
      <c r="CC27" s="11">
        <f t="shared" si="11"/>
        <v>0</v>
      </c>
      <c r="CD27" s="11">
        <f t="shared" si="11"/>
        <v>0</v>
      </c>
      <c r="CE27" s="11">
        <f t="shared" si="11"/>
        <v>0</v>
      </c>
      <c r="CF27" s="11">
        <f t="shared" si="11"/>
        <v>0</v>
      </c>
      <c r="CG27" s="11">
        <f t="shared" si="11"/>
        <v>0</v>
      </c>
      <c r="CH27" s="11">
        <f t="shared" si="11"/>
        <v>0</v>
      </c>
      <c r="CI27" s="11">
        <f t="shared" si="11"/>
        <v>0</v>
      </c>
      <c r="CJ27" s="11">
        <f t="shared" si="11"/>
        <v>0</v>
      </c>
      <c r="CK27" s="11">
        <f t="shared" si="11"/>
        <v>0</v>
      </c>
      <c r="CL27" s="11">
        <f t="shared" si="11"/>
        <v>0</v>
      </c>
      <c r="CM27" s="11">
        <f t="shared" si="11"/>
        <v>0</v>
      </c>
      <c r="CN27" s="11">
        <f t="shared" si="11"/>
        <v>0</v>
      </c>
      <c r="CO27" s="11">
        <f t="shared" si="11"/>
        <v>0</v>
      </c>
      <c r="CP27" s="11">
        <f t="shared" si="11"/>
        <v>0</v>
      </c>
      <c r="CQ27" s="11">
        <f t="shared" si="11"/>
        <v>0</v>
      </c>
      <c r="CR27" s="11">
        <f t="shared" si="11"/>
        <v>0</v>
      </c>
      <c r="CS27" s="11">
        <f t="shared" si="11"/>
        <v>0</v>
      </c>
      <c r="CT27" s="11">
        <f t="shared" si="11"/>
        <v>0</v>
      </c>
      <c r="CU27" s="11">
        <f t="shared" si="11"/>
        <v>0</v>
      </c>
      <c r="CV27" s="11">
        <f t="shared" si="11"/>
        <v>0</v>
      </c>
      <c r="CW27" s="11">
        <f t="shared" si="11"/>
        <v>0</v>
      </c>
      <c r="CX27" s="11">
        <f t="shared" si="11"/>
        <v>0</v>
      </c>
      <c r="CY27" s="11">
        <f t="shared" si="11"/>
        <v>0</v>
      </c>
      <c r="CZ27" s="11">
        <f t="shared" si="11"/>
        <v>0</v>
      </c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</row>
    <row r="28" spans="1:122" ht="18" customHeight="1">
      <c r="A28" s="13" t="s">
        <v>16</v>
      </c>
      <c r="B28" s="14">
        <f>IFERROR(VLOOKUP(A28,PRICELIST!$A$3:$D$138,4,0),"-")</f>
        <v>113.79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9">
        <f t="shared" ref="CY28:CZ33" si="12">C28+E28+G28+I28+K28+M28+O28+Q28+S28+U28+W28+Y28+AA28+AC28+AE28+AG28+AI28+AK28+AM28+AO28+AQ28+AS28+AU28+AW28+AY28+BA28+BC28+BE28+BG28+BI28+BK28+BM28+BO28+BQ28+BS28+BU28+BW28+BY28+CA28+CC28+CE28+CG28+CI28+CK28+CM28+CO28+CQ28+CS28+CU28+CW28</f>
        <v>0</v>
      </c>
      <c r="CZ28" s="19">
        <f t="shared" si="12"/>
        <v>0</v>
      </c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</row>
    <row r="29" spans="1:122" ht="18" customHeight="1">
      <c r="A29" s="13" t="s">
        <v>17</v>
      </c>
      <c r="B29" s="14">
        <f>IFERROR(VLOOKUP(A29,PRICELIST!$A$3:$D$138,4,0),"-")</f>
        <v>188.04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9">
        <f t="shared" si="12"/>
        <v>0</v>
      </c>
      <c r="CZ29" s="19">
        <f t="shared" si="12"/>
        <v>0</v>
      </c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</row>
    <row r="30" spans="1:122" ht="18" customHeight="1">
      <c r="A30" s="13" t="s">
        <v>18</v>
      </c>
      <c r="B30" s="14">
        <f>IFERROR(VLOOKUP(A30,PRICELIST!$A$3:$D$138,4,0),"-")</f>
        <v>68.16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9">
        <f t="shared" si="12"/>
        <v>0</v>
      </c>
      <c r="CZ30" s="19">
        <f t="shared" si="12"/>
        <v>0</v>
      </c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</row>
    <row r="31" spans="1:122" ht="18" customHeight="1">
      <c r="A31" s="13" t="s">
        <v>19</v>
      </c>
      <c r="B31" s="14">
        <f>IFERROR(VLOOKUP(A31,PRICELIST!$A$3:$D$138,4,0),"-")</f>
        <v>101.57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9">
        <f t="shared" si="12"/>
        <v>0</v>
      </c>
      <c r="CZ31" s="19">
        <f t="shared" si="12"/>
        <v>0</v>
      </c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</row>
    <row r="32" spans="1:122" ht="18" customHeight="1">
      <c r="A32" s="13" t="s">
        <v>20</v>
      </c>
      <c r="B32" s="14">
        <f>IFERROR(VLOOKUP(A32,PRICELIST!$A$3:$D$138,4,0),"-")</f>
        <v>164.73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9">
        <f t="shared" si="12"/>
        <v>0</v>
      </c>
      <c r="CZ32" s="19">
        <f t="shared" si="12"/>
        <v>0</v>
      </c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</row>
    <row r="33" spans="1:122" ht="18" customHeight="1">
      <c r="A33" s="13" t="s">
        <v>21</v>
      </c>
      <c r="B33" s="14">
        <f>IFERROR(VLOOKUP(A33,PRICELIST!$A$3:$D$138,4,0),"-")</f>
        <v>78.099999999999994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9">
        <f t="shared" si="12"/>
        <v>0</v>
      </c>
      <c r="CZ33" s="19">
        <f t="shared" si="12"/>
        <v>0</v>
      </c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</row>
    <row r="34" spans="1:122" ht="18" customHeight="1">
      <c r="A34" s="9" t="s">
        <v>22</v>
      </c>
      <c r="B34" s="10"/>
      <c r="C34" s="11">
        <f>SUMPRODUCT($B28:$B33,C28:C33)</f>
        <v>0</v>
      </c>
      <c r="D34" s="11">
        <f t="shared" ref="D34:BO34" si="13">SUMPRODUCT($B28:$B33,D28:D33)</f>
        <v>0</v>
      </c>
      <c r="E34" s="11">
        <f t="shared" si="13"/>
        <v>0</v>
      </c>
      <c r="F34" s="11">
        <f t="shared" si="13"/>
        <v>0</v>
      </c>
      <c r="G34" s="11">
        <f t="shared" si="13"/>
        <v>0</v>
      </c>
      <c r="H34" s="11">
        <f t="shared" si="13"/>
        <v>0</v>
      </c>
      <c r="I34" s="11">
        <f t="shared" si="13"/>
        <v>0</v>
      </c>
      <c r="J34" s="11">
        <f t="shared" si="13"/>
        <v>0</v>
      </c>
      <c r="K34" s="11">
        <f t="shared" si="13"/>
        <v>0</v>
      </c>
      <c r="L34" s="11">
        <f t="shared" si="13"/>
        <v>0</v>
      </c>
      <c r="M34" s="11">
        <f t="shared" si="13"/>
        <v>0</v>
      </c>
      <c r="N34" s="11">
        <f t="shared" si="13"/>
        <v>0</v>
      </c>
      <c r="O34" s="11">
        <f t="shared" si="13"/>
        <v>0</v>
      </c>
      <c r="P34" s="11">
        <f t="shared" si="13"/>
        <v>0</v>
      </c>
      <c r="Q34" s="11">
        <f t="shared" si="13"/>
        <v>0</v>
      </c>
      <c r="R34" s="11">
        <f t="shared" si="13"/>
        <v>0</v>
      </c>
      <c r="S34" s="11">
        <f t="shared" si="13"/>
        <v>0</v>
      </c>
      <c r="T34" s="11">
        <f t="shared" si="13"/>
        <v>0</v>
      </c>
      <c r="U34" s="11">
        <f t="shared" si="13"/>
        <v>0</v>
      </c>
      <c r="V34" s="11">
        <f t="shared" si="13"/>
        <v>0</v>
      </c>
      <c r="W34" s="11">
        <f t="shared" si="13"/>
        <v>0</v>
      </c>
      <c r="X34" s="11">
        <f t="shared" si="13"/>
        <v>0</v>
      </c>
      <c r="Y34" s="11">
        <f t="shared" si="13"/>
        <v>0</v>
      </c>
      <c r="Z34" s="11">
        <f t="shared" si="13"/>
        <v>0</v>
      </c>
      <c r="AA34" s="11">
        <f t="shared" si="13"/>
        <v>0</v>
      </c>
      <c r="AB34" s="11">
        <f t="shared" si="13"/>
        <v>0</v>
      </c>
      <c r="AC34" s="11">
        <f t="shared" si="13"/>
        <v>0</v>
      </c>
      <c r="AD34" s="11">
        <f t="shared" si="13"/>
        <v>0</v>
      </c>
      <c r="AE34" s="11">
        <f t="shared" si="13"/>
        <v>0</v>
      </c>
      <c r="AF34" s="11">
        <f t="shared" si="13"/>
        <v>0</v>
      </c>
      <c r="AG34" s="11">
        <f t="shared" si="13"/>
        <v>0</v>
      </c>
      <c r="AH34" s="11">
        <f t="shared" si="13"/>
        <v>0</v>
      </c>
      <c r="AI34" s="11">
        <f t="shared" si="13"/>
        <v>0</v>
      </c>
      <c r="AJ34" s="11">
        <f t="shared" si="13"/>
        <v>0</v>
      </c>
      <c r="AK34" s="11">
        <f t="shared" si="13"/>
        <v>0</v>
      </c>
      <c r="AL34" s="11">
        <f t="shared" si="13"/>
        <v>0</v>
      </c>
      <c r="AM34" s="11">
        <f t="shared" si="13"/>
        <v>0</v>
      </c>
      <c r="AN34" s="11">
        <f t="shared" si="13"/>
        <v>0</v>
      </c>
      <c r="AO34" s="11">
        <f t="shared" si="13"/>
        <v>0</v>
      </c>
      <c r="AP34" s="11">
        <f t="shared" si="13"/>
        <v>0</v>
      </c>
      <c r="AQ34" s="11">
        <f t="shared" si="13"/>
        <v>0</v>
      </c>
      <c r="AR34" s="11">
        <f t="shared" si="13"/>
        <v>0</v>
      </c>
      <c r="AS34" s="11">
        <f t="shared" si="13"/>
        <v>0</v>
      </c>
      <c r="AT34" s="11">
        <f t="shared" si="13"/>
        <v>0</v>
      </c>
      <c r="AU34" s="11">
        <f t="shared" si="13"/>
        <v>0</v>
      </c>
      <c r="AV34" s="11">
        <f t="shared" si="13"/>
        <v>0</v>
      </c>
      <c r="AW34" s="11">
        <f t="shared" si="13"/>
        <v>0</v>
      </c>
      <c r="AX34" s="11">
        <f t="shared" si="13"/>
        <v>0</v>
      </c>
      <c r="AY34" s="11">
        <f t="shared" si="13"/>
        <v>0</v>
      </c>
      <c r="AZ34" s="11">
        <f t="shared" si="13"/>
        <v>0</v>
      </c>
      <c r="BA34" s="11">
        <f t="shared" si="13"/>
        <v>0</v>
      </c>
      <c r="BB34" s="11">
        <f t="shared" si="13"/>
        <v>0</v>
      </c>
      <c r="BC34" s="11">
        <f t="shared" si="13"/>
        <v>0</v>
      </c>
      <c r="BD34" s="11">
        <f t="shared" si="13"/>
        <v>0</v>
      </c>
      <c r="BE34" s="11">
        <f t="shared" si="13"/>
        <v>0</v>
      </c>
      <c r="BF34" s="11">
        <f t="shared" si="13"/>
        <v>0</v>
      </c>
      <c r="BG34" s="11">
        <f t="shared" si="13"/>
        <v>0</v>
      </c>
      <c r="BH34" s="11">
        <f t="shared" si="13"/>
        <v>0</v>
      </c>
      <c r="BI34" s="11">
        <f t="shared" si="13"/>
        <v>0</v>
      </c>
      <c r="BJ34" s="11">
        <f t="shared" si="13"/>
        <v>0</v>
      </c>
      <c r="BK34" s="11">
        <f t="shared" si="13"/>
        <v>0</v>
      </c>
      <c r="BL34" s="11">
        <f t="shared" si="13"/>
        <v>0</v>
      </c>
      <c r="BM34" s="11">
        <f t="shared" si="13"/>
        <v>0</v>
      </c>
      <c r="BN34" s="11">
        <f t="shared" si="13"/>
        <v>0</v>
      </c>
      <c r="BO34" s="11">
        <f t="shared" si="13"/>
        <v>0</v>
      </c>
      <c r="BP34" s="11">
        <f t="shared" ref="BP34:CZ34" si="14">SUMPRODUCT($B28:$B33,BP28:BP33)</f>
        <v>0</v>
      </c>
      <c r="BQ34" s="11">
        <f t="shared" si="14"/>
        <v>0</v>
      </c>
      <c r="BR34" s="11">
        <f t="shared" si="14"/>
        <v>0</v>
      </c>
      <c r="BS34" s="11">
        <f t="shared" si="14"/>
        <v>0</v>
      </c>
      <c r="BT34" s="11">
        <f t="shared" si="14"/>
        <v>0</v>
      </c>
      <c r="BU34" s="11">
        <f t="shared" si="14"/>
        <v>0</v>
      </c>
      <c r="BV34" s="11">
        <f t="shared" si="14"/>
        <v>0</v>
      </c>
      <c r="BW34" s="11">
        <f t="shared" si="14"/>
        <v>0</v>
      </c>
      <c r="BX34" s="11">
        <f t="shared" si="14"/>
        <v>0</v>
      </c>
      <c r="BY34" s="11">
        <f t="shared" si="14"/>
        <v>0</v>
      </c>
      <c r="BZ34" s="11">
        <f t="shared" si="14"/>
        <v>0</v>
      </c>
      <c r="CA34" s="11">
        <f t="shared" si="14"/>
        <v>0</v>
      </c>
      <c r="CB34" s="11">
        <f t="shared" si="14"/>
        <v>0</v>
      </c>
      <c r="CC34" s="11">
        <f t="shared" si="14"/>
        <v>0</v>
      </c>
      <c r="CD34" s="11">
        <f t="shared" si="14"/>
        <v>0</v>
      </c>
      <c r="CE34" s="11">
        <f t="shared" si="14"/>
        <v>0</v>
      </c>
      <c r="CF34" s="11">
        <f t="shared" si="14"/>
        <v>0</v>
      </c>
      <c r="CG34" s="11">
        <f t="shared" si="14"/>
        <v>0</v>
      </c>
      <c r="CH34" s="11">
        <f t="shared" si="14"/>
        <v>0</v>
      </c>
      <c r="CI34" s="11">
        <f t="shared" si="14"/>
        <v>0</v>
      </c>
      <c r="CJ34" s="11">
        <f t="shared" si="14"/>
        <v>0</v>
      </c>
      <c r="CK34" s="11">
        <f t="shared" si="14"/>
        <v>0</v>
      </c>
      <c r="CL34" s="11">
        <f t="shared" si="14"/>
        <v>0</v>
      </c>
      <c r="CM34" s="11">
        <f t="shared" si="14"/>
        <v>0</v>
      </c>
      <c r="CN34" s="11">
        <f t="shared" si="14"/>
        <v>0</v>
      </c>
      <c r="CO34" s="11">
        <f t="shared" si="14"/>
        <v>0</v>
      </c>
      <c r="CP34" s="11">
        <f t="shared" si="14"/>
        <v>0</v>
      </c>
      <c r="CQ34" s="11">
        <f t="shared" si="14"/>
        <v>0</v>
      </c>
      <c r="CR34" s="11">
        <f t="shared" si="14"/>
        <v>0</v>
      </c>
      <c r="CS34" s="11">
        <f t="shared" si="14"/>
        <v>0</v>
      </c>
      <c r="CT34" s="11">
        <f t="shared" si="14"/>
        <v>0</v>
      </c>
      <c r="CU34" s="11">
        <f t="shared" si="14"/>
        <v>0</v>
      </c>
      <c r="CV34" s="11">
        <f t="shared" si="14"/>
        <v>0</v>
      </c>
      <c r="CW34" s="11">
        <f t="shared" si="14"/>
        <v>0</v>
      </c>
      <c r="CX34" s="11">
        <f t="shared" si="14"/>
        <v>0</v>
      </c>
      <c r="CY34" s="11">
        <f t="shared" si="14"/>
        <v>0</v>
      </c>
      <c r="CZ34" s="11">
        <f t="shared" si="14"/>
        <v>0</v>
      </c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</row>
    <row r="35" spans="1:122" ht="18" customHeight="1">
      <c r="A35" s="13" t="s">
        <v>23</v>
      </c>
      <c r="B35" s="14">
        <f>IFERROR(VLOOKUP(A35,PRICELIST!$A$3:$D$138,4,0),"-")</f>
        <v>60.11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9">
        <f t="shared" ref="CY35:CZ36" si="15">C35+E35+G35+I35+K35+M35+O35+Q35+S35+U35+W35+Y35+AA35+AC35+AE35+AG35+AI35+AK35+AM35+AO35+AQ35+AS35+AU35+AW35+AY35+BA35+BC35+BE35+BG35+BI35+BK35+BM35+BO35+BQ35+BS35+BU35+BW35+BY35+CA35+CC35+CE35+CG35+CI35+CK35+CM35+CO35+CQ35+CS35+CU35+CW35</f>
        <v>0</v>
      </c>
      <c r="CZ35" s="19">
        <f t="shared" si="15"/>
        <v>0</v>
      </c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</row>
    <row r="36" spans="1:122" ht="18" customHeight="1">
      <c r="A36" s="13" t="s">
        <v>24</v>
      </c>
      <c r="B36" s="14">
        <f>IFERROR(VLOOKUP(A36,PRICELIST!$A$3:$D$138,4,0),"-")</f>
        <v>91.2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9">
        <f t="shared" si="15"/>
        <v>0</v>
      </c>
      <c r="CZ36" s="19">
        <f t="shared" si="15"/>
        <v>0</v>
      </c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</row>
    <row r="37" spans="1:122" ht="18" customHeight="1">
      <c r="A37" s="9" t="s">
        <v>25</v>
      </c>
      <c r="B37" s="10"/>
      <c r="C37" s="11">
        <f>SUMPRODUCT($B35:$B36,C35:C36)</f>
        <v>0</v>
      </c>
      <c r="D37" s="11">
        <f t="shared" ref="D37:BO37" si="16">SUMPRODUCT($B35:$B36,D35:D36)</f>
        <v>0</v>
      </c>
      <c r="E37" s="11">
        <f t="shared" si="16"/>
        <v>0</v>
      </c>
      <c r="F37" s="11">
        <f t="shared" si="16"/>
        <v>0</v>
      </c>
      <c r="G37" s="11">
        <f t="shared" si="16"/>
        <v>0</v>
      </c>
      <c r="H37" s="11">
        <f t="shared" si="16"/>
        <v>0</v>
      </c>
      <c r="I37" s="11">
        <f t="shared" si="16"/>
        <v>0</v>
      </c>
      <c r="J37" s="11">
        <f t="shared" si="16"/>
        <v>0</v>
      </c>
      <c r="K37" s="11">
        <f t="shared" si="16"/>
        <v>0</v>
      </c>
      <c r="L37" s="11">
        <f t="shared" si="16"/>
        <v>0</v>
      </c>
      <c r="M37" s="11">
        <f t="shared" si="16"/>
        <v>0</v>
      </c>
      <c r="N37" s="11">
        <f t="shared" si="16"/>
        <v>0</v>
      </c>
      <c r="O37" s="11">
        <f t="shared" si="16"/>
        <v>0</v>
      </c>
      <c r="P37" s="11">
        <f t="shared" si="16"/>
        <v>0</v>
      </c>
      <c r="Q37" s="11">
        <f t="shared" si="16"/>
        <v>0</v>
      </c>
      <c r="R37" s="11">
        <f t="shared" si="16"/>
        <v>0</v>
      </c>
      <c r="S37" s="11">
        <f t="shared" si="16"/>
        <v>0</v>
      </c>
      <c r="T37" s="11">
        <f t="shared" si="16"/>
        <v>0</v>
      </c>
      <c r="U37" s="11">
        <f t="shared" si="16"/>
        <v>0</v>
      </c>
      <c r="V37" s="11">
        <f t="shared" si="16"/>
        <v>0</v>
      </c>
      <c r="W37" s="11">
        <f t="shared" si="16"/>
        <v>0</v>
      </c>
      <c r="X37" s="11">
        <f t="shared" si="16"/>
        <v>0</v>
      </c>
      <c r="Y37" s="11">
        <f t="shared" si="16"/>
        <v>0</v>
      </c>
      <c r="Z37" s="11">
        <f t="shared" si="16"/>
        <v>0</v>
      </c>
      <c r="AA37" s="11">
        <f t="shared" si="16"/>
        <v>0</v>
      </c>
      <c r="AB37" s="11">
        <f t="shared" si="16"/>
        <v>0</v>
      </c>
      <c r="AC37" s="11">
        <f t="shared" si="16"/>
        <v>0</v>
      </c>
      <c r="AD37" s="11">
        <f t="shared" si="16"/>
        <v>0</v>
      </c>
      <c r="AE37" s="11">
        <f t="shared" si="16"/>
        <v>0</v>
      </c>
      <c r="AF37" s="11">
        <f t="shared" si="16"/>
        <v>0</v>
      </c>
      <c r="AG37" s="11">
        <f t="shared" si="16"/>
        <v>0</v>
      </c>
      <c r="AH37" s="11">
        <f t="shared" si="16"/>
        <v>0</v>
      </c>
      <c r="AI37" s="11">
        <f t="shared" si="16"/>
        <v>0</v>
      </c>
      <c r="AJ37" s="11">
        <f t="shared" si="16"/>
        <v>0</v>
      </c>
      <c r="AK37" s="11">
        <f t="shared" si="16"/>
        <v>0</v>
      </c>
      <c r="AL37" s="11">
        <f t="shared" si="16"/>
        <v>0</v>
      </c>
      <c r="AM37" s="11">
        <f t="shared" si="16"/>
        <v>0</v>
      </c>
      <c r="AN37" s="11">
        <f t="shared" si="16"/>
        <v>0</v>
      </c>
      <c r="AO37" s="11">
        <f t="shared" si="16"/>
        <v>0</v>
      </c>
      <c r="AP37" s="11">
        <f t="shared" si="16"/>
        <v>0</v>
      </c>
      <c r="AQ37" s="11">
        <f t="shared" si="16"/>
        <v>0</v>
      </c>
      <c r="AR37" s="11">
        <f t="shared" si="16"/>
        <v>0</v>
      </c>
      <c r="AS37" s="11">
        <f t="shared" si="16"/>
        <v>0</v>
      </c>
      <c r="AT37" s="11">
        <f t="shared" si="16"/>
        <v>0</v>
      </c>
      <c r="AU37" s="11">
        <f t="shared" si="16"/>
        <v>0</v>
      </c>
      <c r="AV37" s="11">
        <f t="shared" si="16"/>
        <v>0</v>
      </c>
      <c r="AW37" s="11">
        <f t="shared" si="16"/>
        <v>0</v>
      </c>
      <c r="AX37" s="11">
        <f t="shared" si="16"/>
        <v>0</v>
      </c>
      <c r="AY37" s="11">
        <f t="shared" si="16"/>
        <v>0</v>
      </c>
      <c r="AZ37" s="11">
        <f t="shared" si="16"/>
        <v>0</v>
      </c>
      <c r="BA37" s="11">
        <f t="shared" si="16"/>
        <v>0</v>
      </c>
      <c r="BB37" s="11">
        <f t="shared" si="16"/>
        <v>0</v>
      </c>
      <c r="BC37" s="11">
        <f t="shared" si="16"/>
        <v>0</v>
      </c>
      <c r="BD37" s="11">
        <f t="shared" si="16"/>
        <v>0</v>
      </c>
      <c r="BE37" s="11">
        <f t="shared" si="16"/>
        <v>0</v>
      </c>
      <c r="BF37" s="11">
        <f t="shared" si="16"/>
        <v>0</v>
      </c>
      <c r="BG37" s="11">
        <f t="shared" si="16"/>
        <v>0</v>
      </c>
      <c r="BH37" s="11">
        <f t="shared" si="16"/>
        <v>0</v>
      </c>
      <c r="BI37" s="11">
        <f t="shared" si="16"/>
        <v>0</v>
      </c>
      <c r="BJ37" s="11">
        <f t="shared" si="16"/>
        <v>0</v>
      </c>
      <c r="BK37" s="11">
        <f t="shared" si="16"/>
        <v>0</v>
      </c>
      <c r="BL37" s="11">
        <f t="shared" si="16"/>
        <v>0</v>
      </c>
      <c r="BM37" s="11">
        <f t="shared" si="16"/>
        <v>0</v>
      </c>
      <c r="BN37" s="11">
        <f t="shared" si="16"/>
        <v>0</v>
      </c>
      <c r="BO37" s="11">
        <f t="shared" si="16"/>
        <v>0</v>
      </c>
      <c r="BP37" s="11">
        <f t="shared" ref="BP37:CZ37" si="17">SUMPRODUCT($B35:$B36,BP35:BP36)</f>
        <v>0</v>
      </c>
      <c r="BQ37" s="11">
        <f t="shared" si="17"/>
        <v>0</v>
      </c>
      <c r="BR37" s="11">
        <f t="shared" si="17"/>
        <v>0</v>
      </c>
      <c r="BS37" s="11">
        <f t="shared" si="17"/>
        <v>0</v>
      </c>
      <c r="BT37" s="11">
        <f t="shared" si="17"/>
        <v>0</v>
      </c>
      <c r="BU37" s="11">
        <f t="shared" si="17"/>
        <v>0</v>
      </c>
      <c r="BV37" s="11">
        <f t="shared" si="17"/>
        <v>0</v>
      </c>
      <c r="BW37" s="11">
        <f t="shared" si="17"/>
        <v>0</v>
      </c>
      <c r="BX37" s="11">
        <f t="shared" si="17"/>
        <v>0</v>
      </c>
      <c r="BY37" s="11">
        <f t="shared" si="17"/>
        <v>0</v>
      </c>
      <c r="BZ37" s="11">
        <f t="shared" si="17"/>
        <v>0</v>
      </c>
      <c r="CA37" s="11">
        <f t="shared" si="17"/>
        <v>0</v>
      </c>
      <c r="CB37" s="11">
        <f t="shared" si="17"/>
        <v>0</v>
      </c>
      <c r="CC37" s="11">
        <f t="shared" si="17"/>
        <v>0</v>
      </c>
      <c r="CD37" s="11">
        <f t="shared" si="17"/>
        <v>0</v>
      </c>
      <c r="CE37" s="11">
        <f t="shared" si="17"/>
        <v>0</v>
      </c>
      <c r="CF37" s="11">
        <f t="shared" si="17"/>
        <v>0</v>
      </c>
      <c r="CG37" s="11">
        <f t="shared" si="17"/>
        <v>0</v>
      </c>
      <c r="CH37" s="11">
        <f t="shared" si="17"/>
        <v>0</v>
      </c>
      <c r="CI37" s="11">
        <f t="shared" si="17"/>
        <v>0</v>
      </c>
      <c r="CJ37" s="11">
        <f t="shared" si="17"/>
        <v>0</v>
      </c>
      <c r="CK37" s="11">
        <f t="shared" si="17"/>
        <v>0</v>
      </c>
      <c r="CL37" s="11">
        <f t="shared" si="17"/>
        <v>0</v>
      </c>
      <c r="CM37" s="11">
        <f t="shared" si="17"/>
        <v>0</v>
      </c>
      <c r="CN37" s="11">
        <f t="shared" si="17"/>
        <v>0</v>
      </c>
      <c r="CO37" s="11">
        <f t="shared" si="17"/>
        <v>0</v>
      </c>
      <c r="CP37" s="11">
        <f t="shared" si="17"/>
        <v>0</v>
      </c>
      <c r="CQ37" s="11">
        <f t="shared" si="17"/>
        <v>0</v>
      </c>
      <c r="CR37" s="11">
        <f t="shared" si="17"/>
        <v>0</v>
      </c>
      <c r="CS37" s="11">
        <f t="shared" si="17"/>
        <v>0</v>
      </c>
      <c r="CT37" s="11">
        <f t="shared" si="17"/>
        <v>0</v>
      </c>
      <c r="CU37" s="11">
        <f t="shared" si="17"/>
        <v>0</v>
      </c>
      <c r="CV37" s="11">
        <f t="shared" si="17"/>
        <v>0</v>
      </c>
      <c r="CW37" s="11">
        <f t="shared" si="17"/>
        <v>0</v>
      </c>
      <c r="CX37" s="11">
        <f t="shared" si="17"/>
        <v>0</v>
      </c>
      <c r="CY37" s="11">
        <f t="shared" si="17"/>
        <v>0</v>
      </c>
      <c r="CZ37" s="11">
        <f t="shared" si="17"/>
        <v>0</v>
      </c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</row>
    <row r="38" spans="1:122" ht="18" customHeight="1">
      <c r="A38" s="13" t="s">
        <v>26</v>
      </c>
      <c r="B38" s="14">
        <f>IFERROR(VLOOKUP(A38,PRICELIST!$A$3:$D$138,4,0),"-")</f>
        <v>159.75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9">
        <f t="shared" ref="CY38:CZ39" si="18">C38+E38+G38+I38+K38+M38+O38+Q38+S38+U38+W38+Y38+AA38+AC38+AE38+AG38+AI38+AK38+AM38+AO38+AQ38+AS38+AU38+AW38+AY38+BA38+BC38+BE38+BG38+BI38+BK38+BM38+BO38+BQ38+BS38+BU38+BW38+BY38+CA38+CC38+CE38+CG38+CI38+CK38+CM38+CO38+CQ38+CS38+CU38+CW38</f>
        <v>0</v>
      </c>
      <c r="CZ38" s="19">
        <f t="shared" si="18"/>
        <v>0</v>
      </c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</row>
    <row r="39" spans="1:122" ht="18" customHeight="1">
      <c r="A39" s="13" t="s">
        <v>27</v>
      </c>
      <c r="B39" s="14">
        <f>IFERROR(VLOOKUP(A39,PRICELIST!$A$3:$D$138,4,0),"-")</f>
        <v>83.59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9">
        <f t="shared" si="18"/>
        <v>0</v>
      </c>
      <c r="CZ39" s="19">
        <f t="shared" si="18"/>
        <v>0</v>
      </c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</row>
    <row r="40" spans="1:122" ht="18" customHeight="1">
      <c r="A40" s="9" t="s">
        <v>28</v>
      </c>
      <c r="B40" s="10"/>
      <c r="C40" s="11">
        <f>SUMPRODUCT($B38:$B39,C38:C39)</f>
        <v>0</v>
      </c>
      <c r="D40" s="11">
        <f t="shared" ref="D40:BO40" si="19">SUMPRODUCT($B38:$B39,D38:D39)</f>
        <v>0</v>
      </c>
      <c r="E40" s="11">
        <f t="shared" si="19"/>
        <v>0</v>
      </c>
      <c r="F40" s="11">
        <f t="shared" si="19"/>
        <v>0</v>
      </c>
      <c r="G40" s="11">
        <f t="shared" si="19"/>
        <v>0</v>
      </c>
      <c r="H40" s="11">
        <f t="shared" si="19"/>
        <v>0</v>
      </c>
      <c r="I40" s="11">
        <f t="shared" si="19"/>
        <v>0</v>
      </c>
      <c r="J40" s="11">
        <f t="shared" si="19"/>
        <v>0</v>
      </c>
      <c r="K40" s="11">
        <f t="shared" si="19"/>
        <v>0</v>
      </c>
      <c r="L40" s="11">
        <f t="shared" si="19"/>
        <v>0</v>
      </c>
      <c r="M40" s="11">
        <f t="shared" si="19"/>
        <v>0</v>
      </c>
      <c r="N40" s="11">
        <f t="shared" si="19"/>
        <v>0</v>
      </c>
      <c r="O40" s="11">
        <f t="shared" si="19"/>
        <v>0</v>
      </c>
      <c r="P40" s="11">
        <f t="shared" si="19"/>
        <v>0</v>
      </c>
      <c r="Q40" s="11">
        <f t="shared" si="19"/>
        <v>0</v>
      </c>
      <c r="R40" s="11">
        <f t="shared" si="19"/>
        <v>0</v>
      </c>
      <c r="S40" s="11">
        <f t="shared" si="19"/>
        <v>0</v>
      </c>
      <c r="T40" s="11">
        <f t="shared" si="19"/>
        <v>0</v>
      </c>
      <c r="U40" s="11">
        <f t="shared" si="19"/>
        <v>0</v>
      </c>
      <c r="V40" s="11">
        <f t="shared" si="19"/>
        <v>0</v>
      </c>
      <c r="W40" s="11">
        <f t="shared" si="19"/>
        <v>0</v>
      </c>
      <c r="X40" s="11">
        <f t="shared" si="19"/>
        <v>0</v>
      </c>
      <c r="Y40" s="11">
        <f t="shared" si="19"/>
        <v>0</v>
      </c>
      <c r="Z40" s="11">
        <f t="shared" si="19"/>
        <v>0</v>
      </c>
      <c r="AA40" s="11">
        <f t="shared" si="19"/>
        <v>0</v>
      </c>
      <c r="AB40" s="11">
        <f t="shared" si="19"/>
        <v>0</v>
      </c>
      <c r="AC40" s="11">
        <f t="shared" si="19"/>
        <v>0</v>
      </c>
      <c r="AD40" s="11">
        <f t="shared" si="19"/>
        <v>0</v>
      </c>
      <c r="AE40" s="11">
        <f t="shared" si="19"/>
        <v>0</v>
      </c>
      <c r="AF40" s="11">
        <f t="shared" si="19"/>
        <v>0</v>
      </c>
      <c r="AG40" s="11">
        <f t="shared" si="19"/>
        <v>0</v>
      </c>
      <c r="AH40" s="11">
        <f t="shared" si="19"/>
        <v>0</v>
      </c>
      <c r="AI40" s="11">
        <f t="shared" si="19"/>
        <v>0</v>
      </c>
      <c r="AJ40" s="11">
        <f t="shared" si="19"/>
        <v>0</v>
      </c>
      <c r="AK40" s="11">
        <f t="shared" si="19"/>
        <v>0</v>
      </c>
      <c r="AL40" s="11">
        <f t="shared" si="19"/>
        <v>0</v>
      </c>
      <c r="AM40" s="11">
        <f t="shared" si="19"/>
        <v>0</v>
      </c>
      <c r="AN40" s="11">
        <f t="shared" si="19"/>
        <v>0</v>
      </c>
      <c r="AO40" s="11">
        <f t="shared" si="19"/>
        <v>0</v>
      </c>
      <c r="AP40" s="11">
        <f t="shared" si="19"/>
        <v>0</v>
      </c>
      <c r="AQ40" s="11">
        <f t="shared" si="19"/>
        <v>0</v>
      </c>
      <c r="AR40" s="11">
        <f t="shared" si="19"/>
        <v>0</v>
      </c>
      <c r="AS40" s="11">
        <f t="shared" si="19"/>
        <v>0</v>
      </c>
      <c r="AT40" s="11">
        <f t="shared" si="19"/>
        <v>0</v>
      </c>
      <c r="AU40" s="11">
        <f t="shared" si="19"/>
        <v>0</v>
      </c>
      <c r="AV40" s="11">
        <f t="shared" si="19"/>
        <v>0</v>
      </c>
      <c r="AW40" s="11">
        <f t="shared" si="19"/>
        <v>0</v>
      </c>
      <c r="AX40" s="11">
        <f t="shared" si="19"/>
        <v>0</v>
      </c>
      <c r="AY40" s="11">
        <f t="shared" si="19"/>
        <v>0</v>
      </c>
      <c r="AZ40" s="11">
        <f t="shared" si="19"/>
        <v>0</v>
      </c>
      <c r="BA40" s="11">
        <f t="shared" si="19"/>
        <v>0</v>
      </c>
      <c r="BB40" s="11">
        <f t="shared" si="19"/>
        <v>0</v>
      </c>
      <c r="BC40" s="11">
        <f t="shared" si="19"/>
        <v>0</v>
      </c>
      <c r="BD40" s="11">
        <f t="shared" si="19"/>
        <v>0</v>
      </c>
      <c r="BE40" s="11">
        <f t="shared" si="19"/>
        <v>0</v>
      </c>
      <c r="BF40" s="11">
        <f t="shared" si="19"/>
        <v>0</v>
      </c>
      <c r="BG40" s="11">
        <f t="shared" si="19"/>
        <v>0</v>
      </c>
      <c r="BH40" s="11">
        <f t="shared" si="19"/>
        <v>0</v>
      </c>
      <c r="BI40" s="11">
        <f t="shared" si="19"/>
        <v>0</v>
      </c>
      <c r="BJ40" s="11">
        <f t="shared" si="19"/>
        <v>0</v>
      </c>
      <c r="BK40" s="11">
        <f t="shared" si="19"/>
        <v>0</v>
      </c>
      <c r="BL40" s="11">
        <f t="shared" si="19"/>
        <v>0</v>
      </c>
      <c r="BM40" s="11">
        <f t="shared" si="19"/>
        <v>0</v>
      </c>
      <c r="BN40" s="11">
        <f t="shared" si="19"/>
        <v>0</v>
      </c>
      <c r="BO40" s="11">
        <f t="shared" si="19"/>
        <v>0</v>
      </c>
      <c r="BP40" s="11">
        <f t="shared" ref="BP40:CZ40" si="20">SUMPRODUCT($B38:$B39,BP38:BP39)</f>
        <v>0</v>
      </c>
      <c r="BQ40" s="11">
        <f t="shared" si="20"/>
        <v>0</v>
      </c>
      <c r="BR40" s="11">
        <f t="shared" si="20"/>
        <v>0</v>
      </c>
      <c r="BS40" s="11">
        <f t="shared" si="20"/>
        <v>0</v>
      </c>
      <c r="BT40" s="11">
        <f t="shared" si="20"/>
        <v>0</v>
      </c>
      <c r="BU40" s="11">
        <f t="shared" si="20"/>
        <v>0</v>
      </c>
      <c r="BV40" s="11">
        <f t="shared" si="20"/>
        <v>0</v>
      </c>
      <c r="BW40" s="11">
        <f t="shared" si="20"/>
        <v>0</v>
      </c>
      <c r="BX40" s="11">
        <f t="shared" si="20"/>
        <v>0</v>
      </c>
      <c r="BY40" s="11">
        <f t="shared" si="20"/>
        <v>0</v>
      </c>
      <c r="BZ40" s="11">
        <f t="shared" si="20"/>
        <v>0</v>
      </c>
      <c r="CA40" s="11">
        <f t="shared" si="20"/>
        <v>0</v>
      </c>
      <c r="CB40" s="11">
        <f t="shared" si="20"/>
        <v>0</v>
      </c>
      <c r="CC40" s="11">
        <f t="shared" si="20"/>
        <v>0</v>
      </c>
      <c r="CD40" s="11">
        <f t="shared" si="20"/>
        <v>0</v>
      </c>
      <c r="CE40" s="11">
        <f t="shared" si="20"/>
        <v>0</v>
      </c>
      <c r="CF40" s="11">
        <f t="shared" si="20"/>
        <v>0</v>
      </c>
      <c r="CG40" s="11">
        <f t="shared" si="20"/>
        <v>0</v>
      </c>
      <c r="CH40" s="11">
        <f t="shared" si="20"/>
        <v>0</v>
      </c>
      <c r="CI40" s="11">
        <f t="shared" si="20"/>
        <v>0</v>
      </c>
      <c r="CJ40" s="11">
        <f t="shared" si="20"/>
        <v>0</v>
      </c>
      <c r="CK40" s="11">
        <f t="shared" si="20"/>
        <v>0</v>
      </c>
      <c r="CL40" s="11">
        <f t="shared" si="20"/>
        <v>0</v>
      </c>
      <c r="CM40" s="11">
        <f t="shared" si="20"/>
        <v>0</v>
      </c>
      <c r="CN40" s="11">
        <f t="shared" si="20"/>
        <v>0</v>
      </c>
      <c r="CO40" s="11">
        <f t="shared" si="20"/>
        <v>0</v>
      </c>
      <c r="CP40" s="11">
        <f t="shared" si="20"/>
        <v>0</v>
      </c>
      <c r="CQ40" s="11">
        <f t="shared" si="20"/>
        <v>0</v>
      </c>
      <c r="CR40" s="11">
        <f t="shared" si="20"/>
        <v>0</v>
      </c>
      <c r="CS40" s="11">
        <f t="shared" si="20"/>
        <v>0</v>
      </c>
      <c r="CT40" s="11">
        <f t="shared" si="20"/>
        <v>0</v>
      </c>
      <c r="CU40" s="11">
        <f t="shared" si="20"/>
        <v>0</v>
      </c>
      <c r="CV40" s="11">
        <f t="shared" si="20"/>
        <v>0</v>
      </c>
      <c r="CW40" s="11">
        <f t="shared" si="20"/>
        <v>0</v>
      </c>
      <c r="CX40" s="11">
        <f t="shared" si="20"/>
        <v>0</v>
      </c>
      <c r="CY40" s="11">
        <f t="shared" si="20"/>
        <v>0</v>
      </c>
      <c r="CZ40" s="11">
        <f t="shared" si="20"/>
        <v>0</v>
      </c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</row>
    <row r="41" spans="1:122" ht="18" customHeight="1">
      <c r="A41" s="13" t="s">
        <v>29</v>
      </c>
      <c r="B41" s="14">
        <f>IFERROR(VLOOKUP(A41,PRICELIST!$A$3:$D$138,4,0),"-")</f>
        <v>78.790000000000006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9">
        <f t="shared" ref="CY41:CZ46" si="21">C41+E41+G41+I41+K41+M41+O41+Q41+S41+U41+W41+Y41+AA41+AC41+AE41+AG41+AI41+AK41+AM41+AO41+AQ41+AS41+AU41+AW41+AY41+BA41+BC41+BE41+BG41+BI41+BK41+BM41+BO41+BQ41+BS41+BU41+BW41+BY41+CA41+CC41+CE41+CG41+CI41+CK41+CM41+CO41+CQ41+CS41+CU41+CW41</f>
        <v>0</v>
      </c>
      <c r="CZ41" s="19">
        <f t="shared" si="21"/>
        <v>0</v>
      </c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</row>
    <row r="42" spans="1:122" ht="18" customHeight="1">
      <c r="A42" s="13" t="s">
        <v>30</v>
      </c>
      <c r="B42" s="14">
        <f>IFERROR(VLOOKUP(A42,PRICELIST!$A$3:$D$138,4,0),"-")</f>
        <v>142.29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9">
        <f t="shared" si="21"/>
        <v>0</v>
      </c>
      <c r="CZ42" s="19">
        <f t="shared" si="21"/>
        <v>0</v>
      </c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</row>
    <row r="43" spans="1:122" ht="18" customHeight="1">
      <c r="A43" s="13" t="s">
        <v>31</v>
      </c>
      <c r="B43" s="14">
        <f>IFERROR(VLOOKUP(A43,PRICELIST!$A$3:$D$138,4,0),"-")</f>
        <v>35.36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9">
        <f t="shared" si="21"/>
        <v>0</v>
      </c>
      <c r="CZ43" s="19">
        <f t="shared" si="21"/>
        <v>0</v>
      </c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</row>
    <row r="44" spans="1:122" ht="18" customHeight="1">
      <c r="A44" s="13" t="s">
        <v>32</v>
      </c>
      <c r="B44" s="14">
        <f>IFERROR(VLOOKUP(A44,PRICELIST!$A$3:$D$138,4,0),"-")</f>
        <v>175.18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9">
        <f t="shared" si="21"/>
        <v>0</v>
      </c>
      <c r="CZ44" s="19">
        <f t="shared" si="21"/>
        <v>0</v>
      </c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</row>
    <row r="45" spans="1:122" ht="18" customHeight="1">
      <c r="A45" s="13" t="s">
        <v>33</v>
      </c>
      <c r="B45" s="14">
        <f>IFERROR(VLOOKUP(A45,PRICELIST!$A$3:$D$138,4,0),"-")</f>
        <v>42.72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9">
        <f t="shared" si="21"/>
        <v>0</v>
      </c>
      <c r="CZ45" s="19">
        <f t="shared" si="21"/>
        <v>0</v>
      </c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</row>
    <row r="46" spans="1:122" ht="18" customHeight="1">
      <c r="A46" s="13" t="s">
        <v>34</v>
      </c>
      <c r="B46" s="14">
        <f>IFERROR(VLOOKUP(A46,PRICELIST!$A$3:$D$138,4,0),"-")</f>
        <v>84.28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9">
        <f t="shared" si="21"/>
        <v>0</v>
      </c>
      <c r="CZ46" s="19">
        <f t="shared" si="21"/>
        <v>0</v>
      </c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</row>
    <row r="47" spans="1:122" ht="18" customHeight="1">
      <c r="A47" s="9" t="s">
        <v>35</v>
      </c>
      <c r="B47" s="10"/>
      <c r="C47" s="11">
        <f>SUMPRODUCT($B41:$B46,C41:C46)</f>
        <v>0</v>
      </c>
      <c r="D47" s="11">
        <f t="shared" ref="D47:BO47" si="22">SUMPRODUCT($B41:$B46,D41:D46)</f>
        <v>0</v>
      </c>
      <c r="E47" s="11">
        <f t="shared" si="22"/>
        <v>0</v>
      </c>
      <c r="F47" s="11">
        <f t="shared" si="22"/>
        <v>0</v>
      </c>
      <c r="G47" s="11">
        <f t="shared" si="22"/>
        <v>0</v>
      </c>
      <c r="H47" s="11">
        <f t="shared" si="22"/>
        <v>0</v>
      </c>
      <c r="I47" s="11">
        <f t="shared" si="22"/>
        <v>0</v>
      </c>
      <c r="J47" s="11">
        <f t="shared" si="22"/>
        <v>0</v>
      </c>
      <c r="K47" s="11">
        <f t="shared" si="22"/>
        <v>0</v>
      </c>
      <c r="L47" s="11">
        <f t="shared" si="22"/>
        <v>0</v>
      </c>
      <c r="M47" s="11">
        <f t="shared" si="22"/>
        <v>0</v>
      </c>
      <c r="N47" s="11">
        <f t="shared" si="22"/>
        <v>0</v>
      </c>
      <c r="O47" s="11">
        <f t="shared" si="22"/>
        <v>0</v>
      </c>
      <c r="P47" s="11">
        <f t="shared" si="22"/>
        <v>0</v>
      </c>
      <c r="Q47" s="11">
        <f t="shared" si="22"/>
        <v>0</v>
      </c>
      <c r="R47" s="11">
        <f t="shared" si="22"/>
        <v>0</v>
      </c>
      <c r="S47" s="11">
        <f t="shared" si="22"/>
        <v>0</v>
      </c>
      <c r="T47" s="11">
        <f t="shared" si="22"/>
        <v>0</v>
      </c>
      <c r="U47" s="11">
        <f t="shared" si="22"/>
        <v>0</v>
      </c>
      <c r="V47" s="11">
        <f t="shared" si="22"/>
        <v>0</v>
      </c>
      <c r="W47" s="11">
        <f t="shared" si="22"/>
        <v>0</v>
      </c>
      <c r="X47" s="11">
        <f t="shared" si="22"/>
        <v>0</v>
      </c>
      <c r="Y47" s="11">
        <f t="shared" si="22"/>
        <v>0</v>
      </c>
      <c r="Z47" s="11">
        <f t="shared" si="22"/>
        <v>0</v>
      </c>
      <c r="AA47" s="11">
        <f t="shared" si="22"/>
        <v>0</v>
      </c>
      <c r="AB47" s="11">
        <f t="shared" si="22"/>
        <v>0</v>
      </c>
      <c r="AC47" s="11">
        <f t="shared" si="22"/>
        <v>0</v>
      </c>
      <c r="AD47" s="11">
        <f t="shared" si="22"/>
        <v>0</v>
      </c>
      <c r="AE47" s="11">
        <f t="shared" si="22"/>
        <v>0</v>
      </c>
      <c r="AF47" s="11">
        <f t="shared" si="22"/>
        <v>0</v>
      </c>
      <c r="AG47" s="11">
        <f t="shared" si="22"/>
        <v>0</v>
      </c>
      <c r="AH47" s="11">
        <f t="shared" si="22"/>
        <v>0</v>
      </c>
      <c r="AI47" s="11">
        <f t="shared" si="22"/>
        <v>0</v>
      </c>
      <c r="AJ47" s="11">
        <f t="shared" si="22"/>
        <v>0</v>
      </c>
      <c r="AK47" s="11">
        <f t="shared" si="22"/>
        <v>0</v>
      </c>
      <c r="AL47" s="11">
        <f t="shared" si="22"/>
        <v>0</v>
      </c>
      <c r="AM47" s="11">
        <f t="shared" si="22"/>
        <v>0</v>
      </c>
      <c r="AN47" s="11">
        <f t="shared" si="22"/>
        <v>0</v>
      </c>
      <c r="AO47" s="11">
        <f t="shared" si="22"/>
        <v>0</v>
      </c>
      <c r="AP47" s="11">
        <f t="shared" si="22"/>
        <v>0</v>
      </c>
      <c r="AQ47" s="11">
        <f t="shared" si="22"/>
        <v>0</v>
      </c>
      <c r="AR47" s="11">
        <f t="shared" si="22"/>
        <v>0</v>
      </c>
      <c r="AS47" s="11">
        <f t="shared" si="22"/>
        <v>0</v>
      </c>
      <c r="AT47" s="11">
        <f t="shared" si="22"/>
        <v>0</v>
      </c>
      <c r="AU47" s="11">
        <f t="shared" si="22"/>
        <v>0</v>
      </c>
      <c r="AV47" s="11">
        <f t="shared" si="22"/>
        <v>0</v>
      </c>
      <c r="AW47" s="11">
        <f t="shared" si="22"/>
        <v>0</v>
      </c>
      <c r="AX47" s="11">
        <f t="shared" si="22"/>
        <v>0</v>
      </c>
      <c r="AY47" s="11">
        <f t="shared" si="22"/>
        <v>0</v>
      </c>
      <c r="AZ47" s="11">
        <f t="shared" si="22"/>
        <v>0</v>
      </c>
      <c r="BA47" s="11">
        <f t="shared" si="22"/>
        <v>0</v>
      </c>
      <c r="BB47" s="11">
        <f t="shared" si="22"/>
        <v>0</v>
      </c>
      <c r="BC47" s="11">
        <f t="shared" si="22"/>
        <v>0</v>
      </c>
      <c r="BD47" s="11">
        <f t="shared" si="22"/>
        <v>0</v>
      </c>
      <c r="BE47" s="11">
        <f t="shared" si="22"/>
        <v>0</v>
      </c>
      <c r="BF47" s="11">
        <f t="shared" si="22"/>
        <v>0</v>
      </c>
      <c r="BG47" s="11">
        <f t="shared" si="22"/>
        <v>0</v>
      </c>
      <c r="BH47" s="11">
        <f t="shared" si="22"/>
        <v>0</v>
      </c>
      <c r="BI47" s="11">
        <f t="shared" si="22"/>
        <v>0</v>
      </c>
      <c r="BJ47" s="11">
        <f t="shared" si="22"/>
        <v>0</v>
      </c>
      <c r="BK47" s="11">
        <f t="shared" si="22"/>
        <v>0</v>
      </c>
      <c r="BL47" s="11">
        <f t="shared" si="22"/>
        <v>0</v>
      </c>
      <c r="BM47" s="11">
        <f t="shared" si="22"/>
        <v>0</v>
      </c>
      <c r="BN47" s="11">
        <f t="shared" si="22"/>
        <v>0</v>
      </c>
      <c r="BO47" s="11">
        <f t="shared" si="22"/>
        <v>0</v>
      </c>
      <c r="BP47" s="11">
        <f t="shared" ref="BP47:CZ47" si="23">SUMPRODUCT($B41:$B46,BP41:BP46)</f>
        <v>0</v>
      </c>
      <c r="BQ47" s="11">
        <f t="shared" si="23"/>
        <v>0</v>
      </c>
      <c r="BR47" s="11">
        <f t="shared" si="23"/>
        <v>0</v>
      </c>
      <c r="BS47" s="11">
        <f t="shared" si="23"/>
        <v>0</v>
      </c>
      <c r="BT47" s="11">
        <f t="shared" si="23"/>
        <v>0</v>
      </c>
      <c r="BU47" s="11">
        <f t="shared" si="23"/>
        <v>0</v>
      </c>
      <c r="BV47" s="11">
        <f t="shared" si="23"/>
        <v>0</v>
      </c>
      <c r="BW47" s="11">
        <f t="shared" si="23"/>
        <v>0</v>
      </c>
      <c r="BX47" s="11">
        <f t="shared" si="23"/>
        <v>0</v>
      </c>
      <c r="BY47" s="11">
        <f t="shared" si="23"/>
        <v>0</v>
      </c>
      <c r="BZ47" s="11">
        <f t="shared" si="23"/>
        <v>0</v>
      </c>
      <c r="CA47" s="11">
        <f t="shared" si="23"/>
        <v>0</v>
      </c>
      <c r="CB47" s="11">
        <f t="shared" si="23"/>
        <v>0</v>
      </c>
      <c r="CC47" s="11">
        <f t="shared" si="23"/>
        <v>0</v>
      </c>
      <c r="CD47" s="11">
        <f t="shared" si="23"/>
        <v>0</v>
      </c>
      <c r="CE47" s="11">
        <f t="shared" si="23"/>
        <v>0</v>
      </c>
      <c r="CF47" s="11">
        <f t="shared" si="23"/>
        <v>0</v>
      </c>
      <c r="CG47" s="11">
        <f t="shared" si="23"/>
        <v>0</v>
      </c>
      <c r="CH47" s="11">
        <f t="shared" si="23"/>
        <v>0</v>
      </c>
      <c r="CI47" s="11">
        <f t="shared" si="23"/>
        <v>0</v>
      </c>
      <c r="CJ47" s="11">
        <f t="shared" si="23"/>
        <v>0</v>
      </c>
      <c r="CK47" s="11">
        <f t="shared" si="23"/>
        <v>0</v>
      </c>
      <c r="CL47" s="11">
        <f t="shared" si="23"/>
        <v>0</v>
      </c>
      <c r="CM47" s="11">
        <f t="shared" si="23"/>
        <v>0</v>
      </c>
      <c r="CN47" s="11">
        <f t="shared" si="23"/>
        <v>0</v>
      </c>
      <c r="CO47" s="11">
        <f t="shared" si="23"/>
        <v>0</v>
      </c>
      <c r="CP47" s="11">
        <f t="shared" si="23"/>
        <v>0</v>
      </c>
      <c r="CQ47" s="11">
        <f t="shared" si="23"/>
        <v>0</v>
      </c>
      <c r="CR47" s="11">
        <f t="shared" si="23"/>
        <v>0</v>
      </c>
      <c r="CS47" s="11">
        <f t="shared" si="23"/>
        <v>0</v>
      </c>
      <c r="CT47" s="11">
        <f t="shared" si="23"/>
        <v>0</v>
      </c>
      <c r="CU47" s="11">
        <f t="shared" si="23"/>
        <v>0</v>
      </c>
      <c r="CV47" s="11">
        <f t="shared" si="23"/>
        <v>0</v>
      </c>
      <c r="CW47" s="11">
        <f t="shared" si="23"/>
        <v>0</v>
      </c>
      <c r="CX47" s="11">
        <f t="shared" si="23"/>
        <v>0</v>
      </c>
      <c r="CY47" s="11">
        <f t="shared" si="23"/>
        <v>0</v>
      </c>
      <c r="CZ47" s="11">
        <f t="shared" si="23"/>
        <v>0</v>
      </c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</row>
    <row r="48" spans="1:122" ht="18" customHeight="1">
      <c r="A48" s="4" t="s">
        <v>81</v>
      </c>
      <c r="B48" s="14">
        <f>IFERROR(VLOOKUP(A48,PRICELIST!$A$3:$D$138,4,0),"-")</f>
        <v>201.26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9">
        <f t="shared" ref="CY48:CZ48" si="24">C48+E48+G48+I48+K48+M48+O48+Q48+S48+U48+W48+Y48+AA48+AC48+AE48+AG48+AI48+AK48+AM48+AO48+AQ48+AS48+AU48+AW48+AY48+BA48+BC48+BE48+BG48+BI48+BK48+BM48+BO48+BQ48+BS48+BU48+BW48+BY48+CA48+CC48+CE48+CG48+CI48+CK48+CM48+CO48+CQ48+CS48+CU48+CW48</f>
        <v>0</v>
      </c>
      <c r="CZ48" s="19">
        <f t="shared" si="24"/>
        <v>0</v>
      </c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</row>
    <row r="49" spans="1:122" ht="18" customHeight="1">
      <c r="A49" s="9" t="s">
        <v>77</v>
      </c>
      <c r="B49" s="15"/>
      <c r="C49" s="11">
        <f>SUMPRODUCT($B48*C48)</f>
        <v>0</v>
      </c>
      <c r="D49" s="11">
        <f t="shared" ref="D49:BO49" si="25">SUMPRODUCT($B48*D48)</f>
        <v>0</v>
      </c>
      <c r="E49" s="11">
        <f t="shared" si="25"/>
        <v>0</v>
      </c>
      <c r="F49" s="11">
        <f t="shared" si="25"/>
        <v>0</v>
      </c>
      <c r="G49" s="11">
        <f t="shared" si="25"/>
        <v>0</v>
      </c>
      <c r="H49" s="11">
        <f t="shared" si="25"/>
        <v>0</v>
      </c>
      <c r="I49" s="11">
        <f t="shared" si="25"/>
        <v>0</v>
      </c>
      <c r="J49" s="11">
        <f t="shared" si="25"/>
        <v>0</v>
      </c>
      <c r="K49" s="11">
        <f t="shared" si="25"/>
        <v>0</v>
      </c>
      <c r="L49" s="11">
        <f t="shared" si="25"/>
        <v>0</v>
      </c>
      <c r="M49" s="11">
        <f t="shared" si="25"/>
        <v>0</v>
      </c>
      <c r="N49" s="11">
        <f t="shared" si="25"/>
        <v>0</v>
      </c>
      <c r="O49" s="11">
        <f t="shared" si="25"/>
        <v>0</v>
      </c>
      <c r="P49" s="11">
        <f t="shared" si="25"/>
        <v>0</v>
      </c>
      <c r="Q49" s="11">
        <f t="shared" si="25"/>
        <v>0</v>
      </c>
      <c r="R49" s="11">
        <f t="shared" si="25"/>
        <v>0</v>
      </c>
      <c r="S49" s="11">
        <f t="shared" si="25"/>
        <v>0</v>
      </c>
      <c r="T49" s="11">
        <f t="shared" si="25"/>
        <v>0</v>
      </c>
      <c r="U49" s="11">
        <f t="shared" si="25"/>
        <v>0</v>
      </c>
      <c r="V49" s="11">
        <f t="shared" si="25"/>
        <v>0</v>
      </c>
      <c r="W49" s="11">
        <f t="shared" si="25"/>
        <v>0</v>
      </c>
      <c r="X49" s="11">
        <f t="shared" si="25"/>
        <v>0</v>
      </c>
      <c r="Y49" s="11">
        <f t="shared" si="25"/>
        <v>0</v>
      </c>
      <c r="Z49" s="11">
        <f t="shared" si="25"/>
        <v>0</v>
      </c>
      <c r="AA49" s="11">
        <f t="shared" si="25"/>
        <v>0</v>
      </c>
      <c r="AB49" s="11">
        <f t="shared" si="25"/>
        <v>0</v>
      </c>
      <c r="AC49" s="11">
        <f t="shared" si="25"/>
        <v>0</v>
      </c>
      <c r="AD49" s="11">
        <f t="shared" si="25"/>
        <v>0</v>
      </c>
      <c r="AE49" s="11">
        <f t="shared" si="25"/>
        <v>0</v>
      </c>
      <c r="AF49" s="11">
        <f t="shared" si="25"/>
        <v>0</v>
      </c>
      <c r="AG49" s="11">
        <f t="shared" si="25"/>
        <v>0</v>
      </c>
      <c r="AH49" s="11">
        <f t="shared" si="25"/>
        <v>0</v>
      </c>
      <c r="AI49" s="11">
        <f t="shared" si="25"/>
        <v>0</v>
      </c>
      <c r="AJ49" s="11">
        <f t="shared" si="25"/>
        <v>0</v>
      </c>
      <c r="AK49" s="11">
        <f t="shared" si="25"/>
        <v>0</v>
      </c>
      <c r="AL49" s="11">
        <f t="shared" si="25"/>
        <v>0</v>
      </c>
      <c r="AM49" s="11">
        <f t="shared" si="25"/>
        <v>0</v>
      </c>
      <c r="AN49" s="11">
        <f t="shared" si="25"/>
        <v>0</v>
      </c>
      <c r="AO49" s="11">
        <f t="shared" si="25"/>
        <v>0</v>
      </c>
      <c r="AP49" s="11">
        <f t="shared" si="25"/>
        <v>0</v>
      </c>
      <c r="AQ49" s="11">
        <f t="shared" si="25"/>
        <v>0</v>
      </c>
      <c r="AR49" s="11">
        <f t="shared" si="25"/>
        <v>0</v>
      </c>
      <c r="AS49" s="11">
        <f t="shared" si="25"/>
        <v>0</v>
      </c>
      <c r="AT49" s="11">
        <f t="shared" si="25"/>
        <v>0</v>
      </c>
      <c r="AU49" s="11">
        <f t="shared" si="25"/>
        <v>0</v>
      </c>
      <c r="AV49" s="11">
        <f t="shared" si="25"/>
        <v>0</v>
      </c>
      <c r="AW49" s="11">
        <f t="shared" si="25"/>
        <v>0</v>
      </c>
      <c r="AX49" s="11">
        <f t="shared" si="25"/>
        <v>0</v>
      </c>
      <c r="AY49" s="11">
        <f t="shared" si="25"/>
        <v>0</v>
      </c>
      <c r="AZ49" s="11">
        <f t="shared" si="25"/>
        <v>0</v>
      </c>
      <c r="BA49" s="11">
        <f t="shared" si="25"/>
        <v>0</v>
      </c>
      <c r="BB49" s="11">
        <f t="shared" si="25"/>
        <v>0</v>
      </c>
      <c r="BC49" s="11">
        <f t="shared" si="25"/>
        <v>0</v>
      </c>
      <c r="BD49" s="11">
        <f t="shared" si="25"/>
        <v>0</v>
      </c>
      <c r="BE49" s="11">
        <f t="shared" si="25"/>
        <v>0</v>
      </c>
      <c r="BF49" s="11">
        <f t="shared" si="25"/>
        <v>0</v>
      </c>
      <c r="BG49" s="11">
        <f t="shared" si="25"/>
        <v>0</v>
      </c>
      <c r="BH49" s="11">
        <f t="shared" si="25"/>
        <v>0</v>
      </c>
      <c r="BI49" s="11">
        <f t="shared" si="25"/>
        <v>0</v>
      </c>
      <c r="BJ49" s="11">
        <f t="shared" si="25"/>
        <v>0</v>
      </c>
      <c r="BK49" s="11">
        <f t="shared" si="25"/>
        <v>0</v>
      </c>
      <c r="BL49" s="11">
        <f t="shared" si="25"/>
        <v>0</v>
      </c>
      <c r="BM49" s="11">
        <f t="shared" si="25"/>
        <v>0</v>
      </c>
      <c r="BN49" s="11">
        <f t="shared" si="25"/>
        <v>0</v>
      </c>
      <c r="BO49" s="11">
        <f t="shared" si="25"/>
        <v>0</v>
      </c>
      <c r="BP49" s="11">
        <f t="shared" ref="BP49:CZ49" si="26">SUMPRODUCT($B48*BP48)</f>
        <v>0</v>
      </c>
      <c r="BQ49" s="11">
        <f t="shared" si="26"/>
        <v>0</v>
      </c>
      <c r="BR49" s="11">
        <f t="shared" si="26"/>
        <v>0</v>
      </c>
      <c r="BS49" s="11">
        <f t="shared" si="26"/>
        <v>0</v>
      </c>
      <c r="BT49" s="11">
        <f t="shared" si="26"/>
        <v>0</v>
      </c>
      <c r="BU49" s="11">
        <f t="shared" si="26"/>
        <v>0</v>
      </c>
      <c r="BV49" s="11">
        <f t="shared" si="26"/>
        <v>0</v>
      </c>
      <c r="BW49" s="11">
        <f t="shared" si="26"/>
        <v>0</v>
      </c>
      <c r="BX49" s="11">
        <f t="shared" si="26"/>
        <v>0</v>
      </c>
      <c r="BY49" s="11">
        <f t="shared" si="26"/>
        <v>0</v>
      </c>
      <c r="BZ49" s="11">
        <f t="shared" si="26"/>
        <v>0</v>
      </c>
      <c r="CA49" s="11">
        <f t="shared" si="26"/>
        <v>0</v>
      </c>
      <c r="CB49" s="11">
        <f t="shared" si="26"/>
        <v>0</v>
      </c>
      <c r="CC49" s="11">
        <f t="shared" si="26"/>
        <v>0</v>
      </c>
      <c r="CD49" s="11">
        <f t="shared" si="26"/>
        <v>0</v>
      </c>
      <c r="CE49" s="11">
        <f t="shared" si="26"/>
        <v>0</v>
      </c>
      <c r="CF49" s="11">
        <f t="shared" si="26"/>
        <v>0</v>
      </c>
      <c r="CG49" s="11">
        <f t="shared" si="26"/>
        <v>0</v>
      </c>
      <c r="CH49" s="11">
        <f t="shared" si="26"/>
        <v>0</v>
      </c>
      <c r="CI49" s="11">
        <f t="shared" si="26"/>
        <v>0</v>
      </c>
      <c r="CJ49" s="11">
        <f t="shared" si="26"/>
        <v>0</v>
      </c>
      <c r="CK49" s="11">
        <f t="shared" si="26"/>
        <v>0</v>
      </c>
      <c r="CL49" s="11">
        <f t="shared" si="26"/>
        <v>0</v>
      </c>
      <c r="CM49" s="11">
        <f t="shared" si="26"/>
        <v>0</v>
      </c>
      <c r="CN49" s="11">
        <f t="shared" si="26"/>
        <v>0</v>
      </c>
      <c r="CO49" s="11">
        <f t="shared" si="26"/>
        <v>0</v>
      </c>
      <c r="CP49" s="11">
        <f t="shared" si="26"/>
        <v>0</v>
      </c>
      <c r="CQ49" s="11">
        <f t="shared" si="26"/>
        <v>0</v>
      </c>
      <c r="CR49" s="11">
        <f t="shared" si="26"/>
        <v>0</v>
      </c>
      <c r="CS49" s="11">
        <f t="shared" si="26"/>
        <v>0</v>
      </c>
      <c r="CT49" s="11">
        <f t="shared" si="26"/>
        <v>0</v>
      </c>
      <c r="CU49" s="11">
        <f t="shared" si="26"/>
        <v>0</v>
      </c>
      <c r="CV49" s="11">
        <f t="shared" si="26"/>
        <v>0</v>
      </c>
      <c r="CW49" s="11">
        <f t="shared" si="26"/>
        <v>0</v>
      </c>
      <c r="CX49" s="11">
        <f t="shared" si="26"/>
        <v>0</v>
      </c>
      <c r="CY49" s="11">
        <f t="shared" si="26"/>
        <v>0</v>
      </c>
      <c r="CZ49" s="11">
        <f t="shared" si="26"/>
        <v>0</v>
      </c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</row>
    <row r="50" spans="1:122" ht="18" customHeight="1">
      <c r="A50" s="4" t="s">
        <v>82</v>
      </c>
      <c r="B50" s="14">
        <f>IFERROR(VLOOKUP(A50,PRICELIST!$A$3:$D$138,4,0),"-")</f>
        <v>170.19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9">
        <f t="shared" ref="CY50:CZ52" si="27">C50+E50+G50+I50+K50+M50+O50+Q50+S50+U50+W50+Y50+AA50+AC50+AE50+AG50+AI50+AK50+AM50+AO50+AQ50+AS50+AU50+AW50+AY50+BA50+BC50+BE50+BG50+BI50+BK50+BM50+BO50+BQ50+BS50+BU50+BW50+BY50+CA50+CC50+CE50+CG50+CI50+CK50+CM50+CO50+CQ50+CS50+CU50+CW50</f>
        <v>0</v>
      </c>
      <c r="CZ50" s="19">
        <f t="shared" si="27"/>
        <v>0</v>
      </c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</row>
    <row r="51" spans="1:122" ht="18" customHeight="1">
      <c r="A51" s="4" t="s">
        <v>83</v>
      </c>
      <c r="B51" s="14">
        <f>IFERROR(VLOOKUP(A51,PRICELIST!$A$3:$D$138,4,0),"-")</f>
        <v>209.89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9">
        <f t="shared" si="27"/>
        <v>0</v>
      </c>
      <c r="CZ51" s="19">
        <f t="shared" si="27"/>
        <v>0</v>
      </c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</row>
    <row r="52" spans="1:122" ht="18" customHeight="1">
      <c r="A52" s="4" t="s">
        <v>84</v>
      </c>
      <c r="B52" s="14">
        <f>IFERROR(VLOOKUP(A52,PRICELIST!$A$3:$D$138,4,0),"-")</f>
        <v>302.79000000000002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9">
        <f t="shared" si="27"/>
        <v>0</v>
      </c>
      <c r="CZ52" s="19">
        <f t="shared" si="27"/>
        <v>0</v>
      </c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</row>
    <row r="53" spans="1:122" ht="18" customHeight="1">
      <c r="A53" s="9" t="s">
        <v>89</v>
      </c>
      <c r="B53" s="15"/>
      <c r="C53" s="11">
        <f>SUMPRODUCT($B50:$B52,C50:C52)</f>
        <v>0</v>
      </c>
      <c r="D53" s="11">
        <f t="shared" ref="D53:BO53" si="28">SUMPRODUCT($B50:$B52,D50:D52)</f>
        <v>0</v>
      </c>
      <c r="E53" s="11">
        <f t="shared" si="28"/>
        <v>0</v>
      </c>
      <c r="F53" s="11">
        <f t="shared" si="28"/>
        <v>0</v>
      </c>
      <c r="G53" s="11">
        <f t="shared" si="28"/>
        <v>0</v>
      </c>
      <c r="H53" s="11">
        <f t="shared" si="28"/>
        <v>0</v>
      </c>
      <c r="I53" s="11">
        <f t="shared" si="28"/>
        <v>0</v>
      </c>
      <c r="J53" s="11">
        <f t="shared" si="28"/>
        <v>0</v>
      </c>
      <c r="K53" s="11">
        <f t="shared" si="28"/>
        <v>0</v>
      </c>
      <c r="L53" s="11">
        <f t="shared" si="28"/>
        <v>0</v>
      </c>
      <c r="M53" s="11">
        <f t="shared" si="28"/>
        <v>0</v>
      </c>
      <c r="N53" s="11">
        <f t="shared" si="28"/>
        <v>0</v>
      </c>
      <c r="O53" s="11">
        <f t="shared" si="28"/>
        <v>0</v>
      </c>
      <c r="P53" s="11">
        <f t="shared" si="28"/>
        <v>0</v>
      </c>
      <c r="Q53" s="11">
        <f t="shared" si="28"/>
        <v>0</v>
      </c>
      <c r="R53" s="11">
        <f t="shared" si="28"/>
        <v>0</v>
      </c>
      <c r="S53" s="11">
        <f t="shared" si="28"/>
        <v>0</v>
      </c>
      <c r="T53" s="11">
        <f t="shared" si="28"/>
        <v>0</v>
      </c>
      <c r="U53" s="11">
        <f t="shared" si="28"/>
        <v>0</v>
      </c>
      <c r="V53" s="11">
        <f t="shared" si="28"/>
        <v>0</v>
      </c>
      <c r="W53" s="11">
        <f t="shared" si="28"/>
        <v>0</v>
      </c>
      <c r="X53" s="11">
        <f t="shared" si="28"/>
        <v>0</v>
      </c>
      <c r="Y53" s="11">
        <f t="shared" si="28"/>
        <v>0</v>
      </c>
      <c r="Z53" s="11">
        <f t="shared" si="28"/>
        <v>0</v>
      </c>
      <c r="AA53" s="11">
        <f t="shared" si="28"/>
        <v>0</v>
      </c>
      <c r="AB53" s="11">
        <f t="shared" si="28"/>
        <v>0</v>
      </c>
      <c r="AC53" s="11">
        <f t="shared" si="28"/>
        <v>0</v>
      </c>
      <c r="AD53" s="11">
        <f t="shared" si="28"/>
        <v>0</v>
      </c>
      <c r="AE53" s="11">
        <f t="shared" si="28"/>
        <v>0</v>
      </c>
      <c r="AF53" s="11">
        <f t="shared" si="28"/>
        <v>0</v>
      </c>
      <c r="AG53" s="11">
        <f t="shared" si="28"/>
        <v>0</v>
      </c>
      <c r="AH53" s="11">
        <f t="shared" si="28"/>
        <v>0</v>
      </c>
      <c r="AI53" s="11">
        <f t="shared" si="28"/>
        <v>0</v>
      </c>
      <c r="AJ53" s="11">
        <f t="shared" si="28"/>
        <v>0</v>
      </c>
      <c r="AK53" s="11">
        <f t="shared" si="28"/>
        <v>0</v>
      </c>
      <c r="AL53" s="11">
        <f t="shared" si="28"/>
        <v>0</v>
      </c>
      <c r="AM53" s="11">
        <f t="shared" si="28"/>
        <v>0</v>
      </c>
      <c r="AN53" s="11">
        <f t="shared" si="28"/>
        <v>0</v>
      </c>
      <c r="AO53" s="11">
        <f t="shared" si="28"/>
        <v>0</v>
      </c>
      <c r="AP53" s="11">
        <f t="shared" si="28"/>
        <v>0</v>
      </c>
      <c r="AQ53" s="11">
        <f t="shared" si="28"/>
        <v>0</v>
      </c>
      <c r="AR53" s="11">
        <f t="shared" si="28"/>
        <v>0</v>
      </c>
      <c r="AS53" s="11">
        <f t="shared" si="28"/>
        <v>0</v>
      </c>
      <c r="AT53" s="11">
        <f t="shared" si="28"/>
        <v>0</v>
      </c>
      <c r="AU53" s="11">
        <f t="shared" si="28"/>
        <v>0</v>
      </c>
      <c r="AV53" s="11">
        <f t="shared" si="28"/>
        <v>0</v>
      </c>
      <c r="AW53" s="11">
        <f t="shared" si="28"/>
        <v>0</v>
      </c>
      <c r="AX53" s="11">
        <f t="shared" si="28"/>
        <v>0</v>
      </c>
      <c r="AY53" s="11">
        <f t="shared" si="28"/>
        <v>0</v>
      </c>
      <c r="AZ53" s="11">
        <f t="shared" si="28"/>
        <v>0</v>
      </c>
      <c r="BA53" s="11">
        <f t="shared" si="28"/>
        <v>0</v>
      </c>
      <c r="BB53" s="11">
        <f t="shared" si="28"/>
        <v>0</v>
      </c>
      <c r="BC53" s="11">
        <f t="shared" si="28"/>
        <v>0</v>
      </c>
      <c r="BD53" s="11">
        <f t="shared" si="28"/>
        <v>0</v>
      </c>
      <c r="BE53" s="11">
        <f t="shared" si="28"/>
        <v>0</v>
      </c>
      <c r="BF53" s="11">
        <f t="shared" si="28"/>
        <v>0</v>
      </c>
      <c r="BG53" s="11">
        <f t="shared" si="28"/>
        <v>0</v>
      </c>
      <c r="BH53" s="11">
        <f t="shared" si="28"/>
        <v>0</v>
      </c>
      <c r="BI53" s="11">
        <f t="shared" si="28"/>
        <v>0</v>
      </c>
      <c r="BJ53" s="11">
        <f t="shared" si="28"/>
        <v>0</v>
      </c>
      <c r="BK53" s="11">
        <f t="shared" si="28"/>
        <v>0</v>
      </c>
      <c r="BL53" s="11">
        <f t="shared" si="28"/>
        <v>0</v>
      </c>
      <c r="BM53" s="11">
        <f t="shared" si="28"/>
        <v>0</v>
      </c>
      <c r="BN53" s="11">
        <f t="shared" si="28"/>
        <v>0</v>
      </c>
      <c r="BO53" s="11">
        <f t="shared" si="28"/>
        <v>0</v>
      </c>
      <c r="BP53" s="11">
        <f t="shared" ref="BP53:CZ53" si="29">SUMPRODUCT($B50:$B52,BP50:BP52)</f>
        <v>0</v>
      </c>
      <c r="BQ53" s="11">
        <f t="shared" si="29"/>
        <v>0</v>
      </c>
      <c r="BR53" s="11">
        <f t="shared" si="29"/>
        <v>0</v>
      </c>
      <c r="BS53" s="11">
        <f t="shared" si="29"/>
        <v>0</v>
      </c>
      <c r="BT53" s="11">
        <f t="shared" si="29"/>
        <v>0</v>
      </c>
      <c r="BU53" s="11">
        <f t="shared" si="29"/>
        <v>0</v>
      </c>
      <c r="BV53" s="11">
        <f t="shared" si="29"/>
        <v>0</v>
      </c>
      <c r="BW53" s="11">
        <f t="shared" si="29"/>
        <v>0</v>
      </c>
      <c r="BX53" s="11">
        <f t="shared" si="29"/>
        <v>0</v>
      </c>
      <c r="BY53" s="11">
        <f t="shared" si="29"/>
        <v>0</v>
      </c>
      <c r="BZ53" s="11">
        <f t="shared" si="29"/>
        <v>0</v>
      </c>
      <c r="CA53" s="11">
        <f t="shared" si="29"/>
        <v>0</v>
      </c>
      <c r="CB53" s="11">
        <f t="shared" si="29"/>
        <v>0</v>
      </c>
      <c r="CC53" s="11">
        <f t="shared" si="29"/>
        <v>0</v>
      </c>
      <c r="CD53" s="11">
        <f t="shared" si="29"/>
        <v>0</v>
      </c>
      <c r="CE53" s="11">
        <f t="shared" si="29"/>
        <v>0</v>
      </c>
      <c r="CF53" s="11">
        <f t="shared" si="29"/>
        <v>0</v>
      </c>
      <c r="CG53" s="11">
        <f t="shared" si="29"/>
        <v>0</v>
      </c>
      <c r="CH53" s="11">
        <f t="shared" si="29"/>
        <v>0</v>
      </c>
      <c r="CI53" s="11">
        <f t="shared" si="29"/>
        <v>0</v>
      </c>
      <c r="CJ53" s="11">
        <f t="shared" si="29"/>
        <v>0</v>
      </c>
      <c r="CK53" s="11">
        <f t="shared" si="29"/>
        <v>0</v>
      </c>
      <c r="CL53" s="11">
        <f t="shared" si="29"/>
        <v>0</v>
      </c>
      <c r="CM53" s="11">
        <f t="shared" si="29"/>
        <v>0</v>
      </c>
      <c r="CN53" s="11">
        <f t="shared" si="29"/>
        <v>0</v>
      </c>
      <c r="CO53" s="11">
        <f t="shared" si="29"/>
        <v>0</v>
      </c>
      <c r="CP53" s="11">
        <f t="shared" si="29"/>
        <v>0</v>
      </c>
      <c r="CQ53" s="11">
        <f t="shared" si="29"/>
        <v>0</v>
      </c>
      <c r="CR53" s="11">
        <f t="shared" si="29"/>
        <v>0</v>
      </c>
      <c r="CS53" s="11">
        <f t="shared" si="29"/>
        <v>0</v>
      </c>
      <c r="CT53" s="11">
        <f t="shared" si="29"/>
        <v>0</v>
      </c>
      <c r="CU53" s="11">
        <f t="shared" si="29"/>
        <v>0</v>
      </c>
      <c r="CV53" s="11">
        <f t="shared" si="29"/>
        <v>0</v>
      </c>
      <c r="CW53" s="11">
        <f t="shared" si="29"/>
        <v>0</v>
      </c>
      <c r="CX53" s="11">
        <f t="shared" si="29"/>
        <v>0</v>
      </c>
      <c r="CY53" s="11">
        <f t="shared" si="29"/>
        <v>0</v>
      </c>
      <c r="CZ53" s="11">
        <f t="shared" si="29"/>
        <v>0</v>
      </c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</row>
    <row r="54" spans="1:122" ht="18" customHeight="1">
      <c r="A54" s="13" t="s">
        <v>36</v>
      </c>
      <c r="B54" s="14">
        <f>IFERROR(VLOOKUP(A54,PRICELIST!$A$3:$D$138,4,0),"-")</f>
        <v>508.18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9">
        <f t="shared" ref="CY54:CZ58" si="30">C54+E54+G54+I54+K54+M54+O54+Q54+S54+U54+W54+Y54+AA54+AC54+AE54+AG54+AI54+AK54+AM54+AO54+AQ54+AS54+AU54+AW54+AY54+BA54+BC54+BE54+BG54+BI54+BK54+BM54+BO54+BQ54+BS54+BU54+BW54+BY54+CA54+CC54+CE54+CG54+CI54+CK54+CM54+CO54+CQ54+CS54+CU54+CW54</f>
        <v>0</v>
      </c>
      <c r="CZ54" s="19">
        <f t="shared" si="30"/>
        <v>0</v>
      </c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</row>
    <row r="55" spans="1:122" ht="18" customHeight="1">
      <c r="A55" s="13" t="s">
        <v>37</v>
      </c>
      <c r="B55" s="14">
        <f>IFERROR(VLOOKUP(A55,PRICELIST!$A$3:$D$138,4,0),"-")</f>
        <v>115.71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9">
        <f t="shared" si="30"/>
        <v>0</v>
      </c>
      <c r="CZ55" s="19">
        <f t="shared" si="30"/>
        <v>0</v>
      </c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</row>
    <row r="56" spans="1:122" ht="18" customHeight="1">
      <c r="A56" s="13" t="s">
        <v>38</v>
      </c>
      <c r="B56" s="14">
        <f>IFERROR(VLOOKUP(A56,PRICELIST!$A$3:$D$138,4,0),"-")</f>
        <v>207.64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9">
        <f t="shared" si="30"/>
        <v>0</v>
      </c>
      <c r="CZ56" s="19">
        <f t="shared" si="30"/>
        <v>0</v>
      </c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</row>
    <row r="57" spans="1:122" ht="18" customHeight="1">
      <c r="A57" s="13" t="s">
        <v>39</v>
      </c>
      <c r="B57" s="14">
        <f>IFERROR(VLOOKUP(A57,PRICELIST!$A$3:$D$138,4,0),"-")</f>
        <v>576.96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9">
        <f t="shared" si="30"/>
        <v>0</v>
      </c>
      <c r="CZ57" s="19">
        <f t="shared" si="30"/>
        <v>0</v>
      </c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</row>
    <row r="58" spans="1:122" ht="18" customHeight="1">
      <c r="A58" s="13" t="s">
        <v>40</v>
      </c>
      <c r="B58" s="14">
        <f>IFERROR(VLOOKUP(A58,PRICELIST!$A$3:$D$138,4,0),"-")</f>
        <v>635.30999999999995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9">
        <f t="shared" si="30"/>
        <v>0</v>
      </c>
      <c r="CZ58" s="19">
        <f t="shared" si="30"/>
        <v>0</v>
      </c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</row>
    <row r="59" spans="1:122" ht="18" customHeight="1">
      <c r="A59" s="9" t="s">
        <v>41</v>
      </c>
      <c r="B59" s="10"/>
      <c r="C59" s="11">
        <f>SUMPRODUCT($B54:$B58,C54:C58)</f>
        <v>0</v>
      </c>
      <c r="D59" s="11">
        <f t="shared" ref="D59:BO59" si="31">SUMPRODUCT($B54:$B58,D54:D58)</f>
        <v>0</v>
      </c>
      <c r="E59" s="11">
        <f t="shared" si="31"/>
        <v>0</v>
      </c>
      <c r="F59" s="11">
        <f t="shared" si="31"/>
        <v>0</v>
      </c>
      <c r="G59" s="11">
        <f t="shared" si="31"/>
        <v>0</v>
      </c>
      <c r="H59" s="11">
        <f t="shared" si="31"/>
        <v>0</v>
      </c>
      <c r="I59" s="11">
        <f t="shared" si="31"/>
        <v>0</v>
      </c>
      <c r="J59" s="11">
        <f t="shared" si="31"/>
        <v>0</v>
      </c>
      <c r="K59" s="11">
        <f t="shared" si="31"/>
        <v>0</v>
      </c>
      <c r="L59" s="11">
        <f t="shared" si="31"/>
        <v>0</v>
      </c>
      <c r="M59" s="11">
        <f t="shared" si="31"/>
        <v>0</v>
      </c>
      <c r="N59" s="11">
        <f t="shared" si="31"/>
        <v>0</v>
      </c>
      <c r="O59" s="11">
        <f t="shared" si="31"/>
        <v>0</v>
      </c>
      <c r="P59" s="11">
        <f t="shared" si="31"/>
        <v>0</v>
      </c>
      <c r="Q59" s="11">
        <f t="shared" si="31"/>
        <v>0</v>
      </c>
      <c r="R59" s="11">
        <f t="shared" si="31"/>
        <v>0</v>
      </c>
      <c r="S59" s="11">
        <f t="shared" si="31"/>
        <v>0</v>
      </c>
      <c r="T59" s="11">
        <f t="shared" si="31"/>
        <v>0</v>
      </c>
      <c r="U59" s="11">
        <f t="shared" si="31"/>
        <v>0</v>
      </c>
      <c r="V59" s="11">
        <f t="shared" si="31"/>
        <v>0</v>
      </c>
      <c r="W59" s="11">
        <f t="shared" si="31"/>
        <v>0</v>
      </c>
      <c r="X59" s="11">
        <f t="shared" si="31"/>
        <v>0</v>
      </c>
      <c r="Y59" s="11">
        <f t="shared" si="31"/>
        <v>0</v>
      </c>
      <c r="Z59" s="11">
        <f t="shared" si="31"/>
        <v>0</v>
      </c>
      <c r="AA59" s="11">
        <f t="shared" si="31"/>
        <v>0</v>
      </c>
      <c r="AB59" s="11">
        <f t="shared" si="31"/>
        <v>0</v>
      </c>
      <c r="AC59" s="11">
        <f t="shared" si="31"/>
        <v>0</v>
      </c>
      <c r="AD59" s="11">
        <f t="shared" si="31"/>
        <v>0</v>
      </c>
      <c r="AE59" s="11">
        <f t="shared" si="31"/>
        <v>0</v>
      </c>
      <c r="AF59" s="11">
        <f t="shared" si="31"/>
        <v>0</v>
      </c>
      <c r="AG59" s="11">
        <f t="shared" si="31"/>
        <v>0</v>
      </c>
      <c r="AH59" s="11">
        <f t="shared" si="31"/>
        <v>0</v>
      </c>
      <c r="AI59" s="11">
        <f t="shared" si="31"/>
        <v>0</v>
      </c>
      <c r="AJ59" s="11">
        <f t="shared" si="31"/>
        <v>0</v>
      </c>
      <c r="AK59" s="11">
        <f t="shared" si="31"/>
        <v>0</v>
      </c>
      <c r="AL59" s="11">
        <f t="shared" si="31"/>
        <v>0</v>
      </c>
      <c r="AM59" s="11">
        <f t="shared" si="31"/>
        <v>0</v>
      </c>
      <c r="AN59" s="11">
        <f t="shared" si="31"/>
        <v>0</v>
      </c>
      <c r="AO59" s="11">
        <f t="shared" si="31"/>
        <v>0</v>
      </c>
      <c r="AP59" s="11">
        <f t="shared" si="31"/>
        <v>0</v>
      </c>
      <c r="AQ59" s="11">
        <f t="shared" si="31"/>
        <v>0</v>
      </c>
      <c r="AR59" s="11">
        <f t="shared" si="31"/>
        <v>0</v>
      </c>
      <c r="AS59" s="11">
        <f t="shared" si="31"/>
        <v>0</v>
      </c>
      <c r="AT59" s="11">
        <f t="shared" si="31"/>
        <v>0</v>
      </c>
      <c r="AU59" s="11">
        <f t="shared" si="31"/>
        <v>0</v>
      </c>
      <c r="AV59" s="11">
        <f t="shared" si="31"/>
        <v>0</v>
      </c>
      <c r="AW59" s="11">
        <f t="shared" si="31"/>
        <v>0</v>
      </c>
      <c r="AX59" s="11">
        <f t="shared" si="31"/>
        <v>0</v>
      </c>
      <c r="AY59" s="11">
        <f t="shared" si="31"/>
        <v>0</v>
      </c>
      <c r="AZ59" s="11">
        <f t="shared" si="31"/>
        <v>0</v>
      </c>
      <c r="BA59" s="11">
        <f t="shared" si="31"/>
        <v>0</v>
      </c>
      <c r="BB59" s="11">
        <f t="shared" si="31"/>
        <v>0</v>
      </c>
      <c r="BC59" s="11">
        <f t="shared" si="31"/>
        <v>0</v>
      </c>
      <c r="BD59" s="11">
        <f t="shared" si="31"/>
        <v>0</v>
      </c>
      <c r="BE59" s="11">
        <f t="shared" si="31"/>
        <v>0</v>
      </c>
      <c r="BF59" s="11">
        <f t="shared" si="31"/>
        <v>0</v>
      </c>
      <c r="BG59" s="11">
        <f t="shared" si="31"/>
        <v>0</v>
      </c>
      <c r="BH59" s="11">
        <f t="shared" si="31"/>
        <v>0</v>
      </c>
      <c r="BI59" s="11">
        <f t="shared" si="31"/>
        <v>0</v>
      </c>
      <c r="BJ59" s="11">
        <f t="shared" si="31"/>
        <v>0</v>
      </c>
      <c r="BK59" s="11">
        <f t="shared" si="31"/>
        <v>0</v>
      </c>
      <c r="BL59" s="11">
        <f t="shared" si="31"/>
        <v>0</v>
      </c>
      <c r="BM59" s="11">
        <f t="shared" si="31"/>
        <v>0</v>
      </c>
      <c r="BN59" s="11">
        <f t="shared" si="31"/>
        <v>0</v>
      </c>
      <c r="BO59" s="11">
        <f t="shared" si="31"/>
        <v>0</v>
      </c>
      <c r="BP59" s="11">
        <f t="shared" ref="BP59:CZ59" si="32">SUMPRODUCT($B54:$B58,BP54:BP58)</f>
        <v>0</v>
      </c>
      <c r="BQ59" s="11">
        <f t="shared" si="32"/>
        <v>0</v>
      </c>
      <c r="BR59" s="11">
        <f t="shared" si="32"/>
        <v>0</v>
      </c>
      <c r="BS59" s="11">
        <f t="shared" si="32"/>
        <v>0</v>
      </c>
      <c r="BT59" s="11">
        <f t="shared" si="32"/>
        <v>0</v>
      </c>
      <c r="BU59" s="11">
        <f t="shared" si="32"/>
        <v>0</v>
      </c>
      <c r="BV59" s="11">
        <f t="shared" si="32"/>
        <v>0</v>
      </c>
      <c r="BW59" s="11">
        <f t="shared" si="32"/>
        <v>0</v>
      </c>
      <c r="BX59" s="11">
        <f t="shared" si="32"/>
        <v>0</v>
      </c>
      <c r="BY59" s="11">
        <f t="shared" si="32"/>
        <v>0</v>
      </c>
      <c r="BZ59" s="11">
        <f t="shared" si="32"/>
        <v>0</v>
      </c>
      <c r="CA59" s="11">
        <f t="shared" si="32"/>
        <v>0</v>
      </c>
      <c r="CB59" s="11">
        <f t="shared" si="32"/>
        <v>0</v>
      </c>
      <c r="CC59" s="11">
        <f t="shared" si="32"/>
        <v>0</v>
      </c>
      <c r="CD59" s="11">
        <f t="shared" si="32"/>
        <v>0</v>
      </c>
      <c r="CE59" s="11">
        <f t="shared" si="32"/>
        <v>0</v>
      </c>
      <c r="CF59" s="11">
        <f t="shared" si="32"/>
        <v>0</v>
      </c>
      <c r="CG59" s="11">
        <f t="shared" si="32"/>
        <v>0</v>
      </c>
      <c r="CH59" s="11">
        <f t="shared" si="32"/>
        <v>0</v>
      </c>
      <c r="CI59" s="11">
        <f t="shared" si="32"/>
        <v>0</v>
      </c>
      <c r="CJ59" s="11">
        <f t="shared" si="32"/>
        <v>0</v>
      </c>
      <c r="CK59" s="11">
        <f t="shared" si="32"/>
        <v>0</v>
      </c>
      <c r="CL59" s="11">
        <f t="shared" si="32"/>
        <v>0</v>
      </c>
      <c r="CM59" s="11">
        <f t="shared" si="32"/>
        <v>0</v>
      </c>
      <c r="CN59" s="11">
        <f t="shared" si="32"/>
        <v>0</v>
      </c>
      <c r="CO59" s="11">
        <f t="shared" si="32"/>
        <v>0</v>
      </c>
      <c r="CP59" s="11">
        <f t="shared" si="32"/>
        <v>0</v>
      </c>
      <c r="CQ59" s="11">
        <f t="shared" si="32"/>
        <v>0</v>
      </c>
      <c r="CR59" s="11">
        <f t="shared" si="32"/>
        <v>0</v>
      </c>
      <c r="CS59" s="11">
        <f t="shared" si="32"/>
        <v>0</v>
      </c>
      <c r="CT59" s="11">
        <f t="shared" si="32"/>
        <v>0</v>
      </c>
      <c r="CU59" s="11">
        <f t="shared" si="32"/>
        <v>0</v>
      </c>
      <c r="CV59" s="11">
        <f t="shared" si="32"/>
        <v>0</v>
      </c>
      <c r="CW59" s="11">
        <f t="shared" si="32"/>
        <v>0</v>
      </c>
      <c r="CX59" s="11">
        <f t="shared" si="32"/>
        <v>0</v>
      </c>
      <c r="CY59" s="11">
        <f t="shared" si="32"/>
        <v>0</v>
      </c>
      <c r="CZ59" s="11">
        <f t="shared" si="32"/>
        <v>0</v>
      </c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</row>
    <row r="60" spans="1:122" ht="18" customHeight="1">
      <c r="A60" s="13" t="s">
        <v>133</v>
      </c>
      <c r="B60" s="14">
        <f>IFERROR(VLOOKUP(A60,PRICELIST!$A$3:$D$138,4,0),"-")</f>
        <v>23.41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9">
        <f t="shared" ref="CY60:CZ70" si="33">C60+E60+G60+I60+K60+M60+O60+Q60+S60+U60+W60+Y60+AA60+AC60+AE60+AG60+AI60+AK60+AM60+AO60+AQ60+AS60+AU60+AW60+AY60+BA60+BC60+BE60+BG60+BI60+BK60+BM60+BO60+BQ60+BS60+BU60+BW60+BY60+CA60+CC60+CE60+CG60+CI60+CK60+CM60+CO60+CQ60+CS60+CU60+CW60</f>
        <v>0</v>
      </c>
      <c r="CZ60" s="19">
        <f t="shared" si="33"/>
        <v>0</v>
      </c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</row>
    <row r="61" spans="1:122" ht="18" customHeight="1">
      <c r="A61" s="13" t="s">
        <v>42</v>
      </c>
      <c r="B61" s="14">
        <f>IFERROR(VLOOKUP(A61,PRICELIST!$A$3:$D$138,4,0),"-")</f>
        <v>23.57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9">
        <f t="shared" si="33"/>
        <v>0</v>
      </c>
      <c r="CZ61" s="19">
        <f t="shared" si="33"/>
        <v>0</v>
      </c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</row>
    <row r="62" spans="1:122" ht="18" customHeight="1">
      <c r="A62" s="13" t="s">
        <v>43</v>
      </c>
      <c r="B62" s="14">
        <f>IFERROR(VLOOKUP(A62,PRICELIST!$A$3:$D$138,4,0),"-")</f>
        <v>66.7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9">
        <f t="shared" si="33"/>
        <v>0</v>
      </c>
      <c r="CZ62" s="19">
        <f t="shared" si="33"/>
        <v>0</v>
      </c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</row>
    <row r="63" spans="1:122" ht="18" customHeight="1">
      <c r="A63" s="13" t="s">
        <v>44</v>
      </c>
      <c r="B63" s="14">
        <f>IFERROR(VLOOKUP(A63,PRICELIST!$A$3:$D$138,4,0),"-")</f>
        <v>67.819999999999993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9">
        <f t="shared" si="33"/>
        <v>0</v>
      </c>
      <c r="CZ63" s="19">
        <f t="shared" si="33"/>
        <v>0</v>
      </c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</row>
    <row r="64" spans="1:122" ht="18" customHeight="1">
      <c r="A64" s="13" t="s">
        <v>45</v>
      </c>
      <c r="B64" s="14">
        <f>IFERROR(VLOOKUP(A64,PRICELIST!$A$3:$D$138,4,0),"-")</f>
        <v>9.58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9">
        <f t="shared" si="33"/>
        <v>0</v>
      </c>
      <c r="CZ64" s="19">
        <f t="shared" si="33"/>
        <v>0</v>
      </c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</row>
    <row r="65" spans="1:122" ht="18" customHeight="1">
      <c r="A65" s="13" t="s">
        <v>46</v>
      </c>
      <c r="B65" s="14">
        <f>IFERROR(VLOOKUP(A65,PRICELIST!$A$3:$D$138,4,0),"-")</f>
        <v>23.41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9">
        <f t="shared" si="33"/>
        <v>0</v>
      </c>
      <c r="CZ65" s="19">
        <f t="shared" si="33"/>
        <v>0</v>
      </c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</row>
    <row r="66" spans="1:122" ht="18" customHeight="1">
      <c r="A66" s="13" t="s">
        <v>47</v>
      </c>
      <c r="B66" s="14">
        <f>IFERROR(VLOOKUP(A66,PRICELIST!$A$3:$D$138,4,0),"-")</f>
        <v>23.57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9">
        <f t="shared" si="33"/>
        <v>0</v>
      </c>
      <c r="CZ66" s="19">
        <f t="shared" si="33"/>
        <v>0</v>
      </c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</row>
    <row r="67" spans="1:122" ht="18" customHeight="1">
      <c r="A67" s="13" t="s">
        <v>49</v>
      </c>
      <c r="B67" s="14">
        <f>IFERROR(VLOOKUP(A67,PRICELIST!$A$3:$D$138,4,0),"-")</f>
        <v>132.43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9">
        <f t="shared" si="33"/>
        <v>0</v>
      </c>
      <c r="CZ67" s="19">
        <f t="shared" si="33"/>
        <v>0</v>
      </c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</row>
    <row r="68" spans="1:122" ht="18" customHeight="1">
      <c r="A68" s="13" t="s">
        <v>50</v>
      </c>
      <c r="B68" s="14">
        <f>IFERROR(VLOOKUP(A68,PRICELIST!$A$3:$D$138,4,0),"-")</f>
        <v>94.7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9">
        <f t="shared" si="33"/>
        <v>0</v>
      </c>
      <c r="CZ68" s="19">
        <f t="shared" si="33"/>
        <v>0</v>
      </c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</row>
    <row r="69" spans="1:122" ht="18" customHeight="1">
      <c r="A69" s="13" t="s">
        <v>51</v>
      </c>
      <c r="B69" s="14">
        <f>IFERROR(VLOOKUP(A69,PRICELIST!$A$3:$D$138,4,0),"-")</f>
        <v>58.82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9">
        <f t="shared" si="33"/>
        <v>0</v>
      </c>
      <c r="CZ69" s="19">
        <f t="shared" si="33"/>
        <v>0</v>
      </c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</row>
    <row r="70" spans="1:122" ht="18" customHeight="1">
      <c r="A70" s="13" t="s">
        <v>52</v>
      </c>
      <c r="B70" s="14">
        <f>IFERROR(VLOOKUP(A70,PRICELIST!$A$3:$D$138,4,0),"-")</f>
        <v>61.39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9">
        <f t="shared" si="33"/>
        <v>0</v>
      </c>
      <c r="CZ70" s="19">
        <f t="shared" si="33"/>
        <v>0</v>
      </c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</row>
    <row r="71" spans="1:122" ht="18" customHeight="1">
      <c r="A71" s="9" t="s">
        <v>48</v>
      </c>
      <c r="B71" s="10"/>
      <c r="C71" s="11">
        <f t="shared" ref="C71:AH71" si="34">SUMPRODUCT($B60:$B70,C60:C70)</f>
        <v>0</v>
      </c>
      <c r="D71" s="11">
        <f t="shared" si="34"/>
        <v>0</v>
      </c>
      <c r="E71" s="11">
        <f t="shared" si="34"/>
        <v>0</v>
      </c>
      <c r="F71" s="11">
        <f t="shared" si="34"/>
        <v>0</v>
      </c>
      <c r="G71" s="11">
        <f t="shared" si="34"/>
        <v>0</v>
      </c>
      <c r="H71" s="11">
        <f t="shared" si="34"/>
        <v>0</v>
      </c>
      <c r="I71" s="11">
        <f t="shared" si="34"/>
        <v>0</v>
      </c>
      <c r="J71" s="11">
        <f t="shared" si="34"/>
        <v>0</v>
      </c>
      <c r="K71" s="11">
        <f t="shared" si="34"/>
        <v>0</v>
      </c>
      <c r="L71" s="11">
        <f t="shared" si="34"/>
        <v>0</v>
      </c>
      <c r="M71" s="11">
        <f t="shared" si="34"/>
        <v>0</v>
      </c>
      <c r="N71" s="11">
        <f t="shared" si="34"/>
        <v>0</v>
      </c>
      <c r="O71" s="11">
        <f t="shared" si="34"/>
        <v>0</v>
      </c>
      <c r="P71" s="11">
        <f t="shared" si="34"/>
        <v>0</v>
      </c>
      <c r="Q71" s="11">
        <f t="shared" si="34"/>
        <v>0</v>
      </c>
      <c r="R71" s="11">
        <f t="shared" si="34"/>
        <v>0</v>
      </c>
      <c r="S71" s="11">
        <f t="shared" si="34"/>
        <v>0</v>
      </c>
      <c r="T71" s="11">
        <f t="shared" si="34"/>
        <v>0</v>
      </c>
      <c r="U71" s="11">
        <f t="shared" si="34"/>
        <v>0</v>
      </c>
      <c r="V71" s="11">
        <f t="shared" si="34"/>
        <v>0</v>
      </c>
      <c r="W71" s="11">
        <f t="shared" si="34"/>
        <v>0</v>
      </c>
      <c r="X71" s="11">
        <f t="shared" si="34"/>
        <v>0</v>
      </c>
      <c r="Y71" s="11">
        <f t="shared" si="34"/>
        <v>0</v>
      </c>
      <c r="Z71" s="11">
        <f t="shared" si="34"/>
        <v>0</v>
      </c>
      <c r="AA71" s="11">
        <f t="shared" si="34"/>
        <v>0</v>
      </c>
      <c r="AB71" s="11">
        <f t="shared" si="34"/>
        <v>0</v>
      </c>
      <c r="AC71" s="11">
        <f t="shared" si="34"/>
        <v>0</v>
      </c>
      <c r="AD71" s="11">
        <f t="shared" si="34"/>
        <v>0</v>
      </c>
      <c r="AE71" s="11">
        <f t="shared" si="34"/>
        <v>0</v>
      </c>
      <c r="AF71" s="11">
        <f t="shared" si="34"/>
        <v>0</v>
      </c>
      <c r="AG71" s="11">
        <f t="shared" si="34"/>
        <v>0</v>
      </c>
      <c r="AH71" s="11">
        <f t="shared" si="34"/>
        <v>0</v>
      </c>
      <c r="AI71" s="11">
        <f t="shared" ref="AI71:BN71" si="35">SUMPRODUCT($B60:$B70,AI60:AI70)</f>
        <v>0</v>
      </c>
      <c r="AJ71" s="11">
        <f t="shared" si="35"/>
        <v>0</v>
      </c>
      <c r="AK71" s="11">
        <f t="shared" si="35"/>
        <v>0</v>
      </c>
      <c r="AL71" s="11">
        <f t="shared" si="35"/>
        <v>0</v>
      </c>
      <c r="AM71" s="11">
        <f t="shared" si="35"/>
        <v>0</v>
      </c>
      <c r="AN71" s="11">
        <f t="shared" si="35"/>
        <v>0</v>
      </c>
      <c r="AO71" s="11">
        <f t="shared" si="35"/>
        <v>0</v>
      </c>
      <c r="AP71" s="11">
        <f t="shared" si="35"/>
        <v>0</v>
      </c>
      <c r="AQ71" s="11">
        <f t="shared" si="35"/>
        <v>0</v>
      </c>
      <c r="AR71" s="11">
        <f t="shared" si="35"/>
        <v>0</v>
      </c>
      <c r="AS71" s="11">
        <f t="shared" si="35"/>
        <v>0</v>
      </c>
      <c r="AT71" s="11">
        <f t="shared" si="35"/>
        <v>0</v>
      </c>
      <c r="AU71" s="11">
        <f t="shared" si="35"/>
        <v>0</v>
      </c>
      <c r="AV71" s="11">
        <f t="shared" si="35"/>
        <v>0</v>
      </c>
      <c r="AW71" s="11">
        <f t="shared" si="35"/>
        <v>0</v>
      </c>
      <c r="AX71" s="11">
        <f t="shared" si="35"/>
        <v>0</v>
      </c>
      <c r="AY71" s="11">
        <f t="shared" si="35"/>
        <v>0</v>
      </c>
      <c r="AZ71" s="11">
        <f t="shared" si="35"/>
        <v>0</v>
      </c>
      <c r="BA71" s="11">
        <f t="shared" si="35"/>
        <v>0</v>
      </c>
      <c r="BB71" s="11">
        <f t="shared" si="35"/>
        <v>0</v>
      </c>
      <c r="BC71" s="11">
        <f t="shared" si="35"/>
        <v>0</v>
      </c>
      <c r="BD71" s="11">
        <f t="shared" si="35"/>
        <v>0</v>
      </c>
      <c r="BE71" s="11">
        <f t="shared" si="35"/>
        <v>0</v>
      </c>
      <c r="BF71" s="11">
        <f t="shared" si="35"/>
        <v>0</v>
      </c>
      <c r="BG71" s="11">
        <f t="shared" si="35"/>
        <v>0</v>
      </c>
      <c r="BH71" s="11">
        <f t="shared" si="35"/>
        <v>0</v>
      </c>
      <c r="BI71" s="11">
        <f t="shared" si="35"/>
        <v>0</v>
      </c>
      <c r="BJ71" s="11">
        <f t="shared" si="35"/>
        <v>0</v>
      </c>
      <c r="BK71" s="11">
        <f t="shared" si="35"/>
        <v>0</v>
      </c>
      <c r="BL71" s="11">
        <f t="shared" si="35"/>
        <v>0</v>
      </c>
      <c r="BM71" s="11">
        <f t="shared" si="35"/>
        <v>0</v>
      </c>
      <c r="BN71" s="11">
        <f t="shared" si="35"/>
        <v>0</v>
      </c>
      <c r="BO71" s="11">
        <f t="shared" ref="BO71:CT71" si="36">SUMPRODUCT($B60:$B70,BO60:BO70)</f>
        <v>0</v>
      </c>
      <c r="BP71" s="11">
        <f t="shared" si="36"/>
        <v>0</v>
      </c>
      <c r="BQ71" s="11">
        <f t="shared" si="36"/>
        <v>0</v>
      </c>
      <c r="BR71" s="11">
        <f t="shared" si="36"/>
        <v>0</v>
      </c>
      <c r="BS71" s="11">
        <f t="shared" si="36"/>
        <v>0</v>
      </c>
      <c r="BT71" s="11">
        <f t="shared" si="36"/>
        <v>0</v>
      </c>
      <c r="BU71" s="11">
        <f t="shared" si="36"/>
        <v>0</v>
      </c>
      <c r="BV71" s="11">
        <f t="shared" si="36"/>
        <v>0</v>
      </c>
      <c r="BW71" s="11">
        <f t="shared" si="36"/>
        <v>0</v>
      </c>
      <c r="BX71" s="11">
        <f t="shared" si="36"/>
        <v>0</v>
      </c>
      <c r="BY71" s="11">
        <f t="shared" si="36"/>
        <v>0</v>
      </c>
      <c r="BZ71" s="11">
        <f t="shared" si="36"/>
        <v>0</v>
      </c>
      <c r="CA71" s="11">
        <f t="shared" si="36"/>
        <v>0</v>
      </c>
      <c r="CB71" s="11">
        <f t="shared" si="36"/>
        <v>0</v>
      </c>
      <c r="CC71" s="11">
        <f t="shared" si="36"/>
        <v>0</v>
      </c>
      <c r="CD71" s="11">
        <f t="shared" si="36"/>
        <v>0</v>
      </c>
      <c r="CE71" s="11">
        <f t="shared" si="36"/>
        <v>0</v>
      </c>
      <c r="CF71" s="11">
        <f t="shared" si="36"/>
        <v>0</v>
      </c>
      <c r="CG71" s="11">
        <f t="shared" si="36"/>
        <v>0</v>
      </c>
      <c r="CH71" s="11">
        <f t="shared" si="36"/>
        <v>0</v>
      </c>
      <c r="CI71" s="11">
        <f t="shared" si="36"/>
        <v>0</v>
      </c>
      <c r="CJ71" s="11">
        <f t="shared" si="36"/>
        <v>0</v>
      </c>
      <c r="CK71" s="11">
        <f t="shared" si="36"/>
        <v>0</v>
      </c>
      <c r="CL71" s="11">
        <f t="shared" si="36"/>
        <v>0</v>
      </c>
      <c r="CM71" s="11">
        <f t="shared" si="36"/>
        <v>0</v>
      </c>
      <c r="CN71" s="11">
        <f t="shared" si="36"/>
        <v>0</v>
      </c>
      <c r="CO71" s="11">
        <f t="shared" si="36"/>
        <v>0</v>
      </c>
      <c r="CP71" s="11">
        <f t="shared" si="36"/>
        <v>0</v>
      </c>
      <c r="CQ71" s="11">
        <f t="shared" si="36"/>
        <v>0</v>
      </c>
      <c r="CR71" s="11">
        <f t="shared" si="36"/>
        <v>0</v>
      </c>
      <c r="CS71" s="11">
        <f t="shared" si="36"/>
        <v>0</v>
      </c>
      <c r="CT71" s="11">
        <f t="shared" si="36"/>
        <v>0</v>
      </c>
      <c r="CU71" s="11">
        <f t="shared" ref="CU71:CZ71" si="37">SUMPRODUCT($B60:$B70,CU60:CU70)</f>
        <v>0</v>
      </c>
      <c r="CV71" s="11">
        <f t="shared" si="37"/>
        <v>0</v>
      </c>
      <c r="CW71" s="11">
        <f t="shared" si="37"/>
        <v>0</v>
      </c>
      <c r="CX71" s="11">
        <f t="shared" si="37"/>
        <v>0</v>
      </c>
      <c r="CY71" s="11">
        <f t="shared" si="37"/>
        <v>0</v>
      </c>
      <c r="CZ71" s="11">
        <f t="shared" si="37"/>
        <v>0</v>
      </c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</row>
    <row r="72" spans="1:122" ht="18" customHeight="1">
      <c r="A72" s="13" t="s">
        <v>85</v>
      </c>
      <c r="B72" s="14">
        <f>IFERROR(VLOOKUP(A72,PRICELIST!$A$3:$D$138,4,0),"-")</f>
        <v>165.86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9">
        <f t="shared" ref="CY72:CZ78" si="38">C72+E72+G72+I72+K72+M72+O72+Q72+S72+U72+W72+Y72+AA72+AC72+AE72+AG72+AI72+AK72+AM72+AO72+AQ72+AS72+AU72+AW72+AY72+BA72+BC72+BE72+BG72+BI72+BK72+BM72+BO72+BQ72+BS72+BU72+BW72+BY72+CA72+CC72+CE72+CG72+CI72+CK72+CM72+CO72+CQ72+CS72+CU72+CW72</f>
        <v>0</v>
      </c>
      <c r="CZ72" s="19">
        <f t="shared" si="38"/>
        <v>0</v>
      </c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</row>
    <row r="73" spans="1:122" ht="18" customHeight="1">
      <c r="A73" s="13" t="s">
        <v>53</v>
      </c>
      <c r="B73" s="14">
        <f>IFERROR(VLOOKUP(A73,PRICELIST!$A$3:$D$138,4,0),"-")</f>
        <v>82.93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9">
        <f t="shared" si="38"/>
        <v>0</v>
      </c>
      <c r="CZ73" s="19">
        <f t="shared" si="38"/>
        <v>0</v>
      </c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</row>
    <row r="74" spans="1:122" ht="18" customHeight="1">
      <c r="A74" s="13" t="s">
        <v>54</v>
      </c>
      <c r="B74" s="14">
        <f>IFERROR(VLOOKUP(A74,PRICELIST!$A$3:$D$138,4,0),"-")</f>
        <v>96.43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9">
        <f t="shared" si="38"/>
        <v>0</v>
      </c>
      <c r="CZ74" s="19">
        <f t="shared" si="38"/>
        <v>0</v>
      </c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</row>
    <row r="75" spans="1:122" ht="18" customHeight="1">
      <c r="A75" s="13" t="s">
        <v>55</v>
      </c>
      <c r="B75" s="14">
        <f>IFERROR(VLOOKUP(A75,PRICELIST!$A$3:$D$138,4,0),"-")</f>
        <v>47.57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9">
        <f t="shared" si="38"/>
        <v>0</v>
      </c>
      <c r="CZ75" s="19">
        <f t="shared" si="38"/>
        <v>0</v>
      </c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</row>
    <row r="76" spans="1:122" ht="18" customHeight="1">
      <c r="A76" s="13" t="s">
        <v>132</v>
      </c>
      <c r="B76" s="14">
        <f>IFERROR(VLOOKUP(A76,PRICELIST!$A$3:$D$138,4,0),"-")</f>
        <v>128.57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9">
        <f t="shared" si="38"/>
        <v>0</v>
      </c>
      <c r="CZ76" s="19">
        <f t="shared" si="38"/>
        <v>0</v>
      </c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</row>
    <row r="77" spans="1:122" ht="18" customHeight="1">
      <c r="A77" s="13" t="s">
        <v>86</v>
      </c>
      <c r="B77" s="14">
        <f>IFERROR(VLOOKUP(A77,PRICELIST!$A$3:$D$138,4,0),"-")</f>
        <v>130.5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9">
        <f t="shared" si="38"/>
        <v>0</v>
      </c>
      <c r="CZ77" s="19">
        <f t="shared" si="38"/>
        <v>0</v>
      </c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</row>
    <row r="78" spans="1:122" ht="18" customHeight="1">
      <c r="A78" s="26" t="s">
        <v>121</v>
      </c>
      <c r="B78" s="14">
        <f>IFERROR(VLOOKUP(A78,PRICELIST!$A$3:$D$138,4,0),"-")</f>
        <v>146.88999999999999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9">
        <f t="shared" si="38"/>
        <v>0</v>
      </c>
      <c r="CZ78" s="19">
        <f t="shared" si="38"/>
        <v>0</v>
      </c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</row>
    <row r="79" spans="1:122" ht="18" customHeight="1">
      <c r="A79" s="9" t="s">
        <v>56</v>
      </c>
      <c r="B79" s="10"/>
      <c r="C79" s="11">
        <f>SUMPRODUCT($B72:$B78,C72:C78)</f>
        <v>0</v>
      </c>
      <c r="D79" s="11">
        <f t="shared" ref="D79:BO79" si="39">SUMPRODUCT($B72:$B78,D72:D78)</f>
        <v>0</v>
      </c>
      <c r="E79" s="11">
        <f t="shared" si="39"/>
        <v>0</v>
      </c>
      <c r="F79" s="11">
        <f t="shared" si="39"/>
        <v>0</v>
      </c>
      <c r="G79" s="11">
        <f t="shared" si="39"/>
        <v>0</v>
      </c>
      <c r="H79" s="11">
        <f t="shared" si="39"/>
        <v>0</v>
      </c>
      <c r="I79" s="11">
        <f t="shared" si="39"/>
        <v>0</v>
      </c>
      <c r="J79" s="11">
        <f t="shared" si="39"/>
        <v>0</v>
      </c>
      <c r="K79" s="11">
        <f t="shared" si="39"/>
        <v>0</v>
      </c>
      <c r="L79" s="11">
        <f t="shared" si="39"/>
        <v>0</v>
      </c>
      <c r="M79" s="11">
        <f t="shared" si="39"/>
        <v>0</v>
      </c>
      <c r="N79" s="11">
        <f t="shared" si="39"/>
        <v>0</v>
      </c>
      <c r="O79" s="11">
        <f t="shared" si="39"/>
        <v>0</v>
      </c>
      <c r="P79" s="11">
        <f t="shared" si="39"/>
        <v>0</v>
      </c>
      <c r="Q79" s="11">
        <f t="shared" si="39"/>
        <v>0</v>
      </c>
      <c r="R79" s="11">
        <f t="shared" si="39"/>
        <v>0</v>
      </c>
      <c r="S79" s="11">
        <f t="shared" si="39"/>
        <v>0</v>
      </c>
      <c r="T79" s="11">
        <f t="shared" si="39"/>
        <v>0</v>
      </c>
      <c r="U79" s="11">
        <f t="shared" si="39"/>
        <v>0</v>
      </c>
      <c r="V79" s="11">
        <f t="shared" si="39"/>
        <v>0</v>
      </c>
      <c r="W79" s="11">
        <f t="shared" si="39"/>
        <v>0</v>
      </c>
      <c r="X79" s="11">
        <f t="shared" si="39"/>
        <v>0</v>
      </c>
      <c r="Y79" s="11">
        <f t="shared" si="39"/>
        <v>0</v>
      </c>
      <c r="Z79" s="11">
        <f t="shared" si="39"/>
        <v>0</v>
      </c>
      <c r="AA79" s="11">
        <f t="shared" si="39"/>
        <v>0</v>
      </c>
      <c r="AB79" s="11">
        <f t="shared" si="39"/>
        <v>0</v>
      </c>
      <c r="AC79" s="11">
        <f t="shared" si="39"/>
        <v>0</v>
      </c>
      <c r="AD79" s="11">
        <f t="shared" si="39"/>
        <v>0</v>
      </c>
      <c r="AE79" s="11">
        <f t="shared" si="39"/>
        <v>0</v>
      </c>
      <c r="AF79" s="11">
        <f t="shared" si="39"/>
        <v>0</v>
      </c>
      <c r="AG79" s="11">
        <f t="shared" si="39"/>
        <v>0</v>
      </c>
      <c r="AH79" s="11">
        <f t="shared" si="39"/>
        <v>0</v>
      </c>
      <c r="AI79" s="11">
        <f t="shared" si="39"/>
        <v>0</v>
      </c>
      <c r="AJ79" s="11">
        <f t="shared" si="39"/>
        <v>0</v>
      </c>
      <c r="AK79" s="11">
        <f t="shared" si="39"/>
        <v>0</v>
      </c>
      <c r="AL79" s="11">
        <f t="shared" si="39"/>
        <v>0</v>
      </c>
      <c r="AM79" s="11">
        <f t="shared" si="39"/>
        <v>0</v>
      </c>
      <c r="AN79" s="11">
        <f t="shared" si="39"/>
        <v>0</v>
      </c>
      <c r="AO79" s="11">
        <f t="shared" si="39"/>
        <v>0</v>
      </c>
      <c r="AP79" s="11">
        <f t="shared" si="39"/>
        <v>0</v>
      </c>
      <c r="AQ79" s="11">
        <f t="shared" si="39"/>
        <v>0</v>
      </c>
      <c r="AR79" s="11">
        <f t="shared" si="39"/>
        <v>0</v>
      </c>
      <c r="AS79" s="11">
        <f t="shared" si="39"/>
        <v>0</v>
      </c>
      <c r="AT79" s="11">
        <f t="shared" si="39"/>
        <v>0</v>
      </c>
      <c r="AU79" s="11">
        <f t="shared" si="39"/>
        <v>0</v>
      </c>
      <c r="AV79" s="11">
        <f t="shared" si="39"/>
        <v>0</v>
      </c>
      <c r="AW79" s="11">
        <f t="shared" si="39"/>
        <v>0</v>
      </c>
      <c r="AX79" s="11">
        <f t="shared" si="39"/>
        <v>0</v>
      </c>
      <c r="AY79" s="11">
        <f t="shared" si="39"/>
        <v>0</v>
      </c>
      <c r="AZ79" s="11">
        <f t="shared" si="39"/>
        <v>0</v>
      </c>
      <c r="BA79" s="11">
        <f t="shared" si="39"/>
        <v>0</v>
      </c>
      <c r="BB79" s="11">
        <f t="shared" si="39"/>
        <v>0</v>
      </c>
      <c r="BC79" s="11">
        <f t="shared" si="39"/>
        <v>0</v>
      </c>
      <c r="BD79" s="11">
        <f t="shared" si="39"/>
        <v>0</v>
      </c>
      <c r="BE79" s="11">
        <f t="shared" si="39"/>
        <v>0</v>
      </c>
      <c r="BF79" s="11">
        <f t="shared" si="39"/>
        <v>0</v>
      </c>
      <c r="BG79" s="11">
        <f t="shared" si="39"/>
        <v>0</v>
      </c>
      <c r="BH79" s="11">
        <f t="shared" si="39"/>
        <v>0</v>
      </c>
      <c r="BI79" s="11">
        <f t="shared" si="39"/>
        <v>0</v>
      </c>
      <c r="BJ79" s="11">
        <f t="shared" si="39"/>
        <v>0</v>
      </c>
      <c r="BK79" s="11">
        <f t="shared" si="39"/>
        <v>0</v>
      </c>
      <c r="BL79" s="11">
        <f t="shared" si="39"/>
        <v>0</v>
      </c>
      <c r="BM79" s="11">
        <f t="shared" si="39"/>
        <v>0</v>
      </c>
      <c r="BN79" s="11">
        <f t="shared" si="39"/>
        <v>0</v>
      </c>
      <c r="BO79" s="11">
        <f t="shared" si="39"/>
        <v>0</v>
      </c>
      <c r="BP79" s="11">
        <f t="shared" ref="BP79:CZ79" si="40">SUMPRODUCT($B72:$B78,BP72:BP78)</f>
        <v>0</v>
      </c>
      <c r="BQ79" s="11">
        <f t="shared" si="40"/>
        <v>0</v>
      </c>
      <c r="BR79" s="11">
        <f t="shared" si="40"/>
        <v>0</v>
      </c>
      <c r="BS79" s="11">
        <f t="shared" si="40"/>
        <v>0</v>
      </c>
      <c r="BT79" s="11">
        <f t="shared" si="40"/>
        <v>0</v>
      </c>
      <c r="BU79" s="11">
        <f t="shared" si="40"/>
        <v>0</v>
      </c>
      <c r="BV79" s="11">
        <f t="shared" si="40"/>
        <v>0</v>
      </c>
      <c r="BW79" s="11">
        <f t="shared" si="40"/>
        <v>0</v>
      </c>
      <c r="BX79" s="11">
        <f t="shared" si="40"/>
        <v>0</v>
      </c>
      <c r="BY79" s="11">
        <f t="shared" si="40"/>
        <v>0</v>
      </c>
      <c r="BZ79" s="11">
        <f t="shared" si="40"/>
        <v>0</v>
      </c>
      <c r="CA79" s="11">
        <f t="shared" si="40"/>
        <v>0</v>
      </c>
      <c r="CB79" s="11">
        <f t="shared" si="40"/>
        <v>0</v>
      </c>
      <c r="CC79" s="11">
        <f t="shared" si="40"/>
        <v>0</v>
      </c>
      <c r="CD79" s="11">
        <f t="shared" si="40"/>
        <v>0</v>
      </c>
      <c r="CE79" s="11">
        <f t="shared" si="40"/>
        <v>0</v>
      </c>
      <c r="CF79" s="11">
        <f t="shared" si="40"/>
        <v>0</v>
      </c>
      <c r="CG79" s="11">
        <f t="shared" si="40"/>
        <v>0</v>
      </c>
      <c r="CH79" s="11">
        <f t="shared" si="40"/>
        <v>0</v>
      </c>
      <c r="CI79" s="11">
        <f t="shared" si="40"/>
        <v>0</v>
      </c>
      <c r="CJ79" s="11">
        <f t="shared" si="40"/>
        <v>0</v>
      </c>
      <c r="CK79" s="11">
        <f t="shared" si="40"/>
        <v>0</v>
      </c>
      <c r="CL79" s="11">
        <f t="shared" si="40"/>
        <v>0</v>
      </c>
      <c r="CM79" s="11">
        <f t="shared" si="40"/>
        <v>0</v>
      </c>
      <c r="CN79" s="11">
        <f t="shared" si="40"/>
        <v>0</v>
      </c>
      <c r="CO79" s="11">
        <f t="shared" si="40"/>
        <v>0</v>
      </c>
      <c r="CP79" s="11">
        <f t="shared" si="40"/>
        <v>0</v>
      </c>
      <c r="CQ79" s="11">
        <f t="shared" si="40"/>
        <v>0</v>
      </c>
      <c r="CR79" s="11">
        <f t="shared" si="40"/>
        <v>0</v>
      </c>
      <c r="CS79" s="11">
        <f t="shared" si="40"/>
        <v>0</v>
      </c>
      <c r="CT79" s="11">
        <f t="shared" si="40"/>
        <v>0</v>
      </c>
      <c r="CU79" s="11">
        <f t="shared" si="40"/>
        <v>0</v>
      </c>
      <c r="CV79" s="11">
        <f t="shared" si="40"/>
        <v>0</v>
      </c>
      <c r="CW79" s="11">
        <f t="shared" si="40"/>
        <v>0</v>
      </c>
      <c r="CX79" s="11">
        <f t="shared" si="40"/>
        <v>0</v>
      </c>
      <c r="CY79" s="11">
        <f t="shared" si="40"/>
        <v>0</v>
      </c>
      <c r="CZ79" s="11">
        <f t="shared" si="40"/>
        <v>0</v>
      </c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</row>
    <row r="80" spans="1:122" ht="18" customHeight="1">
      <c r="A80" s="13" t="s">
        <v>57</v>
      </c>
      <c r="B80" s="14">
        <f>IFERROR(VLOOKUP(A80,PRICELIST!$A$3:$D$138,4,0),"-")</f>
        <v>78.75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9">
        <f>C80+E80+G80+I80+K80+M80+O80+Q80+S80+U80+W80+Y80+AA80+AC80+AE80+AG80+AI80+AK80+AM80+AO80+AQ80+AS80+AU80+AW80+AY80+BA80+BC80+BE80+BG80+BI80+BK80+BM80+BO80+BQ80+BS80+BU80+BW80+BY80+CA80+CC80+CE80+CG80+CI80+CK80+CM80+CO80+CQ80+CS80+CU80+CW80</f>
        <v>0</v>
      </c>
      <c r="CZ80" s="19">
        <f>D80+F80+H80+J80+L80+N80+P80+R80+T80+V80+X80+Z80+AB80+AD80+AF80+AH80+AJ80+AL80+AN80+AP80+AR80+AT80+AV80+AX80+AZ80+BB80+BD80+BF80+BH80+BJ80+BL80+BN80+BP80+BR80+BT80+BV80+BX80+BZ80+CB80+CD80+CF80+CH80+CJ80+CL80+CN80+CP80+CR80+CT80+CV80+CX80</f>
        <v>0</v>
      </c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</row>
    <row r="81" spans="1:122" ht="18" customHeight="1">
      <c r="A81" s="9" t="s">
        <v>58</v>
      </c>
      <c r="B81" s="10"/>
      <c r="C81" s="11">
        <f>SUMPRODUCT($B80*C80)</f>
        <v>0</v>
      </c>
      <c r="D81" s="11">
        <f t="shared" ref="D81:BO81" si="41">SUMPRODUCT($B80*D80)</f>
        <v>0</v>
      </c>
      <c r="E81" s="11">
        <f t="shared" si="41"/>
        <v>0</v>
      </c>
      <c r="F81" s="11">
        <f t="shared" si="41"/>
        <v>0</v>
      </c>
      <c r="G81" s="11">
        <f t="shared" si="41"/>
        <v>0</v>
      </c>
      <c r="H81" s="11">
        <f t="shared" si="41"/>
        <v>0</v>
      </c>
      <c r="I81" s="11">
        <f t="shared" si="41"/>
        <v>0</v>
      </c>
      <c r="J81" s="11">
        <f t="shared" si="41"/>
        <v>0</v>
      </c>
      <c r="K81" s="11">
        <f t="shared" si="41"/>
        <v>0</v>
      </c>
      <c r="L81" s="11">
        <f t="shared" si="41"/>
        <v>0</v>
      </c>
      <c r="M81" s="11">
        <f t="shared" si="41"/>
        <v>0</v>
      </c>
      <c r="N81" s="11">
        <f t="shared" si="41"/>
        <v>0</v>
      </c>
      <c r="O81" s="11">
        <f t="shared" si="41"/>
        <v>0</v>
      </c>
      <c r="P81" s="11">
        <f t="shared" si="41"/>
        <v>0</v>
      </c>
      <c r="Q81" s="11">
        <f t="shared" si="41"/>
        <v>0</v>
      </c>
      <c r="R81" s="11">
        <f t="shared" si="41"/>
        <v>0</v>
      </c>
      <c r="S81" s="11">
        <f t="shared" si="41"/>
        <v>0</v>
      </c>
      <c r="T81" s="11">
        <f t="shared" si="41"/>
        <v>0</v>
      </c>
      <c r="U81" s="11">
        <f t="shared" si="41"/>
        <v>0</v>
      </c>
      <c r="V81" s="11">
        <f t="shared" si="41"/>
        <v>0</v>
      </c>
      <c r="W81" s="11">
        <f t="shared" si="41"/>
        <v>0</v>
      </c>
      <c r="X81" s="11">
        <f t="shared" si="41"/>
        <v>0</v>
      </c>
      <c r="Y81" s="11">
        <f t="shared" si="41"/>
        <v>0</v>
      </c>
      <c r="Z81" s="11">
        <f t="shared" si="41"/>
        <v>0</v>
      </c>
      <c r="AA81" s="11">
        <f t="shared" si="41"/>
        <v>0</v>
      </c>
      <c r="AB81" s="11">
        <f t="shared" si="41"/>
        <v>0</v>
      </c>
      <c r="AC81" s="11">
        <f t="shared" si="41"/>
        <v>0</v>
      </c>
      <c r="AD81" s="11">
        <f t="shared" si="41"/>
        <v>0</v>
      </c>
      <c r="AE81" s="11">
        <f t="shared" si="41"/>
        <v>0</v>
      </c>
      <c r="AF81" s="11">
        <f t="shared" si="41"/>
        <v>0</v>
      </c>
      <c r="AG81" s="11">
        <f t="shared" si="41"/>
        <v>0</v>
      </c>
      <c r="AH81" s="11">
        <f t="shared" si="41"/>
        <v>0</v>
      </c>
      <c r="AI81" s="11">
        <f t="shared" si="41"/>
        <v>0</v>
      </c>
      <c r="AJ81" s="11">
        <f t="shared" si="41"/>
        <v>0</v>
      </c>
      <c r="AK81" s="11">
        <f t="shared" si="41"/>
        <v>0</v>
      </c>
      <c r="AL81" s="11">
        <f t="shared" si="41"/>
        <v>0</v>
      </c>
      <c r="AM81" s="11">
        <f t="shared" si="41"/>
        <v>0</v>
      </c>
      <c r="AN81" s="11">
        <f t="shared" si="41"/>
        <v>0</v>
      </c>
      <c r="AO81" s="11">
        <f t="shared" si="41"/>
        <v>0</v>
      </c>
      <c r="AP81" s="11">
        <f t="shared" si="41"/>
        <v>0</v>
      </c>
      <c r="AQ81" s="11">
        <f t="shared" si="41"/>
        <v>0</v>
      </c>
      <c r="AR81" s="11">
        <f t="shared" si="41"/>
        <v>0</v>
      </c>
      <c r="AS81" s="11">
        <f t="shared" si="41"/>
        <v>0</v>
      </c>
      <c r="AT81" s="11">
        <f t="shared" si="41"/>
        <v>0</v>
      </c>
      <c r="AU81" s="11">
        <f t="shared" si="41"/>
        <v>0</v>
      </c>
      <c r="AV81" s="11">
        <f t="shared" si="41"/>
        <v>0</v>
      </c>
      <c r="AW81" s="11">
        <f t="shared" si="41"/>
        <v>0</v>
      </c>
      <c r="AX81" s="11">
        <f t="shared" si="41"/>
        <v>0</v>
      </c>
      <c r="AY81" s="11">
        <f t="shared" si="41"/>
        <v>0</v>
      </c>
      <c r="AZ81" s="11">
        <f t="shared" si="41"/>
        <v>0</v>
      </c>
      <c r="BA81" s="11">
        <f t="shared" si="41"/>
        <v>0</v>
      </c>
      <c r="BB81" s="11">
        <f t="shared" si="41"/>
        <v>0</v>
      </c>
      <c r="BC81" s="11">
        <f t="shared" si="41"/>
        <v>0</v>
      </c>
      <c r="BD81" s="11">
        <f t="shared" si="41"/>
        <v>0</v>
      </c>
      <c r="BE81" s="11">
        <f t="shared" si="41"/>
        <v>0</v>
      </c>
      <c r="BF81" s="11">
        <f t="shared" si="41"/>
        <v>0</v>
      </c>
      <c r="BG81" s="11">
        <f t="shared" si="41"/>
        <v>0</v>
      </c>
      <c r="BH81" s="11">
        <f t="shared" si="41"/>
        <v>0</v>
      </c>
      <c r="BI81" s="11">
        <f t="shared" si="41"/>
        <v>0</v>
      </c>
      <c r="BJ81" s="11">
        <f t="shared" si="41"/>
        <v>0</v>
      </c>
      <c r="BK81" s="11">
        <f t="shared" si="41"/>
        <v>0</v>
      </c>
      <c r="BL81" s="11">
        <f t="shared" si="41"/>
        <v>0</v>
      </c>
      <c r="BM81" s="11">
        <f t="shared" si="41"/>
        <v>0</v>
      </c>
      <c r="BN81" s="11">
        <f t="shared" si="41"/>
        <v>0</v>
      </c>
      <c r="BO81" s="11">
        <f t="shared" si="41"/>
        <v>0</v>
      </c>
      <c r="BP81" s="11">
        <f t="shared" ref="BP81:CZ81" si="42">SUMPRODUCT($B80*BP80)</f>
        <v>0</v>
      </c>
      <c r="BQ81" s="11">
        <f t="shared" si="42"/>
        <v>0</v>
      </c>
      <c r="BR81" s="11">
        <f t="shared" si="42"/>
        <v>0</v>
      </c>
      <c r="BS81" s="11">
        <f t="shared" si="42"/>
        <v>0</v>
      </c>
      <c r="BT81" s="11">
        <f t="shared" si="42"/>
        <v>0</v>
      </c>
      <c r="BU81" s="11">
        <f t="shared" si="42"/>
        <v>0</v>
      </c>
      <c r="BV81" s="11">
        <f t="shared" si="42"/>
        <v>0</v>
      </c>
      <c r="BW81" s="11">
        <f t="shared" si="42"/>
        <v>0</v>
      </c>
      <c r="BX81" s="11">
        <f t="shared" si="42"/>
        <v>0</v>
      </c>
      <c r="BY81" s="11">
        <f t="shared" si="42"/>
        <v>0</v>
      </c>
      <c r="BZ81" s="11">
        <f t="shared" si="42"/>
        <v>0</v>
      </c>
      <c r="CA81" s="11">
        <f t="shared" si="42"/>
        <v>0</v>
      </c>
      <c r="CB81" s="11">
        <f t="shared" si="42"/>
        <v>0</v>
      </c>
      <c r="CC81" s="11">
        <f t="shared" si="42"/>
        <v>0</v>
      </c>
      <c r="CD81" s="11">
        <f t="shared" si="42"/>
        <v>0</v>
      </c>
      <c r="CE81" s="11">
        <f t="shared" si="42"/>
        <v>0</v>
      </c>
      <c r="CF81" s="11">
        <f t="shared" si="42"/>
        <v>0</v>
      </c>
      <c r="CG81" s="11">
        <f t="shared" si="42"/>
        <v>0</v>
      </c>
      <c r="CH81" s="11">
        <f t="shared" si="42"/>
        <v>0</v>
      </c>
      <c r="CI81" s="11">
        <f t="shared" si="42"/>
        <v>0</v>
      </c>
      <c r="CJ81" s="11">
        <f t="shared" si="42"/>
        <v>0</v>
      </c>
      <c r="CK81" s="11">
        <f t="shared" si="42"/>
        <v>0</v>
      </c>
      <c r="CL81" s="11">
        <f t="shared" si="42"/>
        <v>0</v>
      </c>
      <c r="CM81" s="11">
        <f t="shared" si="42"/>
        <v>0</v>
      </c>
      <c r="CN81" s="11">
        <f t="shared" si="42"/>
        <v>0</v>
      </c>
      <c r="CO81" s="11">
        <f t="shared" si="42"/>
        <v>0</v>
      </c>
      <c r="CP81" s="11">
        <f t="shared" si="42"/>
        <v>0</v>
      </c>
      <c r="CQ81" s="11">
        <f t="shared" si="42"/>
        <v>0</v>
      </c>
      <c r="CR81" s="11">
        <f t="shared" si="42"/>
        <v>0</v>
      </c>
      <c r="CS81" s="11">
        <f t="shared" si="42"/>
        <v>0</v>
      </c>
      <c r="CT81" s="11">
        <f t="shared" si="42"/>
        <v>0</v>
      </c>
      <c r="CU81" s="11">
        <f t="shared" si="42"/>
        <v>0</v>
      </c>
      <c r="CV81" s="11">
        <f t="shared" si="42"/>
        <v>0</v>
      </c>
      <c r="CW81" s="11">
        <f t="shared" si="42"/>
        <v>0</v>
      </c>
      <c r="CX81" s="11">
        <f t="shared" si="42"/>
        <v>0</v>
      </c>
      <c r="CY81" s="11">
        <f t="shared" si="42"/>
        <v>0</v>
      </c>
      <c r="CZ81" s="11">
        <f t="shared" si="42"/>
        <v>0</v>
      </c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</row>
    <row r="82" spans="1:122" ht="18" customHeight="1">
      <c r="A82" s="13" t="s">
        <v>59</v>
      </c>
      <c r="B82" s="14">
        <f>IFERROR(VLOOKUP(A82,PRICELIST!$A$3:$D$138,4,0),"-")</f>
        <v>276.11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9">
        <f t="shared" ref="CY82:CZ84" si="43">C82+E82+G82+I82+K82+M82+O82+Q82+S82+U82+W82+Y82+AA82+AC82+AE82+AG82+AI82+AK82+AM82+AO82+AQ82+AS82+AU82+AW82+AY82+BA82+BC82+BE82+BG82+BI82+BK82+BM82+BO82+BQ82+BS82+BU82+BW82+BY82+CA82+CC82+CE82+CG82+CI82+CK82+CM82+CO82+CQ82+CS82+CU82+CW82</f>
        <v>0</v>
      </c>
      <c r="CZ82" s="19">
        <f t="shared" si="43"/>
        <v>0</v>
      </c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</row>
    <row r="83" spans="1:122" ht="18" customHeight="1">
      <c r="A83" s="13" t="s">
        <v>60</v>
      </c>
      <c r="B83" s="14">
        <f>IFERROR(VLOOKUP(A83,PRICELIST!$A$3:$D$138,4,0),"-")</f>
        <v>75.540000000000006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9">
        <f t="shared" si="43"/>
        <v>0</v>
      </c>
      <c r="CZ83" s="19">
        <f t="shared" si="43"/>
        <v>0</v>
      </c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</row>
    <row r="84" spans="1:122" ht="18" customHeight="1">
      <c r="A84" s="13" t="s">
        <v>61</v>
      </c>
      <c r="B84" s="14">
        <f>IFERROR(VLOOKUP(A84,PRICELIST!$A$3:$D$138,4,0),"-")</f>
        <v>145.93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9">
        <f t="shared" si="43"/>
        <v>0</v>
      </c>
      <c r="CZ84" s="19">
        <f t="shared" si="43"/>
        <v>0</v>
      </c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</row>
    <row r="85" spans="1:122" ht="18" customHeight="1">
      <c r="A85" s="13" t="s">
        <v>62</v>
      </c>
      <c r="B85" s="14">
        <f>IFERROR(VLOOKUP(A85,PRICELIST!$A$3:$D$138,4,0),"-")</f>
        <v>149.79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9">
        <f>C85+E85+G85+I85+K85+M85+O85+Q85+S85+U85+W85+Y85+AA85+AC85+AE85+AG85+AI85+AK85+AM85+AO85+AQ85+AS85+AU85+AW85+AY85+BA85+BC85+BE85+BG85+BI85+BK85+BM85+BO85+BQ85+BS85+BU85+BW85+BY85+CA85+CC85+CE85+CG85+CI85+CK85+CM85+CO85+CQ85+CS85+CU85+CW85</f>
        <v>0</v>
      </c>
      <c r="CZ85" s="19">
        <f>D85+F85+H85+J85+L85+N85+P85+R85+T85+V85+X85+Z85+AB85+AD85+AF85+AH85+AJ85+AL85+AN85+AP85+AR85+AT85+AV85+AX85+AZ85+BB85+BD85+BF85+BH85+BJ85+BL85+BN85+BP85+BR85+BT85+BV85+BX85+BZ85+CB85+CD85+CF85+CH85+CJ85+CL85+CN85+CP85+CR85+CT85+CV85+CX85</f>
        <v>0</v>
      </c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</row>
    <row r="86" spans="1:122" ht="18" customHeight="1">
      <c r="A86" s="13" t="s">
        <v>87</v>
      </c>
      <c r="B86" s="14">
        <f>IFERROR(VLOOKUP(A86,PRICELIST!$A$3:$D$138,4,0),"-")</f>
        <v>192.86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9">
        <f>C86+E86+G86+I86+K86+M86+O86+Q86+S86+U86+W86+Y86+AA86+AC86+AE86+AG86+AI86+AK86+AM86+AO86+AQ86+AS86+AU86+AW86+AY86+BA86+BC86+BE86+BG86+BI86+BK86+BM86+BO86+BQ86+BS86+BU86+BW86+BY86+CA86+CC86+CE86+CG86+CI86+CK86+CM86+CO86+CQ86+CS86+CU86+CW86</f>
        <v>0</v>
      </c>
      <c r="CZ86" s="19">
        <f>D86+F86+H86+J86+L86+N86+P86+R86+T86+V86+X86+Z86+AB86+AD86+AF86+AH86+AJ86+AL86+AN86+AP86+AR86+AT86+AV86+AX86+AZ86+BB86+BD86+BF86+BH86+BJ86+BL86+BN86+BP86+BR86+BT86+BV86+BX86+BZ86+CB86+CD86+CF86+CH86+CJ86+CL86+CN86+CP86+CR86+CT86+CV86+CX86</f>
        <v>0</v>
      </c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</row>
    <row r="87" spans="1:122" ht="18" customHeight="1">
      <c r="A87" s="13" t="s">
        <v>122</v>
      </c>
      <c r="B87" s="14">
        <f>IFERROR(VLOOKUP(A87,PRICELIST!$A$3:$D$138,4,0),"-")</f>
        <v>104.79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9">
        <f t="shared" ref="CY87:CZ87" si="44">C87+E87+G87+I87+K87+M87+O87+Q87+S87+U87+W87+Y87+AA87+AC87+AE87+AG87+AI87+AK87+AM87+AO87+AQ87+AS87+AU87+AW87+AY87+BA87+BC87+BE87+BG87+BI87+BK87+BM87+BO87+BQ87+BS87+BU87+BW87+BY87+CA87+CC87+CE87+CG87+CI87+CK87+CM87+CO87+CQ87+CS87+CU87+CW87</f>
        <v>0</v>
      </c>
      <c r="CZ87" s="19">
        <f t="shared" si="44"/>
        <v>0</v>
      </c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</row>
    <row r="88" spans="1:122" ht="18" customHeight="1">
      <c r="A88" s="9" t="s">
        <v>88</v>
      </c>
      <c r="B88" s="10"/>
      <c r="C88" s="11">
        <f>SUMPRODUCT($B82:$B87,C82:C87)</f>
        <v>0</v>
      </c>
      <c r="D88" s="11">
        <f t="shared" ref="D88:BO88" si="45">SUMPRODUCT($B82:$B87,D82:D87)</f>
        <v>0</v>
      </c>
      <c r="E88" s="11">
        <f t="shared" si="45"/>
        <v>0</v>
      </c>
      <c r="F88" s="11">
        <f t="shared" si="45"/>
        <v>0</v>
      </c>
      <c r="G88" s="11">
        <f t="shared" si="45"/>
        <v>0</v>
      </c>
      <c r="H88" s="11">
        <f t="shared" si="45"/>
        <v>0</v>
      </c>
      <c r="I88" s="11">
        <f t="shared" si="45"/>
        <v>0</v>
      </c>
      <c r="J88" s="11">
        <f t="shared" si="45"/>
        <v>0</v>
      </c>
      <c r="K88" s="11">
        <f t="shared" si="45"/>
        <v>0</v>
      </c>
      <c r="L88" s="11">
        <f t="shared" si="45"/>
        <v>0</v>
      </c>
      <c r="M88" s="11">
        <f t="shared" si="45"/>
        <v>0</v>
      </c>
      <c r="N88" s="11">
        <f t="shared" si="45"/>
        <v>0</v>
      </c>
      <c r="O88" s="11">
        <f t="shared" si="45"/>
        <v>0</v>
      </c>
      <c r="P88" s="11">
        <f t="shared" si="45"/>
        <v>0</v>
      </c>
      <c r="Q88" s="11">
        <f t="shared" si="45"/>
        <v>0</v>
      </c>
      <c r="R88" s="11">
        <f t="shared" si="45"/>
        <v>0</v>
      </c>
      <c r="S88" s="11">
        <f t="shared" si="45"/>
        <v>0</v>
      </c>
      <c r="T88" s="11">
        <f t="shared" si="45"/>
        <v>0</v>
      </c>
      <c r="U88" s="11">
        <f t="shared" si="45"/>
        <v>0</v>
      </c>
      <c r="V88" s="11">
        <f t="shared" si="45"/>
        <v>0</v>
      </c>
      <c r="W88" s="11">
        <f t="shared" si="45"/>
        <v>0</v>
      </c>
      <c r="X88" s="11">
        <f t="shared" si="45"/>
        <v>0</v>
      </c>
      <c r="Y88" s="11">
        <f t="shared" si="45"/>
        <v>0</v>
      </c>
      <c r="Z88" s="11">
        <f t="shared" si="45"/>
        <v>0</v>
      </c>
      <c r="AA88" s="11">
        <f t="shared" si="45"/>
        <v>0</v>
      </c>
      <c r="AB88" s="11">
        <f t="shared" si="45"/>
        <v>0</v>
      </c>
      <c r="AC88" s="11">
        <f t="shared" si="45"/>
        <v>0</v>
      </c>
      <c r="AD88" s="11">
        <f t="shared" si="45"/>
        <v>0</v>
      </c>
      <c r="AE88" s="11">
        <f t="shared" si="45"/>
        <v>0</v>
      </c>
      <c r="AF88" s="11">
        <f t="shared" si="45"/>
        <v>0</v>
      </c>
      <c r="AG88" s="11">
        <f t="shared" si="45"/>
        <v>0</v>
      </c>
      <c r="AH88" s="11">
        <f t="shared" si="45"/>
        <v>0</v>
      </c>
      <c r="AI88" s="11">
        <f t="shared" si="45"/>
        <v>0</v>
      </c>
      <c r="AJ88" s="11">
        <f t="shared" si="45"/>
        <v>0</v>
      </c>
      <c r="AK88" s="11">
        <f t="shared" si="45"/>
        <v>0</v>
      </c>
      <c r="AL88" s="11">
        <f t="shared" si="45"/>
        <v>0</v>
      </c>
      <c r="AM88" s="11">
        <f t="shared" si="45"/>
        <v>0</v>
      </c>
      <c r="AN88" s="11">
        <f t="shared" si="45"/>
        <v>0</v>
      </c>
      <c r="AO88" s="11">
        <f t="shared" si="45"/>
        <v>0</v>
      </c>
      <c r="AP88" s="11">
        <f t="shared" si="45"/>
        <v>0</v>
      </c>
      <c r="AQ88" s="11">
        <f t="shared" si="45"/>
        <v>0</v>
      </c>
      <c r="AR88" s="11">
        <f t="shared" si="45"/>
        <v>0</v>
      </c>
      <c r="AS88" s="11">
        <f t="shared" si="45"/>
        <v>0</v>
      </c>
      <c r="AT88" s="11">
        <f t="shared" si="45"/>
        <v>0</v>
      </c>
      <c r="AU88" s="11">
        <f t="shared" si="45"/>
        <v>0</v>
      </c>
      <c r="AV88" s="11">
        <f t="shared" si="45"/>
        <v>0</v>
      </c>
      <c r="AW88" s="11">
        <f t="shared" si="45"/>
        <v>0</v>
      </c>
      <c r="AX88" s="11">
        <f t="shared" si="45"/>
        <v>0</v>
      </c>
      <c r="AY88" s="11">
        <f t="shared" si="45"/>
        <v>0</v>
      </c>
      <c r="AZ88" s="11">
        <f t="shared" si="45"/>
        <v>0</v>
      </c>
      <c r="BA88" s="11">
        <f t="shared" si="45"/>
        <v>0</v>
      </c>
      <c r="BB88" s="11">
        <f t="shared" si="45"/>
        <v>0</v>
      </c>
      <c r="BC88" s="11">
        <f t="shared" si="45"/>
        <v>0</v>
      </c>
      <c r="BD88" s="11">
        <f t="shared" si="45"/>
        <v>0</v>
      </c>
      <c r="BE88" s="11">
        <f t="shared" si="45"/>
        <v>0</v>
      </c>
      <c r="BF88" s="11">
        <f t="shared" si="45"/>
        <v>0</v>
      </c>
      <c r="BG88" s="11">
        <f t="shared" si="45"/>
        <v>0</v>
      </c>
      <c r="BH88" s="11">
        <f t="shared" si="45"/>
        <v>0</v>
      </c>
      <c r="BI88" s="11">
        <f t="shared" si="45"/>
        <v>0</v>
      </c>
      <c r="BJ88" s="11">
        <f t="shared" si="45"/>
        <v>0</v>
      </c>
      <c r="BK88" s="11">
        <f t="shared" si="45"/>
        <v>0</v>
      </c>
      <c r="BL88" s="11">
        <f t="shared" si="45"/>
        <v>0</v>
      </c>
      <c r="BM88" s="11">
        <f t="shared" si="45"/>
        <v>0</v>
      </c>
      <c r="BN88" s="11">
        <f t="shared" si="45"/>
        <v>0</v>
      </c>
      <c r="BO88" s="11">
        <f t="shared" si="45"/>
        <v>0</v>
      </c>
      <c r="BP88" s="11">
        <f t="shared" ref="BP88:CZ88" si="46">SUMPRODUCT($B82:$B87,BP82:BP87)</f>
        <v>0</v>
      </c>
      <c r="BQ88" s="11">
        <f t="shared" si="46"/>
        <v>0</v>
      </c>
      <c r="BR88" s="11">
        <f t="shared" si="46"/>
        <v>0</v>
      </c>
      <c r="BS88" s="11">
        <f t="shared" si="46"/>
        <v>0</v>
      </c>
      <c r="BT88" s="11">
        <f t="shared" si="46"/>
        <v>0</v>
      </c>
      <c r="BU88" s="11">
        <f t="shared" si="46"/>
        <v>0</v>
      </c>
      <c r="BV88" s="11">
        <f t="shared" si="46"/>
        <v>0</v>
      </c>
      <c r="BW88" s="11">
        <f t="shared" si="46"/>
        <v>0</v>
      </c>
      <c r="BX88" s="11">
        <f t="shared" si="46"/>
        <v>0</v>
      </c>
      <c r="BY88" s="11">
        <f t="shared" si="46"/>
        <v>0</v>
      </c>
      <c r="BZ88" s="11">
        <f t="shared" si="46"/>
        <v>0</v>
      </c>
      <c r="CA88" s="11">
        <f t="shared" si="46"/>
        <v>0</v>
      </c>
      <c r="CB88" s="11">
        <f t="shared" si="46"/>
        <v>0</v>
      </c>
      <c r="CC88" s="11">
        <f t="shared" si="46"/>
        <v>0</v>
      </c>
      <c r="CD88" s="11">
        <f t="shared" si="46"/>
        <v>0</v>
      </c>
      <c r="CE88" s="11">
        <f t="shared" si="46"/>
        <v>0</v>
      </c>
      <c r="CF88" s="11">
        <f t="shared" si="46"/>
        <v>0</v>
      </c>
      <c r="CG88" s="11">
        <f t="shared" si="46"/>
        <v>0</v>
      </c>
      <c r="CH88" s="11">
        <f t="shared" si="46"/>
        <v>0</v>
      </c>
      <c r="CI88" s="11">
        <f t="shared" si="46"/>
        <v>0</v>
      </c>
      <c r="CJ88" s="11">
        <f t="shared" si="46"/>
        <v>0</v>
      </c>
      <c r="CK88" s="11">
        <f t="shared" si="46"/>
        <v>0</v>
      </c>
      <c r="CL88" s="11">
        <f t="shared" si="46"/>
        <v>0</v>
      </c>
      <c r="CM88" s="11">
        <f t="shared" si="46"/>
        <v>0</v>
      </c>
      <c r="CN88" s="11">
        <f t="shared" si="46"/>
        <v>0</v>
      </c>
      <c r="CO88" s="11">
        <f t="shared" si="46"/>
        <v>0</v>
      </c>
      <c r="CP88" s="11">
        <f t="shared" si="46"/>
        <v>0</v>
      </c>
      <c r="CQ88" s="11">
        <f t="shared" si="46"/>
        <v>0</v>
      </c>
      <c r="CR88" s="11">
        <f t="shared" si="46"/>
        <v>0</v>
      </c>
      <c r="CS88" s="11">
        <f t="shared" si="46"/>
        <v>0</v>
      </c>
      <c r="CT88" s="11">
        <f t="shared" si="46"/>
        <v>0</v>
      </c>
      <c r="CU88" s="11">
        <f t="shared" si="46"/>
        <v>0</v>
      </c>
      <c r="CV88" s="11">
        <f t="shared" si="46"/>
        <v>0</v>
      </c>
      <c r="CW88" s="11">
        <f t="shared" si="46"/>
        <v>0</v>
      </c>
      <c r="CX88" s="11">
        <f t="shared" si="46"/>
        <v>0</v>
      </c>
      <c r="CY88" s="11">
        <f t="shared" si="46"/>
        <v>0</v>
      </c>
      <c r="CZ88" s="11">
        <f t="shared" si="46"/>
        <v>0</v>
      </c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</row>
    <row r="89" spans="1:122" ht="18" customHeight="1">
      <c r="A89" s="13" t="s">
        <v>63</v>
      </c>
      <c r="B89" s="14">
        <f>IFERROR(VLOOKUP(A89,PRICELIST!$A$3:$D$138,4,0),"-")</f>
        <v>172.53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9">
        <f t="shared" ref="CY89:CZ91" si="47">C89+E89+G89+I89+K89+M89+O89+Q89+S89+U89+W89+Y89+AA89+AC89+AE89+AG89+AI89+AK89+AM89+AO89+AQ89+AS89+AU89+AW89+AY89+BA89+BC89+BE89+BG89+BI89+BK89+BM89+BO89+BQ89+BS89+BU89+BW89+BY89+CA89+CC89+CE89+CG89+CI89+CK89+CM89+CO89+CQ89+CS89+CU89+CW89</f>
        <v>0</v>
      </c>
      <c r="CZ89" s="19">
        <f t="shared" si="47"/>
        <v>0</v>
      </c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</row>
    <row r="90" spans="1:122" ht="18" customHeight="1">
      <c r="A90" s="13" t="s">
        <v>64</v>
      </c>
      <c r="B90" s="14">
        <f>IFERROR(VLOOKUP(A90,PRICELIST!$A$3:$D$138,4,0),"-")</f>
        <v>50.46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9">
        <f t="shared" si="47"/>
        <v>0</v>
      </c>
      <c r="CZ90" s="19">
        <f t="shared" si="47"/>
        <v>0</v>
      </c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</row>
    <row r="91" spans="1:122" ht="18" customHeight="1">
      <c r="A91" s="13" t="s">
        <v>65</v>
      </c>
      <c r="B91" s="14">
        <f>IFERROR(VLOOKUP(A91,PRICELIST!$A$3:$D$138,4,0),"-")</f>
        <v>99.64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9">
        <f t="shared" si="47"/>
        <v>0</v>
      </c>
      <c r="CZ91" s="19">
        <f t="shared" si="47"/>
        <v>0</v>
      </c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</row>
    <row r="92" spans="1:122" ht="18" customHeight="1">
      <c r="A92" s="9" t="s">
        <v>66</v>
      </c>
      <c r="B92" s="10"/>
      <c r="C92" s="11">
        <f>SUMPRODUCT($B89:$B91,C89:C91)</f>
        <v>0</v>
      </c>
      <c r="D92" s="11">
        <f t="shared" ref="D92:BO92" si="48">SUMPRODUCT($B89:$B91,D89:D91)</f>
        <v>0</v>
      </c>
      <c r="E92" s="11">
        <f t="shared" si="48"/>
        <v>0</v>
      </c>
      <c r="F92" s="11">
        <f t="shared" si="48"/>
        <v>0</v>
      </c>
      <c r="G92" s="11">
        <f t="shared" si="48"/>
        <v>0</v>
      </c>
      <c r="H92" s="11">
        <f t="shared" si="48"/>
        <v>0</v>
      </c>
      <c r="I92" s="11">
        <f t="shared" si="48"/>
        <v>0</v>
      </c>
      <c r="J92" s="11">
        <f t="shared" si="48"/>
        <v>0</v>
      </c>
      <c r="K92" s="11">
        <f t="shared" si="48"/>
        <v>0</v>
      </c>
      <c r="L92" s="11">
        <f t="shared" si="48"/>
        <v>0</v>
      </c>
      <c r="M92" s="11">
        <f t="shared" si="48"/>
        <v>0</v>
      </c>
      <c r="N92" s="11">
        <f t="shared" si="48"/>
        <v>0</v>
      </c>
      <c r="O92" s="11">
        <f t="shared" si="48"/>
        <v>0</v>
      </c>
      <c r="P92" s="11">
        <f t="shared" si="48"/>
        <v>0</v>
      </c>
      <c r="Q92" s="11">
        <f t="shared" si="48"/>
        <v>0</v>
      </c>
      <c r="R92" s="11">
        <f t="shared" si="48"/>
        <v>0</v>
      </c>
      <c r="S92" s="11">
        <f t="shared" si="48"/>
        <v>0</v>
      </c>
      <c r="T92" s="11">
        <f t="shared" si="48"/>
        <v>0</v>
      </c>
      <c r="U92" s="11">
        <f t="shared" si="48"/>
        <v>0</v>
      </c>
      <c r="V92" s="11">
        <f t="shared" si="48"/>
        <v>0</v>
      </c>
      <c r="W92" s="11">
        <f t="shared" si="48"/>
        <v>0</v>
      </c>
      <c r="X92" s="11">
        <f t="shared" si="48"/>
        <v>0</v>
      </c>
      <c r="Y92" s="11">
        <f t="shared" si="48"/>
        <v>0</v>
      </c>
      <c r="Z92" s="11">
        <f t="shared" si="48"/>
        <v>0</v>
      </c>
      <c r="AA92" s="11">
        <f t="shared" si="48"/>
        <v>0</v>
      </c>
      <c r="AB92" s="11">
        <f t="shared" si="48"/>
        <v>0</v>
      </c>
      <c r="AC92" s="11">
        <f t="shared" si="48"/>
        <v>0</v>
      </c>
      <c r="AD92" s="11">
        <f t="shared" si="48"/>
        <v>0</v>
      </c>
      <c r="AE92" s="11">
        <f t="shared" si="48"/>
        <v>0</v>
      </c>
      <c r="AF92" s="11">
        <f t="shared" si="48"/>
        <v>0</v>
      </c>
      <c r="AG92" s="11">
        <f t="shared" si="48"/>
        <v>0</v>
      </c>
      <c r="AH92" s="11">
        <f t="shared" si="48"/>
        <v>0</v>
      </c>
      <c r="AI92" s="11">
        <f t="shared" si="48"/>
        <v>0</v>
      </c>
      <c r="AJ92" s="11">
        <f t="shared" si="48"/>
        <v>0</v>
      </c>
      <c r="AK92" s="11">
        <f t="shared" si="48"/>
        <v>0</v>
      </c>
      <c r="AL92" s="11">
        <f t="shared" si="48"/>
        <v>0</v>
      </c>
      <c r="AM92" s="11">
        <f t="shared" si="48"/>
        <v>0</v>
      </c>
      <c r="AN92" s="11">
        <f t="shared" si="48"/>
        <v>0</v>
      </c>
      <c r="AO92" s="11">
        <f t="shared" si="48"/>
        <v>0</v>
      </c>
      <c r="AP92" s="11">
        <f t="shared" si="48"/>
        <v>0</v>
      </c>
      <c r="AQ92" s="11">
        <f t="shared" si="48"/>
        <v>0</v>
      </c>
      <c r="AR92" s="11">
        <f t="shared" si="48"/>
        <v>0</v>
      </c>
      <c r="AS92" s="11">
        <f t="shared" si="48"/>
        <v>0</v>
      </c>
      <c r="AT92" s="11">
        <f t="shared" si="48"/>
        <v>0</v>
      </c>
      <c r="AU92" s="11">
        <f t="shared" si="48"/>
        <v>0</v>
      </c>
      <c r="AV92" s="11">
        <f t="shared" si="48"/>
        <v>0</v>
      </c>
      <c r="AW92" s="11">
        <f t="shared" si="48"/>
        <v>0</v>
      </c>
      <c r="AX92" s="11">
        <f t="shared" si="48"/>
        <v>0</v>
      </c>
      <c r="AY92" s="11">
        <f t="shared" si="48"/>
        <v>0</v>
      </c>
      <c r="AZ92" s="11">
        <f t="shared" si="48"/>
        <v>0</v>
      </c>
      <c r="BA92" s="11">
        <f t="shared" si="48"/>
        <v>0</v>
      </c>
      <c r="BB92" s="11">
        <f t="shared" si="48"/>
        <v>0</v>
      </c>
      <c r="BC92" s="11">
        <f t="shared" si="48"/>
        <v>0</v>
      </c>
      <c r="BD92" s="11">
        <f t="shared" si="48"/>
        <v>0</v>
      </c>
      <c r="BE92" s="11">
        <f t="shared" si="48"/>
        <v>0</v>
      </c>
      <c r="BF92" s="11">
        <f t="shared" si="48"/>
        <v>0</v>
      </c>
      <c r="BG92" s="11">
        <f t="shared" si="48"/>
        <v>0</v>
      </c>
      <c r="BH92" s="11">
        <f t="shared" si="48"/>
        <v>0</v>
      </c>
      <c r="BI92" s="11">
        <f t="shared" si="48"/>
        <v>0</v>
      </c>
      <c r="BJ92" s="11">
        <f t="shared" si="48"/>
        <v>0</v>
      </c>
      <c r="BK92" s="11">
        <f t="shared" si="48"/>
        <v>0</v>
      </c>
      <c r="BL92" s="11">
        <f t="shared" si="48"/>
        <v>0</v>
      </c>
      <c r="BM92" s="11">
        <f t="shared" si="48"/>
        <v>0</v>
      </c>
      <c r="BN92" s="11">
        <f t="shared" si="48"/>
        <v>0</v>
      </c>
      <c r="BO92" s="11">
        <f t="shared" si="48"/>
        <v>0</v>
      </c>
      <c r="BP92" s="11">
        <f t="shared" ref="BP92:CZ92" si="49">SUMPRODUCT($B89:$B91,BP89:BP91)</f>
        <v>0</v>
      </c>
      <c r="BQ92" s="11">
        <f t="shared" si="49"/>
        <v>0</v>
      </c>
      <c r="BR92" s="11">
        <f t="shared" si="49"/>
        <v>0</v>
      </c>
      <c r="BS92" s="11">
        <f t="shared" si="49"/>
        <v>0</v>
      </c>
      <c r="BT92" s="11">
        <f t="shared" si="49"/>
        <v>0</v>
      </c>
      <c r="BU92" s="11">
        <f t="shared" si="49"/>
        <v>0</v>
      </c>
      <c r="BV92" s="11">
        <f t="shared" si="49"/>
        <v>0</v>
      </c>
      <c r="BW92" s="11">
        <f t="shared" si="49"/>
        <v>0</v>
      </c>
      <c r="BX92" s="11">
        <f t="shared" si="49"/>
        <v>0</v>
      </c>
      <c r="BY92" s="11">
        <f t="shared" si="49"/>
        <v>0</v>
      </c>
      <c r="BZ92" s="11">
        <f t="shared" si="49"/>
        <v>0</v>
      </c>
      <c r="CA92" s="11">
        <f t="shared" si="49"/>
        <v>0</v>
      </c>
      <c r="CB92" s="11">
        <f t="shared" si="49"/>
        <v>0</v>
      </c>
      <c r="CC92" s="11">
        <f t="shared" si="49"/>
        <v>0</v>
      </c>
      <c r="CD92" s="11">
        <f t="shared" si="49"/>
        <v>0</v>
      </c>
      <c r="CE92" s="11">
        <f t="shared" si="49"/>
        <v>0</v>
      </c>
      <c r="CF92" s="11">
        <f t="shared" si="49"/>
        <v>0</v>
      </c>
      <c r="CG92" s="11">
        <f t="shared" si="49"/>
        <v>0</v>
      </c>
      <c r="CH92" s="11">
        <f t="shared" si="49"/>
        <v>0</v>
      </c>
      <c r="CI92" s="11">
        <f t="shared" si="49"/>
        <v>0</v>
      </c>
      <c r="CJ92" s="11">
        <f t="shared" si="49"/>
        <v>0</v>
      </c>
      <c r="CK92" s="11">
        <f t="shared" si="49"/>
        <v>0</v>
      </c>
      <c r="CL92" s="11">
        <f t="shared" si="49"/>
        <v>0</v>
      </c>
      <c r="CM92" s="11">
        <f t="shared" si="49"/>
        <v>0</v>
      </c>
      <c r="CN92" s="11">
        <f t="shared" si="49"/>
        <v>0</v>
      </c>
      <c r="CO92" s="11">
        <f t="shared" si="49"/>
        <v>0</v>
      </c>
      <c r="CP92" s="11">
        <f t="shared" si="49"/>
        <v>0</v>
      </c>
      <c r="CQ92" s="11">
        <f t="shared" si="49"/>
        <v>0</v>
      </c>
      <c r="CR92" s="11">
        <f t="shared" si="49"/>
        <v>0</v>
      </c>
      <c r="CS92" s="11">
        <f t="shared" si="49"/>
        <v>0</v>
      </c>
      <c r="CT92" s="11">
        <f t="shared" si="49"/>
        <v>0</v>
      </c>
      <c r="CU92" s="11">
        <f t="shared" si="49"/>
        <v>0</v>
      </c>
      <c r="CV92" s="11">
        <f t="shared" si="49"/>
        <v>0</v>
      </c>
      <c r="CW92" s="11">
        <f t="shared" si="49"/>
        <v>0</v>
      </c>
      <c r="CX92" s="11">
        <f t="shared" si="49"/>
        <v>0</v>
      </c>
      <c r="CY92" s="11">
        <f t="shared" si="49"/>
        <v>0</v>
      </c>
      <c r="CZ92" s="11">
        <f t="shared" si="49"/>
        <v>0</v>
      </c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</row>
    <row r="93" spans="1:122" ht="18" customHeight="1">
      <c r="A93" s="13" t="s">
        <v>67</v>
      </c>
      <c r="B93" s="14">
        <f>IFERROR(VLOOKUP(A93,PRICELIST!$A$3:$D$138,4,0),"-")</f>
        <v>140.13999999999999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9">
        <f t="shared" ref="CY93:CZ94" si="50">C93+E93+G93+I93+K93+M93+O93+Q93+S93+U93+W93+Y93+AA93+AC93+AE93+AG93+AI93+AK93+AM93+AO93+AQ93+AS93+AU93+AW93+AY93+BA93+BC93+BE93+BG93+BI93+BK93+BM93+BO93+BQ93+BS93+BU93+BW93+BY93+CA93+CC93+CE93+CG93+CI93+CK93+CM93+CO93+CQ93+CS93+CU93+CW93</f>
        <v>0</v>
      </c>
      <c r="CZ93" s="19">
        <f t="shared" si="50"/>
        <v>0</v>
      </c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</row>
    <row r="94" spans="1:122" ht="18" customHeight="1">
      <c r="A94" s="13" t="s">
        <v>68</v>
      </c>
      <c r="B94" s="14">
        <f>IFERROR(VLOOKUP(A94,PRICELIST!$A$3:$D$138,4,0),"-")</f>
        <v>203.14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9">
        <f t="shared" si="50"/>
        <v>0</v>
      </c>
      <c r="CZ94" s="19">
        <f t="shared" si="50"/>
        <v>0</v>
      </c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</row>
    <row r="95" spans="1:122" ht="18" customHeight="1">
      <c r="A95" s="9" t="s">
        <v>69</v>
      </c>
      <c r="B95" s="10"/>
      <c r="C95" s="11">
        <f>SUMPRODUCT($B93:$B94,C93:C94)</f>
        <v>0</v>
      </c>
      <c r="D95" s="11">
        <f t="shared" ref="D95:BO95" si="51">SUMPRODUCT($B93:$B94,D93:D94)</f>
        <v>0</v>
      </c>
      <c r="E95" s="11">
        <f t="shared" si="51"/>
        <v>0</v>
      </c>
      <c r="F95" s="11">
        <f t="shared" si="51"/>
        <v>0</v>
      </c>
      <c r="G95" s="11">
        <f t="shared" si="51"/>
        <v>0</v>
      </c>
      <c r="H95" s="11">
        <f t="shared" si="51"/>
        <v>0</v>
      </c>
      <c r="I95" s="11">
        <f t="shared" si="51"/>
        <v>0</v>
      </c>
      <c r="J95" s="11">
        <f t="shared" si="51"/>
        <v>0</v>
      </c>
      <c r="K95" s="11">
        <f t="shared" si="51"/>
        <v>0</v>
      </c>
      <c r="L95" s="11">
        <f t="shared" si="51"/>
        <v>0</v>
      </c>
      <c r="M95" s="11">
        <f t="shared" si="51"/>
        <v>0</v>
      </c>
      <c r="N95" s="11">
        <f t="shared" si="51"/>
        <v>0</v>
      </c>
      <c r="O95" s="11">
        <f t="shared" si="51"/>
        <v>0</v>
      </c>
      <c r="P95" s="11">
        <f t="shared" si="51"/>
        <v>0</v>
      </c>
      <c r="Q95" s="11">
        <f t="shared" si="51"/>
        <v>0</v>
      </c>
      <c r="R95" s="11">
        <f t="shared" si="51"/>
        <v>0</v>
      </c>
      <c r="S95" s="11">
        <f t="shared" si="51"/>
        <v>0</v>
      </c>
      <c r="T95" s="11">
        <f t="shared" si="51"/>
        <v>0</v>
      </c>
      <c r="U95" s="11">
        <f t="shared" si="51"/>
        <v>0</v>
      </c>
      <c r="V95" s="11">
        <f t="shared" si="51"/>
        <v>0</v>
      </c>
      <c r="W95" s="11">
        <f t="shared" si="51"/>
        <v>0</v>
      </c>
      <c r="X95" s="11">
        <f t="shared" si="51"/>
        <v>0</v>
      </c>
      <c r="Y95" s="11">
        <f t="shared" si="51"/>
        <v>0</v>
      </c>
      <c r="Z95" s="11">
        <f t="shared" si="51"/>
        <v>0</v>
      </c>
      <c r="AA95" s="11">
        <f t="shared" si="51"/>
        <v>0</v>
      </c>
      <c r="AB95" s="11">
        <f t="shared" si="51"/>
        <v>0</v>
      </c>
      <c r="AC95" s="11">
        <f t="shared" si="51"/>
        <v>0</v>
      </c>
      <c r="AD95" s="11">
        <f t="shared" si="51"/>
        <v>0</v>
      </c>
      <c r="AE95" s="11">
        <f t="shared" si="51"/>
        <v>0</v>
      </c>
      <c r="AF95" s="11">
        <f t="shared" si="51"/>
        <v>0</v>
      </c>
      <c r="AG95" s="11">
        <f t="shared" si="51"/>
        <v>0</v>
      </c>
      <c r="AH95" s="11">
        <f t="shared" si="51"/>
        <v>0</v>
      </c>
      <c r="AI95" s="11">
        <f t="shared" si="51"/>
        <v>0</v>
      </c>
      <c r="AJ95" s="11">
        <f t="shared" si="51"/>
        <v>0</v>
      </c>
      <c r="AK95" s="11">
        <f t="shared" si="51"/>
        <v>0</v>
      </c>
      <c r="AL95" s="11">
        <f t="shared" si="51"/>
        <v>0</v>
      </c>
      <c r="AM95" s="11">
        <f t="shared" si="51"/>
        <v>0</v>
      </c>
      <c r="AN95" s="11">
        <f t="shared" si="51"/>
        <v>0</v>
      </c>
      <c r="AO95" s="11">
        <f t="shared" si="51"/>
        <v>0</v>
      </c>
      <c r="AP95" s="11">
        <f t="shared" si="51"/>
        <v>0</v>
      </c>
      <c r="AQ95" s="11">
        <f t="shared" si="51"/>
        <v>0</v>
      </c>
      <c r="AR95" s="11">
        <f t="shared" si="51"/>
        <v>0</v>
      </c>
      <c r="AS95" s="11">
        <f t="shared" si="51"/>
        <v>0</v>
      </c>
      <c r="AT95" s="11">
        <f t="shared" si="51"/>
        <v>0</v>
      </c>
      <c r="AU95" s="11">
        <f t="shared" si="51"/>
        <v>0</v>
      </c>
      <c r="AV95" s="11">
        <f t="shared" si="51"/>
        <v>0</v>
      </c>
      <c r="AW95" s="11">
        <f t="shared" si="51"/>
        <v>0</v>
      </c>
      <c r="AX95" s="11">
        <f t="shared" si="51"/>
        <v>0</v>
      </c>
      <c r="AY95" s="11">
        <f t="shared" si="51"/>
        <v>0</v>
      </c>
      <c r="AZ95" s="11">
        <f t="shared" si="51"/>
        <v>0</v>
      </c>
      <c r="BA95" s="11">
        <f t="shared" si="51"/>
        <v>0</v>
      </c>
      <c r="BB95" s="11">
        <f t="shared" si="51"/>
        <v>0</v>
      </c>
      <c r="BC95" s="11">
        <f t="shared" si="51"/>
        <v>0</v>
      </c>
      <c r="BD95" s="11">
        <f t="shared" si="51"/>
        <v>0</v>
      </c>
      <c r="BE95" s="11">
        <f t="shared" si="51"/>
        <v>0</v>
      </c>
      <c r="BF95" s="11">
        <f t="shared" si="51"/>
        <v>0</v>
      </c>
      <c r="BG95" s="11">
        <f t="shared" si="51"/>
        <v>0</v>
      </c>
      <c r="BH95" s="11">
        <f t="shared" si="51"/>
        <v>0</v>
      </c>
      <c r="BI95" s="11">
        <f t="shared" si="51"/>
        <v>0</v>
      </c>
      <c r="BJ95" s="11">
        <f t="shared" si="51"/>
        <v>0</v>
      </c>
      <c r="BK95" s="11">
        <f t="shared" si="51"/>
        <v>0</v>
      </c>
      <c r="BL95" s="11">
        <f t="shared" si="51"/>
        <v>0</v>
      </c>
      <c r="BM95" s="11">
        <f t="shared" si="51"/>
        <v>0</v>
      </c>
      <c r="BN95" s="11">
        <f t="shared" si="51"/>
        <v>0</v>
      </c>
      <c r="BO95" s="11">
        <f t="shared" si="51"/>
        <v>0</v>
      </c>
      <c r="BP95" s="11">
        <f t="shared" ref="BP95:CZ95" si="52">SUMPRODUCT($B93:$B94,BP93:BP94)</f>
        <v>0</v>
      </c>
      <c r="BQ95" s="11">
        <f t="shared" si="52"/>
        <v>0</v>
      </c>
      <c r="BR95" s="11">
        <f t="shared" si="52"/>
        <v>0</v>
      </c>
      <c r="BS95" s="11">
        <f t="shared" si="52"/>
        <v>0</v>
      </c>
      <c r="BT95" s="11">
        <f t="shared" si="52"/>
        <v>0</v>
      </c>
      <c r="BU95" s="11">
        <f t="shared" si="52"/>
        <v>0</v>
      </c>
      <c r="BV95" s="11">
        <f t="shared" si="52"/>
        <v>0</v>
      </c>
      <c r="BW95" s="11">
        <f t="shared" si="52"/>
        <v>0</v>
      </c>
      <c r="BX95" s="11">
        <f t="shared" si="52"/>
        <v>0</v>
      </c>
      <c r="BY95" s="11">
        <f t="shared" si="52"/>
        <v>0</v>
      </c>
      <c r="BZ95" s="11">
        <f t="shared" si="52"/>
        <v>0</v>
      </c>
      <c r="CA95" s="11">
        <f t="shared" si="52"/>
        <v>0</v>
      </c>
      <c r="CB95" s="11">
        <f t="shared" si="52"/>
        <v>0</v>
      </c>
      <c r="CC95" s="11">
        <f t="shared" si="52"/>
        <v>0</v>
      </c>
      <c r="CD95" s="11">
        <f t="shared" si="52"/>
        <v>0</v>
      </c>
      <c r="CE95" s="11">
        <f t="shared" si="52"/>
        <v>0</v>
      </c>
      <c r="CF95" s="11">
        <f t="shared" si="52"/>
        <v>0</v>
      </c>
      <c r="CG95" s="11">
        <f t="shared" si="52"/>
        <v>0</v>
      </c>
      <c r="CH95" s="11">
        <f t="shared" si="52"/>
        <v>0</v>
      </c>
      <c r="CI95" s="11">
        <f t="shared" si="52"/>
        <v>0</v>
      </c>
      <c r="CJ95" s="11">
        <f t="shared" si="52"/>
        <v>0</v>
      </c>
      <c r="CK95" s="11">
        <f t="shared" si="52"/>
        <v>0</v>
      </c>
      <c r="CL95" s="11">
        <f t="shared" si="52"/>
        <v>0</v>
      </c>
      <c r="CM95" s="11">
        <f t="shared" si="52"/>
        <v>0</v>
      </c>
      <c r="CN95" s="11">
        <f t="shared" si="52"/>
        <v>0</v>
      </c>
      <c r="CO95" s="11">
        <f t="shared" si="52"/>
        <v>0</v>
      </c>
      <c r="CP95" s="11">
        <f t="shared" si="52"/>
        <v>0</v>
      </c>
      <c r="CQ95" s="11">
        <f t="shared" si="52"/>
        <v>0</v>
      </c>
      <c r="CR95" s="11">
        <f t="shared" si="52"/>
        <v>0</v>
      </c>
      <c r="CS95" s="11">
        <f t="shared" si="52"/>
        <v>0</v>
      </c>
      <c r="CT95" s="11">
        <f t="shared" si="52"/>
        <v>0</v>
      </c>
      <c r="CU95" s="11">
        <f t="shared" si="52"/>
        <v>0</v>
      </c>
      <c r="CV95" s="11">
        <f t="shared" si="52"/>
        <v>0</v>
      </c>
      <c r="CW95" s="11">
        <f t="shared" si="52"/>
        <v>0</v>
      </c>
      <c r="CX95" s="11">
        <f t="shared" si="52"/>
        <v>0</v>
      </c>
      <c r="CY95" s="11">
        <f t="shared" si="52"/>
        <v>0</v>
      </c>
      <c r="CZ95" s="11">
        <f t="shared" si="52"/>
        <v>0</v>
      </c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</row>
    <row r="96" spans="1:122" ht="18" customHeight="1">
      <c r="A96" s="34" t="s">
        <v>126</v>
      </c>
      <c r="B96" s="14">
        <f>IFERROR(VLOOKUP(A96,PRICELIST!$A$3:$D$138,4,0),"-")</f>
        <v>201.54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9">
        <f t="shared" ref="CY96:CZ98" si="53">C96+E96+G96+I96+K96+M96+O96+Q96+S96+U96+W96+Y96+AA96+AC96+AE96+AG96+AI96+AK96+AM96+AO96+AQ96+AS96+AU96+AW96+AY96+BA96+BC96+BE96+BG96+BI96+BK96+BM96+BO96+BQ96+BS96+BU96+BW96+BY96+CA96+CC96+CE96+CG96+CI96+CK96+CM96+CO96+CQ96+CS96+CU96+CW96</f>
        <v>0</v>
      </c>
      <c r="CZ96" s="19">
        <f t="shared" si="53"/>
        <v>0</v>
      </c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</row>
    <row r="97" spans="1:122" ht="18" customHeight="1">
      <c r="A97" s="13" t="s">
        <v>123</v>
      </c>
      <c r="B97" s="14">
        <f>IFERROR(VLOOKUP(A97,PRICELIST!$A$3:$D$138,4,0),"-")</f>
        <v>225.64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9">
        <f t="shared" si="53"/>
        <v>0</v>
      </c>
      <c r="CZ97" s="19">
        <f t="shared" si="53"/>
        <v>0</v>
      </c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</row>
    <row r="98" spans="1:122" ht="18" customHeight="1">
      <c r="A98" s="13" t="s">
        <v>131</v>
      </c>
      <c r="B98" s="14">
        <f>IFERROR(VLOOKUP(A98,PRICELIST!$A$3:$D$138,4,0),"-")</f>
        <v>198.64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9">
        <f t="shared" si="53"/>
        <v>0</v>
      </c>
      <c r="CZ98" s="19">
        <f t="shared" si="53"/>
        <v>0</v>
      </c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</row>
    <row r="99" spans="1:122" ht="18" customHeight="1">
      <c r="A99" s="9" t="s">
        <v>70</v>
      </c>
      <c r="B99" s="10"/>
      <c r="C99" s="11">
        <f t="shared" ref="C99:BN99" si="54">SUMPRODUCT($B96:$B98,C96:C98)</f>
        <v>0</v>
      </c>
      <c r="D99" s="11">
        <f t="shared" si="54"/>
        <v>0</v>
      </c>
      <c r="E99" s="11">
        <f t="shared" si="54"/>
        <v>0</v>
      </c>
      <c r="F99" s="11">
        <f t="shared" si="54"/>
        <v>0</v>
      </c>
      <c r="G99" s="11">
        <f t="shared" si="54"/>
        <v>0</v>
      </c>
      <c r="H99" s="11">
        <f t="shared" si="54"/>
        <v>0</v>
      </c>
      <c r="I99" s="11">
        <f t="shared" si="54"/>
        <v>0</v>
      </c>
      <c r="J99" s="11">
        <f t="shared" si="54"/>
        <v>0</v>
      </c>
      <c r="K99" s="11">
        <f t="shared" si="54"/>
        <v>0</v>
      </c>
      <c r="L99" s="11">
        <f t="shared" si="54"/>
        <v>0</v>
      </c>
      <c r="M99" s="11">
        <f t="shared" si="54"/>
        <v>0</v>
      </c>
      <c r="N99" s="11">
        <f t="shared" si="54"/>
        <v>0</v>
      </c>
      <c r="O99" s="11">
        <f t="shared" si="54"/>
        <v>0</v>
      </c>
      <c r="P99" s="11">
        <f t="shared" si="54"/>
        <v>0</v>
      </c>
      <c r="Q99" s="11">
        <f t="shared" si="54"/>
        <v>0</v>
      </c>
      <c r="R99" s="11">
        <f t="shared" si="54"/>
        <v>0</v>
      </c>
      <c r="S99" s="11">
        <f t="shared" si="54"/>
        <v>0</v>
      </c>
      <c r="T99" s="11">
        <f t="shared" si="54"/>
        <v>0</v>
      </c>
      <c r="U99" s="11">
        <f t="shared" si="54"/>
        <v>0</v>
      </c>
      <c r="V99" s="11">
        <f t="shared" si="54"/>
        <v>0</v>
      </c>
      <c r="W99" s="11">
        <f t="shared" si="54"/>
        <v>0</v>
      </c>
      <c r="X99" s="11">
        <f t="shared" si="54"/>
        <v>0</v>
      </c>
      <c r="Y99" s="11">
        <f t="shared" si="54"/>
        <v>0</v>
      </c>
      <c r="Z99" s="11">
        <f t="shared" si="54"/>
        <v>0</v>
      </c>
      <c r="AA99" s="11">
        <f t="shared" si="54"/>
        <v>0</v>
      </c>
      <c r="AB99" s="11">
        <f t="shared" si="54"/>
        <v>0</v>
      </c>
      <c r="AC99" s="11">
        <f t="shared" si="54"/>
        <v>0</v>
      </c>
      <c r="AD99" s="11">
        <f t="shared" si="54"/>
        <v>0</v>
      </c>
      <c r="AE99" s="11">
        <f t="shared" si="54"/>
        <v>0</v>
      </c>
      <c r="AF99" s="11">
        <f t="shared" si="54"/>
        <v>0</v>
      </c>
      <c r="AG99" s="11">
        <f t="shared" si="54"/>
        <v>0</v>
      </c>
      <c r="AH99" s="11">
        <f t="shared" si="54"/>
        <v>0</v>
      </c>
      <c r="AI99" s="11">
        <f t="shared" si="54"/>
        <v>0</v>
      </c>
      <c r="AJ99" s="11">
        <f t="shared" si="54"/>
        <v>0</v>
      </c>
      <c r="AK99" s="11">
        <f t="shared" si="54"/>
        <v>0</v>
      </c>
      <c r="AL99" s="11">
        <f t="shared" si="54"/>
        <v>0</v>
      </c>
      <c r="AM99" s="11">
        <f t="shared" si="54"/>
        <v>0</v>
      </c>
      <c r="AN99" s="11">
        <f t="shared" si="54"/>
        <v>0</v>
      </c>
      <c r="AO99" s="11">
        <f t="shared" si="54"/>
        <v>0</v>
      </c>
      <c r="AP99" s="11">
        <f t="shared" si="54"/>
        <v>0</v>
      </c>
      <c r="AQ99" s="11">
        <f t="shared" si="54"/>
        <v>0</v>
      </c>
      <c r="AR99" s="11">
        <f t="shared" si="54"/>
        <v>0</v>
      </c>
      <c r="AS99" s="11">
        <f t="shared" si="54"/>
        <v>0</v>
      </c>
      <c r="AT99" s="11">
        <f t="shared" si="54"/>
        <v>0</v>
      </c>
      <c r="AU99" s="11">
        <f t="shared" si="54"/>
        <v>0</v>
      </c>
      <c r="AV99" s="11">
        <f t="shared" si="54"/>
        <v>0</v>
      </c>
      <c r="AW99" s="11">
        <f t="shared" si="54"/>
        <v>0</v>
      </c>
      <c r="AX99" s="11">
        <f t="shared" si="54"/>
        <v>0</v>
      </c>
      <c r="AY99" s="11">
        <f t="shared" si="54"/>
        <v>0</v>
      </c>
      <c r="AZ99" s="11">
        <f t="shared" si="54"/>
        <v>0</v>
      </c>
      <c r="BA99" s="11">
        <f t="shared" si="54"/>
        <v>0</v>
      </c>
      <c r="BB99" s="11">
        <f t="shared" si="54"/>
        <v>0</v>
      </c>
      <c r="BC99" s="11">
        <f t="shared" si="54"/>
        <v>0</v>
      </c>
      <c r="BD99" s="11">
        <f t="shared" si="54"/>
        <v>0</v>
      </c>
      <c r="BE99" s="11">
        <f t="shared" si="54"/>
        <v>0</v>
      </c>
      <c r="BF99" s="11">
        <f t="shared" si="54"/>
        <v>0</v>
      </c>
      <c r="BG99" s="11">
        <f t="shared" si="54"/>
        <v>0</v>
      </c>
      <c r="BH99" s="11">
        <f t="shared" si="54"/>
        <v>0</v>
      </c>
      <c r="BI99" s="11">
        <f t="shared" si="54"/>
        <v>0</v>
      </c>
      <c r="BJ99" s="11">
        <f t="shared" si="54"/>
        <v>0</v>
      </c>
      <c r="BK99" s="11">
        <f t="shared" si="54"/>
        <v>0</v>
      </c>
      <c r="BL99" s="11">
        <f t="shared" si="54"/>
        <v>0</v>
      </c>
      <c r="BM99" s="11">
        <f t="shared" si="54"/>
        <v>0</v>
      </c>
      <c r="BN99" s="11">
        <f t="shared" si="54"/>
        <v>0</v>
      </c>
      <c r="BO99" s="11">
        <f t="shared" ref="BO99:CZ99" si="55">SUMPRODUCT($B96:$B98,BO96:BO98)</f>
        <v>0</v>
      </c>
      <c r="BP99" s="11">
        <f t="shared" si="55"/>
        <v>0</v>
      </c>
      <c r="BQ99" s="11">
        <f t="shared" si="55"/>
        <v>0</v>
      </c>
      <c r="BR99" s="11">
        <f t="shared" si="55"/>
        <v>0</v>
      </c>
      <c r="BS99" s="11">
        <f t="shared" si="55"/>
        <v>0</v>
      </c>
      <c r="BT99" s="11">
        <f t="shared" si="55"/>
        <v>0</v>
      </c>
      <c r="BU99" s="11">
        <f t="shared" si="55"/>
        <v>0</v>
      </c>
      <c r="BV99" s="11">
        <f t="shared" si="55"/>
        <v>0</v>
      </c>
      <c r="BW99" s="11">
        <f t="shared" si="55"/>
        <v>0</v>
      </c>
      <c r="BX99" s="11">
        <f t="shared" si="55"/>
        <v>0</v>
      </c>
      <c r="BY99" s="11">
        <f t="shared" si="55"/>
        <v>0</v>
      </c>
      <c r="BZ99" s="11">
        <f t="shared" si="55"/>
        <v>0</v>
      </c>
      <c r="CA99" s="11">
        <f t="shared" si="55"/>
        <v>0</v>
      </c>
      <c r="CB99" s="11">
        <f t="shared" si="55"/>
        <v>0</v>
      </c>
      <c r="CC99" s="11">
        <f t="shared" si="55"/>
        <v>0</v>
      </c>
      <c r="CD99" s="11">
        <f t="shared" si="55"/>
        <v>0</v>
      </c>
      <c r="CE99" s="11">
        <f t="shared" si="55"/>
        <v>0</v>
      </c>
      <c r="CF99" s="11">
        <f t="shared" si="55"/>
        <v>0</v>
      </c>
      <c r="CG99" s="11">
        <f t="shared" si="55"/>
        <v>0</v>
      </c>
      <c r="CH99" s="11">
        <f t="shared" si="55"/>
        <v>0</v>
      </c>
      <c r="CI99" s="11">
        <f t="shared" si="55"/>
        <v>0</v>
      </c>
      <c r="CJ99" s="11">
        <f t="shared" si="55"/>
        <v>0</v>
      </c>
      <c r="CK99" s="11">
        <f t="shared" si="55"/>
        <v>0</v>
      </c>
      <c r="CL99" s="11">
        <f t="shared" si="55"/>
        <v>0</v>
      </c>
      <c r="CM99" s="11">
        <f t="shared" si="55"/>
        <v>0</v>
      </c>
      <c r="CN99" s="11">
        <f t="shared" si="55"/>
        <v>0</v>
      </c>
      <c r="CO99" s="11">
        <f t="shared" si="55"/>
        <v>0</v>
      </c>
      <c r="CP99" s="11">
        <f t="shared" si="55"/>
        <v>0</v>
      </c>
      <c r="CQ99" s="11">
        <f t="shared" si="55"/>
        <v>0</v>
      </c>
      <c r="CR99" s="11">
        <f t="shared" si="55"/>
        <v>0</v>
      </c>
      <c r="CS99" s="11">
        <f t="shared" si="55"/>
        <v>0</v>
      </c>
      <c r="CT99" s="11">
        <f t="shared" si="55"/>
        <v>0</v>
      </c>
      <c r="CU99" s="11">
        <f t="shared" si="55"/>
        <v>0</v>
      </c>
      <c r="CV99" s="11">
        <f t="shared" si="55"/>
        <v>0</v>
      </c>
      <c r="CW99" s="11">
        <f t="shared" si="55"/>
        <v>0</v>
      </c>
      <c r="CX99" s="11">
        <f t="shared" si="55"/>
        <v>0</v>
      </c>
      <c r="CY99" s="11">
        <f t="shared" si="55"/>
        <v>0</v>
      </c>
      <c r="CZ99" s="11">
        <f t="shared" si="55"/>
        <v>0</v>
      </c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</row>
    <row r="100" spans="1:122" ht="18" customHeight="1">
      <c r="A100" s="13" t="s">
        <v>134</v>
      </c>
      <c r="B100" s="14">
        <f>IFERROR(VLOOKUP(A100,PRICELIST!$A$3:$D$138,4,0),"-")</f>
        <v>52.46</v>
      </c>
      <c r="C100" s="18"/>
      <c r="D100" s="18"/>
      <c r="E100" s="18"/>
      <c r="F100" s="18"/>
      <c r="G100" s="18">
        <v>46</v>
      </c>
      <c r="H100" s="18">
        <v>39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9">
        <f t="shared" ref="CY100:CZ109" si="56">C100+E100+G100+I100+K100+M100+O100+Q100+S100+U100+W100+Y100+AA100+AC100+AE100+AG100+AI100+AK100+AM100+AO100+AQ100+AS100+AU100+AW100+AY100+BA100+BC100+BE100+BG100+BI100+BK100+BM100+BO100+BQ100+BS100+BU100+BW100+BY100+CA100+CC100+CE100+CG100+CI100+CK100+CM100+CO100+CQ100+CS100+CU100+CW100</f>
        <v>46</v>
      </c>
      <c r="CZ100" s="19">
        <f t="shared" si="56"/>
        <v>39</v>
      </c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</row>
    <row r="101" spans="1:122" ht="18" customHeight="1">
      <c r="A101" s="13" t="s">
        <v>135</v>
      </c>
      <c r="B101" s="14">
        <f>IFERROR(VLOOKUP(A101,PRICELIST!$A$3:$D$138,4,0),"-")</f>
        <v>89.62</v>
      </c>
      <c r="C101" s="18"/>
      <c r="D101" s="18"/>
      <c r="E101" s="18"/>
      <c r="F101" s="18"/>
      <c r="G101" s="18">
        <v>37</v>
      </c>
      <c r="H101" s="18">
        <v>41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9">
        <f t="shared" si="56"/>
        <v>37</v>
      </c>
      <c r="CZ101" s="19">
        <f t="shared" si="56"/>
        <v>41</v>
      </c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</row>
    <row r="102" spans="1:122" ht="18" customHeight="1">
      <c r="A102" s="13" t="s">
        <v>136</v>
      </c>
      <c r="B102" s="14">
        <f>IFERROR(VLOOKUP(A102,PRICELIST!$A$3:$D$138,4,0),"-")</f>
        <v>83.41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9">
        <f t="shared" si="56"/>
        <v>0</v>
      </c>
      <c r="CZ102" s="19">
        <f t="shared" si="56"/>
        <v>0</v>
      </c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</row>
    <row r="103" spans="1:122" ht="18" customHeight="1">
      <c r="A103" s="13" t="s">
        <v>137</v>
      </c>
      <c r="B103" s="14">
        <f>IFERROR(VLOOKUP(A103,PRICELIST!$A$3:$D$138,4,0),"-")</f>
        <v>109.58</v>
      </c>
      <c r="C103" s="18"/>
      <c r="D103" s="18"/>
      <c r="E103" s="18"/>
      <c r="F103" s="18"/>
      <c r="G103" s="18">
        <v>49</v>
      </c>
      <c r="H103" s="18">
        <v>9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9">
        <f t="shared" si="56"/>
        <v>49</v>
      </c>
      <c r="CZ103" s="19">
        <f t="shared" si="56"/>
        <v>9</v>
      </c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</row>
    <row r="104" spans="1:122" ht="18" customHeight="1">
      <c r="A104" s="13" t="s">
        <v>140</v>
      </c>
      <c r="B104" s="14">
        <f>IFERROR(VLOOKUP(A104,PRICELIST!$A$3:$D$138,4,0),"-")</f>
        <v>28.8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9">
        <f>C104+E104+G104+I104+K104+M104+O104+Q104+S104+U104+W104+Y104+AA104+AC104+AE104+AG104+AI104+AK104+AM104+AO104+AQ104+AS104+AU104+AW104+AY104+BA104+BC104+BE104+BG104+BI104+BK104+BM104+BO104+BQ104+BS104+BU104+BW104+BY104+CA104+CC104+CE104+CG104+CI104+CK104+CM104+CO104+CQ104+CS104+CU104+CW104</f>
        <v>0</v>
      </c>
      <c r="CZ104" s="19">
        <f>D104+F104+H104+J104+L104+N104+P104+R104+T104+V104+X104+Z104+AB104+AD104+AF104+AH104+AJ104+AL104+AN104+AP104+AR104+AT104+AV104+AX104+AZ104+BB104+BD104+BF104+BH104+BJ104+BL104+BN104+BP104+BR104+BT104+BV104+BX104+BZ104+CB104+CD104+CF104+CH104+CJ104+CL104+CN104+CP104+CR104+CT104+CV104+CX104</f>
        <v>0</v>
      </c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</row>
    <row r="105" spans="1:122" ht="18" customHeight="1">
      <c r="A105" s="13" t="s">
        <v>141</v>
      </c>
      <c r="B105" s="14">
        <f>IFERROR(VLOOKUP(A105,PRICELIST!$A$3:$D$138,4,0),"-")</f>
        <v>60.43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9">
        <f>C105+E105+G105+I105+K105+M105+O105+Q105+S105+U105+W105+Y105+AA105+AC105+AE105+AG105+AI105+AK105+AM105+AO105+AQ105+AS105+AU105+AW105+AY105+BA105+BC105+BE105+BG105+BI105+BK105+BM105+BO105+BQ105+BS105+BU105+BW105+BY105+CA105+CC105+CE105+CG105+CI105+CK105+CM105+CO105+CQ105+CS105+CU105+CW105</f>
        <v>0</v>
      </c>
      <c r="CZ105" s="19">
        <f>D105+F105+H105+J105+L105+N105+P105+R105+T105+V105+X105+Z105+AB105+AD105+AF105+AH105+AJ105+AL105+AN105+AP105+AR105+AT105+AV105+AX105+AZ105+BB105+BD105+BF105+BH105+BJ105+BL105+BN105+BP105+BR105+BT105+BV105+BX105+BZ105+CB105+CD105+CF105+CH105+CJ105+CL105+CN105+CP105+CR105+CT105+CV105+CX105</f>
        <v>0</v>
      </c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</row>
    <row r="106" spans="1:122" ht="18" customHeight="1">
      <c r="A106" s="13" t="s">
        <v>138</v>
      </c>
      <c r="B106" s="14">
        <f>IFERROR(VLOOKUP(A106,PRICELIST!$A$3:$D$138,4,0),"-")</f>
        <v>96.43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9">
        <f t="shared" si="56"/>
        <v>0</v>
      </c>
      <c r="CZ106" s="19">
        <f t="shared" si="56"/>
        <v>0</v>
      </c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</row>
    <row r="107" spans="1:122" ht="18" customHeight="1">
      <c r="A107" s="13" t="s">
        <v>139</v>
      </c>
      <c r="B107" s="14">
        <f>IFERROR(VLOOKUP(A107,PRICELIST!$A$3:$D$138,4,0),"-")</f>
        <v>123.43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9">
        <f t="shared" si="56"/>
        <v>0</v>
      </c>
      <c r="CZ107" s="19">
        <f t="shared" si="56"/>
        <v>0</v>
      </c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</row>
    <row r="108" spans="1:122" ht="18" customHeight="1">
      <c r="A108" s="13" t="s">
        <v>142</v>
      </c>
      <c r="B108" s="14">
        <f>IFERROR(VLOOKUP(A108,PRICELIST!$A$3:$D$138,4,0),"-")</f>
        <v>121.5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9">
        <f t="shared" si="56"/>
        <v>0</v>
      </c>
      <c r="CZ108" s="19">
        <f t="shared" si="56"/>
        <v>0</v>
      </c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</row>
    <row r="109" spans="1:122" ht="18" customHeight="1">
      <c r="A109" s="13" t="s">
        <v>143</v>
      </c>
      <c r="B109" s="14">
        <f>IFERROR(VLOOKUP(A109,PRICELIST!$A$3:$D$138,4,0),"-")</f>
        <v>109.23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9">
        <f t="shared" si="56"/>
        <v>0</v>
      </c>
      <c r="CZ109" s="19">
        <f t="shared" si="56"/>
        <v>0</v>
      </c>
    </row>
    <row r="110" spans="1:122" ht="18" customHeight="1">
      <c r="A110" s="9" t="s">
        <v>144</v>
      </c>
      <c r="B110" s="10"/>
      <c r="C110" s="11">
        <f t="shared" ref="C110:AH110" si="57">SUMPRODUCT($B100:$B109,C100:C109)</f>
        <v>0</v>
      </c>
      <c r="D110" s="11">
        <f t="shared" si="57"/>
        <v>0</v>
      </c>
      <c r="E110" s="11">
        <f t="shared" si="57"/>
        <v>0</v>
      </c>
      <c r="F110" s="11">
        <f t="shared" si="57"/>
        <v>0</v>
      </c>
      <c r="G110" s="11">
        <f t="shared" si="57"/>
        <v>11098.52</v>
      </c>
      <c r="H110" s="11">
        <f t="shared" si="57"/>
        <v>6706.5800000000008</v>
      </c>
      <c r="I110" s="11">
        <f t="shared" si="57"/>
        <v>0</v>
      </c>
      <c r="J110" s="11">
        <f t="shared" si="57"/>
        <v>0</v>
      </c>
      <c r="K110" s="11">
        <f t="shared" si="57"/>
        <v>0</v>
      </c>
      <c r="L110" s="11">
        <f t="shared" si="57"/>
        <v>0</v>
      </c>
      <c r="M110" s="11">
        <f t="shared" si="57"/>
        <v>0</v>
      </c>
      <c r="N110" s="11">
        <f t="shared" si="57"/>
        <v>0</v>
      </c>
      <c r="O110" s="11">
        <f t="shared" si="57"/>
        <v>0</v>
      </c>
      <c r="P110" s="11">
        <f t="shared" si="57"/>
        <v>0</v>
      </c>
      <c r="Q110" s="11">
        <f t="shared" si="57"/>
        <v>0</v>
      </c>
      <c r="R110" s="11">
        <f t="shared" si="57"/>
        <v>0</v>
      </c>
      <c r="S110" s="11">
        <f t="shared" si="57"/>
        <v>0</v>
      </c>
      <c r="T110" s="11">
        <f t="shared" si="57"/>
        <v>0</v>
      </c>
      <c r="U110" s="11">
        <f t="shared" si="57"/>
        <v>0</v>
      </c>
      <c r="V110" s="11">
        <f t="shared" si="57"/>
        <v>0</v>
      </c>
      <c r="W110" s="11">
        <f t="shared" si="57"/>
        <v>0</v>
      </c>
      <c r="X110" s="11">
        <f t="shared" si="57"/>
        <v>0</v>
      </c>
      <c r="Y110" s="11">
        <f t="shared" si="57"/>
        <v>0</v>
      </c>
      <c r="Z110" s="11">
        <f t="shared" si="57"/>
        <v>0</v>
      </c>
      <c r="AA110" s="11">
        <f t="shared" si="57"/>
        <v>0</v>
      </c>
      <c r="AB110" s="11">
        <f t="shared" si="57"/>
        <v>0</v>
      </c>
      <c r="AC110" s="11">
        <f t="shared" si="57"/>
        <v>0</v>
      </c>
      <c r="AD110" s="11">
        <f t="shared" si="57"/>
        <v>0</v>
      </c>
      <c r="AE110" s="11">
        <f t="shared" si="57"/>
        <v>0</v>
      </c>
      <c r="AF110" s="11">
        <f t="shared" si="57"/>
        <v>0</v>
      </c>
      <c r="AG110" s="11">
        <f t="shared" si="57"/>
        <v>0</v>
      </c>
      <c r="AH110" s="11">
        <f t="shared" si="57"/>
        <v>0</v>
      </c>
      <c r="AI110" s="11">
        <f t="shared" ref="AI110:BN110" si="58">SUMPRODUCT($B100:$B109,AI100:AI109)</f>
        <v>0</v>
      </c>
      <c r="AJ110" s="11">
        <f t="shared" si="58"/>
        <v>0</v>
      </c>
      <c r="AK110" s="11">
        <f t="shared" si="58"/>
        <v>0</v>
      </c>
      <c r="AL110" s="11">
        <f t="shared" si="58"/>
        <v>0</v>
      </c>
      <c r="AM110" s="11">
        <f t="shared" si="58"/>
        <v>0</v>
      </c>
      <c r="AN110" s="11">
        <f t="shared" si="58"/>
        <v>0</v>
      </c>
      <c r="AO110" s="11">
        <f t="shared" si="58"/>
        <v>0</v>
      </c>
      <c r="AP110" s="11">
        <f t="shared" si="58"/>
        <v>0</v>
      </c>
      <c r="AQ110" s="11">
        <f t="shared" si="58"/>
        <v>0</v>
      </c>
      <c r="AR110" s="11">
        <f t="shared" si="58"/>
        <v>0</v>
      </c>
      <c r="AS110" s="11">
        <f t="shared" si="58"/>
        <v>0</v>
      </c>
      <c r="AT110" s="11">
        <f t="shared" si="58"/>
        <v>0</v>
      </c>
      <c r="AU110" s="11">
        <f t="shared" si="58"/>
        <v>0</v>
      </c>
      <c r="AV110" s="11">
        <f t="shared" si="58"/>
        <v>0</v>
      </c>
      <c r="AW110" s="11">
        <f t="shared" si="58"/>
        <v>0</v>
      </c>
      <c r="AX110" s="11">
        <f t="shared" si="58"/>
        <v>0</v>
      </c>
      <c r="AY110" s="11">
        <f t="shared" si="58"/>
        <v>0</v>
      </c>
      <c r="AZ110" s="11">
        <f t="shared" si="58"/>
        <v>0</v>
      </c>
      <c r="BA110" s="11">
        <f t="shared" si="58"/>
        <v>0</v>
      </c>
      <c r="BB110" s="11">
        <f t="shared" si="58"/>
        <v>0</v>
      </c>
      <c r="BC110" s="11">
        <f t="shared" si="58"/>
        <v>0</v>
      </c>
      <c r="BD110" s="11">
        <f t="shared" si="58"/>
        <v>0</v>
      </c>
      <c r="BE110" s="11">
        <f t="shared" si="58"/>
        <v>0</v>
      </c>
      <c r="BF110" s="11">
        <f t="shared" si="58"/>
        <v>0</v>
      </c>
      <c r="BG110" s="11">
        <f t="shared" si="58"/>
        <v>0</v>
      </c>
      <c r="BH110" s="11">
        <f t="shared" si="58"/>
        <v>0</v>
      </c>
      <c r="BI110" s="11">
        <f t="shared" si="58"/>
        <v>0</v>
      </c>
      <c r="BJ110" s="11">
        <f t="shared" si="58"/>
        <v>0</v>
      </c>
      <c r="BK110" s="11">
        <f t="shared" si="58"/>
        <v>0</v>
      </c>
      <c r="BL110" s="11">
        <f t="shared" si="58"/>
        <v>0</v>
      </c>
      <c r="BM110" s="11">
        <f t="shared" si="58"/>
        <v>0</v>
      </c>
      <c r="BN110" s="11">
        <f t="shared" si="58"/>
        <v>0</v>
      </c>
      <c r="BO110" s="11">
        <f t="shared" ref="BO110:CT110" si="59">SUMPRODUCT($B100:$B109,BO100:BO109)</f>
        <v>0</v>
      </c>
      <c r="BP110" s="11">
        <f t="shared" si="59"/>
        <v>0</v>
      </c>
      <c r="BQ110" s="11">
        <f t="shared" si="59"/>
        <v>0</v>
      </c>
      <c r="BR110" s="11">
        <f t="shared" si="59"/>
        <v>0</v>
      </c>
      <c r="BS110" s="11">
        <f t="shared" si="59"/>
        <v>0</v>
      </c>
      <c r="BT110" s="11">
        <f t="shared" si="59"/>
        <v>0</v>
      </c>
      <c r="BU110" s="11">
        <f t="shared" si="59"/>
        <v>0</v>
      </c>
      <c r="BV110" s="11">
        <f t="shared" si="59"/>
        <v>0</v>
      </c>
      <c r="BW110" s="11">
        <f t="shared" si="59"/>
        <v>0</v>
      </c>
      <c r="BX110" s="11">
        <f t="shared" si="59"/>
        <v>0</v>
      </c>
      <c r="BY110" s="11">
        <f t="shared" si="59"/>
        <v>0</v>
      </c>
      <c r="BZ110" s="11">
        <f t="shared" si="59"/>
        <v>0</v>
      </c>
      <c r="CA110" s="11">
        <f t="shared" si="59"/>
        <v>0</v>
      </c>
      <c r="CB110" s="11">
        <f t="shared" si="59"/>
        <v>0</v>
      </c>
      <c r="CC110" s="11">
        <f t="shared" si="59"/>
        <v>0</v>
      </c>
      <c r="CD110" s="11">
        <f t="shared" si="59"/>
        <v>0</v>
      </c>
      <c r="CE110" s="11">
        <f t="shared" si="59"/>
        <v>0</v>
      </c>
      <c r="CF110" s="11">
        <f t="shared" si="59"/>
        <v>0</v>
      </c>
      <c r="CG110" s="11">
        <f t="shared" si="59"/>
        <v>0</v>
      </c>
      <c r="CH110" s="11">
        <f t="shared" si="59"/>
        <v>0</v>
      </c>
      <c r="CI110" s="11">
        <f t="shared" si="59"/>
        <v>0</v>
      </c>
      <c r="CJ110" s="11">
        <f t="shared" si="59"/>
        <v>0</v>
      </c>
      <c r="CK110" s="11">
        <f t="shared" si="59"/>
        <v>0</v>
      </c>
      <c r="CL110" s="11">
        <f t="shared" si="59"/>
        <v>0</v>
      </c>
      <c r="CM110" s="11">
        <f t="shared" si="59"/>
        <v>0</v>
      </c>
      <c r="CN110" s="11">
        <f t="shared" si="59"/>
        <v>0</v>
      </c>
      <c r="CO110" s="11">
        <f t="shared" si="59"/>
        <v>0</v>
      </c>
      <c r="CP110" s="11">
        <f t="shared" si="59"/>
        <v>0</v>
      </c>
      <c r="CQ110" s="11">
        <f t="shared" si="59"/>
        <v>0</v>
      </c>
      <c r="CR110" s="11">
        <f t="shared" si="59"/>
        <v>0</v>
      </c>
      <c r="CS110" s="11">
        <f t="shared" si="59"/>
        <v>0</v>
      </c>
      <c r="CT110" s="11">
        <f t="shared" si="59"/>
        <v>0</v>
      </c>
      <c r="CU110" s="11">
        <f t="shared" ref="CU110:CZ110" si="60">SUMPRODUCT($B100:$B109,CU100:CU109)</f>
        <v>0</v>
      </c>
      <c r="CV110" s="11">
        <f t="shared" si="60"/>
        <v>0</v>
      </c>
      <c r="CW110" s="11">
        <f t="shared" si="60"/>
        <v>0</v>
      </c>
      <c r="CX110" s="11">
        <f t="shared" si="60"/>
        <v>0</v>
      </c>
      <c r="CY110" s="11">
        <f t="shared" si="60"/>
        <v>11098.52</v>
      </c>
      <c r="CZ110" s="11">
        <f t="shared" si="60"/>
        <v>6706.5800000000008</v>
      </c>
    </row>
    <row r="111" spans="1:122">
      <c r="A111" s="13" t="s">
        <v>146</v>
      </c>
      <c r="B111" s="14">
        <f>IFERROR(VLOOKUP(A111,PRICELIST!$A$3:$D$138,4,0),"-")</f>
        <v>31.29</v>
      </c>
      <c r="C111" s="18"/>
      <c r="D111" s="18"/>
      <c r="E111" s="18"/>
      <c r="F111" s="18"/>
      <c r="G111" s="18">
        <v>10</v>
      </c>
      <c r="H111" s="18">
        <v>16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9">
        <f t="shared" ref="CY111:CZ114" si="61">C111+E111+G111+I111+K111+M111+O111+Q111+S111+U111+W111+Y111+AA111+AC111+AE111+AG111+AI111+AK111+AM111+AO111+AQ111+AS111+AU111+AW111+AY111+BA111+BC111+BE111+BG111+BI111+BK111+BM111+BO111+BQ111+BS111+BU111+BW111+BY111+CA111+CC111+CE111+CG111+CI111+CK111+CM111+CO111+CQ111+CS111+CU111+CW111</f>
        <v>10</v>
      </c>
      <c r="CZ111" s="19">
        <f t="shared" si="61"/>
        <v>16</v>
      </c>
    </row>
    <row r="112" spans="1:122">
      <c r="A112" s="13" t="s">
        <v>147</v>
      </c>
      <c r="B112" s="14">
        <f>IFERROR(VLOOKUP(A112,PRICELIST!$A$3:$D$138,4,0),"-")</f>
        <v>68.36</v>
      </c>
      <c r="C112" s="18"/>
      <c r="D112" s="18"/>
      <c r="E112" s="18"/>
      <c r="F112" s="18"/>
      <c r="G112" s="18">
        <v>25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9">
        <f t="shared" si="61"/>
        <v>25</v>
      </c>
      <c r="CZ112" s="19">
        <f t="shared" si="61"/>
        <v>0</v>
      </c>
    </row>
    <row r="113" spans="1:104">
      <c r="A113" s="13" t="s">
        <v>148</v>
      </c>
      <c r="B113" s="14">
        <f>IFERROR(VLOOKUP(A113,PRICELIST!$A$3:$D$138,4,0),"-")</f>
        <v>210.72</v>
      </c>
      <c r="C113" s="18"/>
      <c r="D113" s="18"/>
      <c r="E113" s="18"/>
      <c r="F113" s="18"/>
      <c r="G113" s="18">
        <v>30</v>
      </c>
      <c r="H113" s="18">
        <v>3</v>
      </c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9">
        <f t="shared" si="61"/>
        <v>30</v>
      </c>
      <c r="CZ113" s="19">
        <f t="shared" si="61"/>
        <v>3</v>
      </c>
    </row>
    <row r="114" spans="1:104">
      <c r="A114" s="13" t="s">
        <v>149</v>
      </c>
      <c r="B114" s="14">
        <f>IFERROR(VLOOKUP(A114,PRICELIST!$A$3:$D$138,4,0),"-")</f>
        <v>180.9</v>
      </c>
      <c r="C114" s="18"/>
      <c r="D114" s="18"/>
      <c r="E114" s="18"/>
      <c r="F114" s="18"/>
      <c r="G114" s="18">
        <v>25</v>
      </c>
      <c r="H114" s="18">
        <v>34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9">
        <f t="shared" si="61"/>
        <v>25</v>
      </c>
      <c r="CZ114" s="19">
        <f t="shared" si="61"/>
        <v>34</v>
      </c>
    </row>
    <row r="115" spans="1:104">
      <c r="A115" s="9" t="s">
        <v>145</v>
      </c>
      <c r="B115" s="10"/>
      <c r="C115" s="11">
        <f>SUMPRODUCT($B111:$B114,C111:C114)</f>
        <v>0</v>
      </c>
      <c r="D115" s="11">
        <f t="shared" ref="D115:BO115" si="62">SUMPRODUCT($B111:$B114,D111:D114)</f>
        <v>0</v>
      </c>
      <c r="E115" s="11">
        <f t="shared" si="62"/>
        <v>0</v>
      </c>
      <c r="F115" s="11">
        <f t="shared" si="62"/>
        <v>0</v>
      </c>
      <c r="G115" s="11">
        <f t="shared" si="62"/>
        <v>12866</v>
      </c>
      <c r="H115" s="11">
        <f t="shared" si="62"/>
        <v>7283.4000000000005</v>
      </c>
      <c r="I115" s="11">
        <f t="shared" si="62"/>
        <v>0</v>
      </c>
      <c r="J115" s="11">
        <f t="shared" si="62"/>
        <v>0</v>
      </c>
      <c r="K115" s="11">
        <f t="shared" si="62"/>
        <v>0</v>
      </c>
      <c r="L115" s="11">
        <f t="shared" si="62"/>
        <v>0</v>
      </c>
      <c r="M115" s="11">
        <f t="shared" si="62"/>
        <v>0</v>
      </c>
      <c r="N115" s="11">
        <f t="shared" si="62"/>
        <v>0</v>
      </c>
      <c r="O115" s="11">
        <f t="shared" si="62"/>
        <v>0</v>
      </c>
      <c r="P115" s="11">
        <f t="shared" si="62"/>
        <v>0</v>
      </c>
      <c r="Q115" s="11">
        <f t="shared" si="62"/>
        <v>0</v>
      </c>
      <c r="R115" s="11">
        <f t="shared" si="62"/>
        <v>0</v>
      </c>
      <c r="S115" s="11">
        <f t="shared" si="62"/>
        <v>0</v>
      </c>
      <c r="T115" s="11">
        <f t="shared" si="62"/>
        <v>0</v>
      </c>
      <c r="U115" s="11">
        <f t="shared" si="62"/>
        <v>0</v>
      </c>
      <c r="V115" s="11">
        <f t="shared" si="62"/>
        <v>0</v>
      </c>
      <c r="W115" s="11">
        <f t="shared" si="62"/>
        <v>0</v>
      </c>
      <c r="X115" s="11">
        <f t="shared" si="62"/>
        <v>0</v>
      </c>
      <c r="Y115" s="11">
        <f t="shared" si="62"/>
        <v>0</v>
      </c>
      <c r="Z115" s="11">
        <f t="shared" si="62"/>
        <v>0</v>
      </c>
      <c r="AA115" s="11">
        <f t="shared" si="62"/>
        <v>0</v>
      </c>
      <c r="AB115" s="11">
        <f t="shared" si="62"/>
        <v>0</v>
      </c>
      <c r="AC115" s="11">
        <f t="shared" si="62"/>
        <v>0</v>
      </c>
      <c r="AD115" s="11">
        <f t="shared" si="62"/>
        <v>0</v>
      </c>
      <c r="AE115" s="11">
        <f t="shared" si="62"/>
        <v>0</v>
      </c>
      <c r="AF115" s="11">
        <f t="shared" si="62"/>
        <v>0</v>
      </c>
      <c r="AG115" s="11">
        <f t="shared" si="62"/>
        <v>0</v>
      </c>
      <c r="AH115" s="11">
        <f t="shared" si="62"/>
        <v>0</v>
      </c>
      <c r="AI115" s="11">
        <f t="shared" si="62"/>
        <v>0</v>
      </c>
      <c r="AJ115" s="11">
        <f t="shared" si="62"/>
        <v>0</v>
      </c>
      <c r="AK115" s="11">
        <f t="shared" si="62"/>
        <v>0</v>
      </c>
      <c r="AL115" s="11">
        <f t="shared" si="62"/>
        <v>0</v>
      </c>
      <c r="AM115" s="11">
        <f t="shared" si="62"/>
        <v>0</v>
      </c>
      <c r="AN115" s="11">
        <f t="shared" si="62"/>
        <v>0</v>
      </c>
      <c r="AO115" s="11">
        <f t="shared" si="62"/>
        <v>0</v>
      </c>
      <c r="AP115" s="11">
        <f t="shared" si="62"/>
        <v>0</v>
      </c>
      <c r="AQ115" s="11">
        <f t="shared" si="62"/>
        <v>0</v>
      </c>
      <c r="AR115" s="11">
        <f t="shared" si="62"/>
        <v>0</v>
      </c>
      <c r="AS115" s="11">
        <f t="shared" si="62"/>
        <v>0</v>
      </c>
      <c r="AT115" s="11">
        <f t="shared" si="62"/>
        <v>0</v>
      </c>
      <c r="AU115" s="11">
        <f t="shared" si="62"/>
        <v>0</v>
      </c>
      <c r="AV115" s="11">
        <f t="shared" si="62"/>
        <v>0</v>
      </c>
      <c r="AW115" s="11">
        <f t="shared" si="62"/>
        <v>0</v>
      </c>
      <c r="AX115" s="11">
        <f t="shared" si="62"/>
        <v>0</v>
      </c>
      <c r="AY115" s="11">
        <f t="shared" si="62"/>
        <v>0</v>
      </c>
      <c r="AZ115" s="11">
        <f t="shared" si="62"/>
        <v>0</v>
      </c>
      <c r="BA115" s="11">
        <f t="shared" si="62"/>
        <v>0</v>
      </c>
      <c r="BB115" s="11">
        <f t="shared" si="62"/>
        <v>0</v>
      </c>
      <c r="BC115" s="11">
        <f t="shared" si="62"/>
        <v>0</v>
      </c>
      <c r="BD115" s="11">
        <f t="shared" si="62"/>
        <v>0</v>
      </c>
      <c r="BE115" s="11">
        <f t="shared" si="62"/>
        <v>0</v>
      </c>
      <c r="BF115" s="11">
        <f t="shared" si="62"/>
        <v>0</v>
      </c>
      <c r="BG115" s="11">
        <f t="shared" si="62"/>
        <v>0</v>
      </c>
      <c r="BH115" s="11">
        <f t="shared" si="62"/>
        <v>0</v>
      </c>
      <c r="BI115" s="11">
        <f t="shared" si="62"/>
        <v>0</v>
      </c>
      <c r="BJ115" s="11">
        <f t="shared" si="62"/>
        <v>0</v>
      </c>
      <c r="BK115" s="11">
        <f t="shared" si="62"/>
        <v>0</v>
      </c>
      <c r="BL115" s="11">
        <f t="shared" si="62"/>
        <v>0</v>
      </c>
      <c r="BM115" s="11">
        <f t="shared" si="62"/>
        <v>0</v>
      </c>
      <c r="BN115" s="11">
        <f t="shared" si="62"/>
        <v>0</v>
      </c>
      <c r="BO115" s="11">
        <f t="shared" si="62"/>
        <v>0</v>
      </c>
      <c r="BP115" s="11">
        <f t="shared" ref="BP115:CZ115" si="63">SUMPRODUCT($B111:$B114,BP111:BP114)</f>
        <v>0</v>
      </c>
      <c r="BQ115" s="11">
        <f t="shared" si="63"/>
        <v>0</v>
      </c>
      <c r="BR115" s="11">
        <f t="shared" si="63"/>
        <v>0</v>
      </c>
      <c r="BS115" s="11">
        <f t="shared" si="63"/>
        <v>0</v>
      </c>
      <c r="BT115" s="11">
        <f t="shared" si="63"/>
        <v>0</v>
      </c>
      <c r="BU115" s="11">
        <f t="shared" si="63"/>
        <v>0</v>
      </c>
      <c r="BV115" s="11">
        <f t="shared" si="63"/>
        <v>0</v>
      </c>
      <c r="BW115" s="11">
        <f t="shared" si="63"/>
        <v>0</v>
      </c>
      <c r="BX115" s="11">
        <f t="shared" si="63"/>
        <v>0</v>
      </c>
      <c r="BY115" s="11">
        <f t="shared" si="63"/>
        <v>0</v>
      </c>
      <c r="BZ115" s="11">
        <f t="shared" si="63"/>
        <v>0</v>
      </c>
      <c r="CA115" s="11">
        <f t="shared" si="63"/>
        <v>0</v>
      </c>
      <c r="CB115" s="11">
        <f t="shared" si="63"/>
        <v>0</v>
      </c>
      <c r="CC115" s="11">
        <f t="shared" si="63"/>
        <v>0</v>
      </c>
      <c r="CD115" s="11">
        <f t="shared" si="63"/>
        <v>0</v>
      </c>
      <c r="CE115" s="11">
        <f t="shared" si="63"/>
        <v>0</v>
      </c>
      <c r="CF115" s="11">
        <f t="shared" si="63"/>
        <v>0</v>
      </c>
      <c r="CG115" s="11">
        <f t="shared" si="63"/>
        <v>0</v>
      </c>
      <c r="CH115" s="11">
        <f t="shared" si="63"/>
        <v>0</v>
      </c>
      <c r="CI115" s="11">
        <f t="shared" si="63"/>
        <v>0</v>
      </c>
      <c r="CJ115" s="11">
        <f t="shared" si="63"/>
        <v>0</v>
      </c>
      <c r="CK115" s="11">
        <f t="shared" si="63"/>
        <v>0</v>
      </c>
      <c r="CL115" s="11">
        <f t="shared" si="63"/>
        <v>0</v>
      </c>
      <c r="CM115" s="11">
        <f t="shared" si="63"/>
        <v>0</v>
      </c>
      <c r="CN115" s="11">
        <f t="shared" si="63"/>
        <v>0</v>
      </c>
      <c r="CO115" s="11">
        <f t="shared" si="63"/>
        <v>0</v>
      </c>
      <c r="CP115" s="11">
        <f t="shared" si="63"/>
        <v>0</v>
      </c>
      <c r="CQ115" s="11">
        <f t="shared" si="63"/>
        <v>0</v>
      </c>
      <c r="CR115" s="11">
        <f t="shared" si="63"/>
        <v>0</v>
      </c>
      <c r="CS115" s="11">
        <f t="shared" si="63"/>
        <v>0</v>
      </c>
      <c r="CT115" s="11">
        <f t="shared" si="63"/>
        <v>0</v>
      </c>
      <c r="CU115" s="11">
        <f t="shared" si="63"/>
        <v>0</v>
      </c>
      <c r="CV115" s="11">
        <f t="shared" si="63"/>
        <v>0</v>
      </c>
      <c r="CW115" s="11">
        <f t="shared" si="63"/>
        <v>0</v>
      </c>
      <c r="CX115" s="11">
        <f t="shared" si="63"/>
        <v>0</v>
      </c>
      <c r="CY115" s="11">
        <f t="shared" si="63"/>
        <v>12866</v>
      </c>
      <c r="CZ115" s="11">
        <f t="shared" si="63"/>
        <v>7283.4000000000005</v>
      </c>
    </row>
    <row r="116" spans="1:104">
      <c r="A116" s="4"/>
      <c r="B116" s="14" t="str">
        <f>IFERROR(VLOOKUP(A116,PRICELIST!$A$3:$D$138,4,0),"-")</f>
        <v>-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9">
        <f t="shared" ref="CY116:CZ118" si="64">C116+E116+G116+I116+K116+M116+O116+Q116+S116+U116+W116+Y116+AA116+AC116+AE116+AG116+AI116+AK116+AM116+AO116+AQ116+AS116+AU116+AW116+AY116+BA116+BC116+BE116+BG116+BI116+BK116+BM116+BO116+BQ116+BS116+BU116+BW116+BY116+CA116+CC116+CE116+CG116+CI116+CK116+CM116+CO116+CQ116+CS116+CU116+CW116</f>
        <v>0</v>
      </c>
      <c r="CZ116" s="19">
        <f t="shared" si="64"/>
        <v>0</v>
      </c>
    </row>
    <row r="117" spans="1:104">
      <c r="A117" s="4"/>
      <c r="B117" s="14" t="str">
        <f>IFERROR(VLOOKUP(A117,PRICELIST!$A$3:$D$138,4,0),"-")</f>
        <v>-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9">
        <f t="shared" si="64"/>
        <v>0</v>
      </c>
      <c r="CZ117" s="19">
        <f t="shared" si="64"/>
        <v>0</v>
      </c>
    </row>
    <row r="118" spans="1:104">
      <c r="A118" s="4"/>
      <c r="B118" s="14" t="str">
        <f>IFERROR(VLOOKUP(A118,PRICELIST!$A$3:$D$138,4,0),"-")</f>
        <v>-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9">
        <f t="shared" si="64"/>
        <v>0</v>
      </c>
      <c r="CZ118" s="19">
        <f t="shared" si="64"/>
        <v>0</v>
      </c>
    </row>
    <row r="119" spans="1:104">
      <c r="A119" s="9"/>
      <c r="B119" s="15"/>
      <c r="C119" s="5">
        <f>SUMPRODUCT($B116:$B118,C116:C118)</f>
        <v>0</v>
      </c>
      <c r="D119" s="5">
        <f t="shared" ref="D119:BO119" si="65">SUMPRODUCT($B116:$B118,D116:D118)</f>
        <v>0</v>
      </c>
      <c r="E119" s="5">
        <f t="shared" si="65"/>
        <v>0</v>
      </c>
      <c r="F119" s="5">
        <f t="shared" si="65"/>
        <v>0</v>
      </c>
      <c r="G119" s="5">
        <f t="shared" si="65"/>
        <v>0</v>
      </c>
      <c r="H119" s="5">
        <f t="shared" si="65"/>
        <v>0</v>
      </c>
      <c r="I119" s="5">
        <f t="shared" si="65"/>
        <v>0</v>
      </c>
      <c r="J119" s="5">
        <f t="shared" si="65"/>
        <v>0</v>
      </c>
      <c r="K119" s="5">
        <f t="shared" si="65"/>
        <v>0</v>
      </c>
      <c r="L119" s="5">
        <f t="shared" si="65"/>
        <v>0</v>
      </c>
      <c r="M119" s="5">
        <f t="shared" si="65"/>
        <v>0</v>
      </c>
      <c r="N119" s="5">
        <f t="shared" si="65"/>
        <v>0</v>
      </c>
      <c r="O119" s="5">
        <f t="shared" si="65"/>
        <v>0</v>
      </c>
      <c r="P119" s="5">
        <f t="shared" si="65"/>
        <v>0</v>
      </c>
      <c r="Q119" s="5">
        <f t="shared" si="65"/>
        <v>0</v>
      </c>
      <c r="R119" s="5">
        <f t="shared" si="65"/>
        <v>0</v>
      </c>
      <c r="S119" s="5">
        <f t="shared" si="65"/>
        <v>0</v>
      </c>
      <c r="T119" s="5">
        <f t="shared" si="65"/>
        <v>0</v>
      </c>
      <c r="U119" s="5">
        <f t="shared" si="65"/>
        <v>0</v>
      </c>
      <c r="V119" s="5">
        <f t="shared" si="65"/>
        <v>0</v>
      </c>
      <c r="W119" s="5">
        <f t="shared" si="65"/>
        <v>0</v>
      </c>
      <c r="X119" s="5">
        <f t="shared" si="65"/>
        <v>0</v>
      </c>
      <c r="Y119" s="5">
        <f t="shared" si="65"/>
        <v>0</v>
      </c>
      <c r="Z119" s="5">
        <f t="shared" si="65"/>
        <v>0</v>
      </c>
      <c r="AA119" s="5">
        <f t="shared" si="65"/>
        <v>0</v>
      </c>
      <c r="AB119" s="5">
        <f t="shared" si="65"/>
        <v>0</v>
      </c>
      <c r="AC119" s="5">
        <f t="shared" si="65"/>
        <v>0</v>
      </c>
      <c r="AD119" s="5">
        <f t="shared" si="65"/>
        <v>0</v>
      </c>
      <c r="AE119" s="5">
        <f t="shared" si="65"/>
        <v>0</v>
      </c>
      <c r="AF119" s="5">
        <f t="shared" si="65"/>
        <v>0</v>
      </c>
      <c r="AG119" s="5">
        <f t="shared" si="65"/>
        <v>0</v>
      </c>
      <c r="AH119" s="5">
        <f t="shared" si="65"/>
        <v>0</v>
      </c>
      <c r="AI119" s="5">
        <f t="shared" si="65"/>
        <v>0</v>
      </c>
      <c r="AJ119" s="5">
        <f t="shared" si="65"/>
        <v>0</v>
      </c>
      <c r="AK119" s="5">
        <f t="shared" si="65"/>
        <v>0</v>
      </c>
      <c r="AL119" s="5">
        <f t="shared" si="65"/>
        <v>0</v>
      </c>
      <c r="AM119" s="5">
        <f t="shared" si="65"/>
        <v>0</v>
      </c>
      <c r="AN119" s="5">
        <f t="shared" si="65"/>
        <v>0</v>
      </c>
      <c r="AO119" s="5">
        <f t="shared" si="65"/>
        <v>0</v>
      </c>
      <c r="AP119" s="5">
        <f t="shared" si="65"/>
        <v>0</v>
      </c>
      <c r="AQ119" s="5">
        <f t="shared" si="65"/>
        <v>0</v>
      </c>
      <c r="AR119" s="5">
        <f t="shared" si="65"/>
        <v>0</v>
      </c>
      <c r="AS119" s="5">
        <f t="shared" si="65"/>
        <v>0</v>
      </c>
      <c r="AT119" s="5">
        <f t="shared" si="65"/>
        <v>0</v>
      </c>
      <c r="AU119" s="5">
        <f t="shared" si="65"/>
        <v>0</v>
      </c>
      <c r="AV119" s="5">
        <f t="shared" si="65"/>
        <v>0</v>
      </c>
      <c r="AW119" s="5">
        <f t="shared" si="65"/>
        <v>0</v>
      </c>
      <c r="AX119" s="5">
        <f t="shared" si="65"/>
        <v>0</v>
      </c>
      <c r="AY119" s="5">
        <f t="shared" si="65"/>
        <v>0</v>
      </c>
      <c r="AZ119" s="5">
        <f t="shared" si="65"/>
        <v>0</v>
      </c>
      <c r="BA119" s="5">
        <f t="shared" si="65"/>
        <v>0</v>
      </c>
      <c r="BB119" s="5">
        <f t="shared" si="65"/>
        <v>0</v>
      </c>
      <c r="BC119" s="5">
        <f t="shared" si="65"/>
        <v>0</v>
      </c>
      <c r="BD119" s="5">
        <f t="shared" si="65"/>
        <v>0</v>
      </c>
      <c r="BE119" s="5">
        <f t="shared" si="65"/>
        <v>0</v>
      </c>
      <c r="BF119" s="5">
        <f t="shared" si="65"/>
        <v>0</v>
      </c>
      <c r="BG119" s="5">
        <f t="shared" si="65"/>
        <v>0</v>
      </c>
      <c r="BH119" s="5">
        <f t="shared" si="65"/>
        <v>0</v>
      </c>
      <c r="BI119" s="5">
        <f t="shared" si="65"/>
        <v>0</v>
      </c>
      <c r="BJ119" s="5">
        <f t="shared" si="65"/>
        <v>0</v>
      </c>
      <c r="BK119" s="5">
        <f t="shared" si="65"/>
        <v>0</v>
      </c>
      <c r="BL119" s="5">
        <f t="shared" si="65"/>
        <v>0</v>
      </c>
      <c r="BM119" s="5">
        <f t="shared" si="65"/>
        <v>0</v>
      </c>
      <c r="BN119" s="5">
        <f t="shared" si="65"/>
        <v>0</v>
      </c>
      <c r="BO119" s="5">
        <f t="shared" si="65"/>
        <v>0</v>
      </c>
      <c r="BP119" s="5">
        <f t="shared" ref="BP119:CZ119" si="66">SUMPRODUCT($B116:$B118,BP116:BP118)</f>
        <v>0</v>
      </c>
      <c r="BQ119" s="5">
        <f t="shared" si="66"/>
        <v>0</v>
      </c>
      <c r="BR119" s="5">
        <f t="shared" si="66"/>
        <v>0</v>
      </c>
      <c r="BS119" s="5">
        <f t="shared" si="66"/>
        <v>0</v>
      </c>
      <c r="BT119" s="5">
        <f t="shared" si="66"/>
        <v>0</v>
      </c>
      <c r="BU119" s="5">
        <f t="shared" si="66"/>
        <v>0</v>
      </c>
      <c r="BV119" s="5">
        <f t="shared" si="66"/>
        <v>0</v>
      </c>
      <c r="BW119" s="5">
        <f t="shared" si="66"/>
        <v>0</v>
      </c>
      <c r="BX119" s="5">
        <f t="shared" si="66"/>
        <v>0</v>
      </c>
      <c r="BY119" s="5">
        <f t="shared" si="66"/>
        <v>0</v>
      </c>
      <c r="BZ119" s="5">
        <f t="shared" si="66"/>
        <v>0</v>
      </c>
      <c r="CA119" s="5">
        <f t="shared" si="66"/>
        <v>0</v>
      </c>
      <c r="CB119" s="5">
        <f t="shared" si="66"/>
        <v>0</v>
      </c>
      <c r="CC119" s="5">
        <f t="shared" si="66"/>
        <v>0</v>
      </c>
      <c r="CD119" s="5">
        <f t="shared" si="66"/>
        <v>0</v>
      </c>
      <c r="CE119" s="5">
        <f t="shared" si="66"/>
        <v>0</v>
      </c>
      <c r="CF119" s="5">
        <f t="shared" si="66"/>
        <v>0</v>
      </c>
      <c r="CG119" s="5">
        <f t="shared" si="66"/>
        <v>0</v>
      </c>
      <c r="CH119" s="5">
        <f t="shared" si="66"/>
        <v>0</v>
      </c>
      <c r="CI119" s="5">
        <f t="shared" si="66"/>
        <v>0</v>
      </c>
      <c r="CJ119" s="5">
        <f t="shared" si="66"/>
        <v>0</v>
      </c>
      <c r="CK119" s="5">
        <f t="shared" si="66"/>
        <v>0</v>
      </c>
      <c r="CL119" s="5">
        <f t="shared" si="66"/>
        <v>0</v>
      </c>
      <c r="CM119" s="5">
        <f t="shared" si="66"/>
        <v>0</v>
      </c>
      <c r="CN119" s="5">
        <f t="shared" si="66"/>
        <v>0</v>
      </c>
      <c r="CO119" s="5">
        <f t="shared" si="66"/>
        <v>0</v>
      </c>
      <c r="CP119" s="5">
        <f t="shared" si="66"/>
        <v>0</v>
      </c>
      <c r="CQ119" s="5">
        <f t="shared" si="66"/>
        <v>0</v>
      </c>
      <c r="CR119" s="5">
        <f t="shared" si="66"/>
        <v>0</v>
      </c>
      <c r="CS119" s="5">
        <f t="shared" si="66"/>
        <v>0</v>
      </c>
      <c r="CT119" s="5">
        <f t="shared" si="66"/>
        <v>0</v>
      </c>
      <c r="CU119" s="5">
        <f t="shared" si="66"/>
        <v>0</v>
      </c>
      <c r="CV119" s="5">
        <f t="shared" si="66"/>
        <v>0</v>
      </c>
      <c r="CW119" s="5">
        <f t="shared" si="66"/>
        <v>0</v>
      </c>
      <c r="CX119" s="5">
        <f t="shared" si="66"/>
        <v>0</v>
      </c>
      <c r="CY119" s="5">
        <f t="shared" si="66"/>
        <v>0</v>
      </c>
      <c r="CZ119" s="5">
        <f t="shared" si="66"/>
        <v>0</v>
      </c>
    </row>
    <row r="120" spans="1:104" ht="15.5">
      <c r="A120" s="16" t="s">
        <v>71</v>
      </c>
      <c r="B120" s="17"/>
      <c r="C120" s="6">
        <f t="shared" ref="C120:AH120" si="67">SUM(C10,C20,C24,C27,C34,C37,C40,C47,C49,C53,C59,C71,C79,C81,C88,C92,C95,C99,C110,C115,C119)/100000</f>
        <v>0</v>
      </c>
      <c r="D120" s="6">
        <f t="shared" si="67"/>
        <v>0</v>
      </c>
      <c r="E120" s="6">
        <f t="shared" si="67"/>
        <v>0</v>
      </c>
      <c r="F120" s="6">
        <f t="shared" si="67"/>
        <v>0</v>
      </c>
      <c r="G120" s="6">
        <f t="shared" si="67"/>
        <v>0.79052860000000003</v>
      </c>
      <c r="H120" s="6">
        <f t="shared" si="67"/>
        <v>0.48580970000000007</v>
      </c>
      <c r="I120" s="6">
        <f t="shared" si="67"/>
        <v>0</v>
      </c>
      <c r="J120" s="6">
        <f t="shared" si="67"/>
        <v>0</v>
      </c>
      <c r="K120" s="6">
        <f t="shared" si="67"/>
        <v>0</v>
      </c>
      <c r="L120" s="6">
        <f t="shared" si="67"/>
        <v>0</v>
      </c>
      <c r="M120" s="6">
        <f t="shared" si="67"/>
        <v>0</v>
      </c>
      <c r="N120" s="6">
        <f t="shared" si="67"/>
        <v>0</v>
      </c>
      <c r="O120" s="6">
        <f t="shared" si="67"/>
        <v>0</v>
      </c>
      <c r="P120" s="6">
        <f t="shared" si="67"/>
        <v>0</v>
      </c>
      <c r="Q120" s="6">
        <f t="shared" si="67"/>
        <v>0</v>
      </c>
      <c r="R120" s="6">
        <f t="shared" si="67"/>
        <v>0</v>
      </c>
      <c r="S120" s="6">
        <f t="shared" si="67"/>
        <v>0</v>
      </c>
      <c r="T120" s="6">
        <f t="shared" si="67"/>
        <v>0</v>
      </c>
      <c r="U120" s="6">
        <f t="shared" si="67"/>
        <v>0</v>
      </c>
      <c r="V120" s="6">
        <f t="shared" si="67"/>
        <v>0</v>
      </c>
      <c r="W120" s="6">
        <f t="shared" si="67"/>
        <v>0</v>
      </c>
      <c r="X120" s="6">
        <f t="shared" si="67"/>
        <v>0</v>
      </c>
      <c r="Y120" s="6">
        <f t="shared" si="67"/>
        <v>0</v>
      </c>
      <c r="Z120" s="6">
        <f t="shared" si="67"/>
        <v>0</v>
      </c>
      <c r="AA120" s="6">
        <f t="shared" si="67"/>
        <v>0</v>
      </c>
      <c r="AB120" s="6">
        <f t="shared" si="67"/>
        <v>0</v>
      </c>
      <c r="AC120" s="6">
        <f t="shared" si="67"/>
        <v>0</v>
      </c>
      <c r="AD120" s="6">
        <f t="shared" si="67"/>
        <v>0</v>
      </c>
      <c r="AE120" s="6">
        <f t="shared" si="67"/>
        <v>0</v>
      </c>
      <c r="AF120" s="6">
        <f t="shared" si="67"/>
        <v>0</v>
      </c>
      <c r="AG120" s="6">
        <f t="shared" si="67"/>
        <v>0</v>
      </c>
      <c r="AH120" s="6">
        <f t="shared" si="67"/>
        <v>0</v>
      </c>
      <c r="AI120" s="6">
        <f t="shared" ref="AI120:BN120" si="68">SUM(AI10,AI20,AI24,AI27,AI34,AI37,AI40,AI47,AI49,AI53,AI59,AI71,AI79,AI81,AI88,AI92,AI95,AI99,AI110,AI115,AI119)/100000</f>
        <v>0</v>
      </c>
      <c r="AJ120" s="6">
        <f t="shared" si="68"/>
        <v>0</v>
      </c>
      <c r="AK120" s="6">
        <f t="shared" si="68"/>
        <v>0</v>
      </c>
      <c r="AL120" s="6">
        <f t="shared" si="68"/>
        <v>0</v>
      </c>
      <c r="AM120" s="6">
        <f t="shared" si="68"/>
        <v>0</v>
      </c>
      <c r="AN120" s="6">
        <f t="shared" si="68"/>
        <v>0</v>
      </c>
      <c r="AO120" s="6">
        <f t="shared" si="68"/>
        <v>0</v>
      </c>
      <c r="AP120" s="6">
        <f t="shared" si="68"/>
        <v>0</v>
      </c>
      <c r="AQ120" s="6">
        <f t="shared" si="68"/>
        <v>0</v>
      </c>
      <c r="AR120" s="6">
        <f t="shared" si="68"/>
        <v>0</v>
      </c>
      <c r="AS120" s="6">
        <f t="shared" si="68"/>
        <v>0</v>
      </c>
      <c r="AT120" s="6">
        <f t="shared" si="68"/>
        <v>0</v>
      </c>
      <c r="AU120" s="6">
        <f t="shared" si="68"/>
        <v>0</v>
      </c>
      <c r="AV120" s="6">
        <f t="shared" si="68"/>
        <v>0</v>
      </c>
      <c r="AW120" s="6">
        <f t="shared" si="68"/>
        <v>0</v>
      </c>
      <c r="AX120" s="6">
        <f t="shared" si="68"/>
        <v>0</v>
      </c>
      <c r="AY120" s="6">
        <f t="shared" si="68"/>
        <v>0</v>
      </c>
      <c r="AZ120" s="6">
        <f t="shared" si="68"/>
        <v>0</v>
      </c>
      <c r="BA120" s="6">
        <f t="shared" si="68"/>
        <v>0</v>
      </c>
      <c r="BB120" s="6">
        <f t="shared" si="68"/>
        <v>0</v>
      </c>
      <c r="BC120" s="6">
        <f t="shared" si="68"/>
        <v>0</v>
      </c>
      <c r="BD120" s="6">
        <f t="shared" si="68"/>
        <v>0</v>
      </c>
      <c r="BE120" s="6">
        <f t="shared" si="68"/>
        <v>0</v>
      </c>
      <c r="BF120" s="6">
        <f t="shared" si="68"/>
        <v>0</v>
      </c>
      <c r="BG120" s="6">
        <f t="shared" si="68"/>
        <v>0</v>
      </c>
      <c r="BH120" s="6">
        <f t="shared" si="68"/>
        <v>0</v>
      </c>
      <c r="BI120" s="6">
        <f t="shared" si="68"/>
        <v>0</v>
      </c>
      <c r="BJ120" s="6">
        <f t="shared" si="68"/>
        <v>0</v>
      </c>
      <c r="BK120" s="6">
        <f t="shared" si="68"/>
        <v>0</v>
      </c>
      <c r="BL120" s="6">
        <f t="shared" si="68"/>
        <v>0</v>
      </c>
      <c r="BM120" s="6">
        <f t="shared" si="68"/>
        <v>0</v>
      </c>
      <c r="BN120" s="6">
        <f t="shared" si="68"/>
        <v>0</v>
      </c>
      <c r="BO120" s="6">
        <f t="shared" ref="BO120:CT120" si="69">SUM(BO10,BO20,BO24,BO27,BO34,BO37,BO40,BO47,BO49,BO53,BO59,BO71,BO79,BO81,BO88,BO92,BO95,BO99,BO110,BO115,BO119)/100000</f>
        <v>0</v>
      </c>
      <c r="BP120" s="6">
        <f t="shared" si="69"/>
        <v>0</v>
      </c>
      <c r="BQ120" s="6">
        <f t="shared" si="69"/>
        <v>0</v>
      </c>
      <c r="BR120" s="6">
        <f t="shared" si="69"/>
        <v>0</v>
      </c>
      <c r="BS120" s="6">
        <f t="shared" si="69"/>
        <v>0</v>
      </c>
      <c r="BT120" s="6">
        <f t="shared" si="69"/>
        <v>0</v>
      </c>
      <c r="BU120" s="6">
        <f t="shared" si="69"/>
        <v>0</v>
      </c>
      <c r="BV120" s="6">
        <f t="shared" si="69"/>
        <v>0</v>
      </c>
      <c r="BW120" s="6">
        <f t="shared" si="69"/>
        <v>0</v>
      </c>
      <c r="BX120" s="6">
        <f t="shared" si="69"/>
        <v>0</v>
      </c>
      <c r="BY120" s="6">
        <f t="shared" si="69"/>
        <v>0</v>
      </c>
      <c r="BZ120" s="6">
        <f t="shared" si="69"/>
        <v>0</v>
      </c>
      <c r="CA120" s="6">
        <f t="shared" si="69"/>
        <v>0</v>
      </c>
      <c r="CB120" s="6">
        <f t="shared" si="69"/>
        <v>0</v>
      </c>
      <c r="CC120" s="6">
        <f t="shared" si="69"/>
        <v>0</v>
      </c>
      <c r="CD120" s="6">
        <f t="shared" si="69"/>
        <v>0</v>
      </c>
      <c r="CE120" s="6">
        <f t="shared" si="69"/>
        <v>0</v>
      </c>
      <c r="CF120" s="6">
        <f t="shared" si="69"/>
        <v>0</v>
      </c>
      <c r="CG120" s="6">
        <f t="shared" si="69"/>
        <v>0</v>
      </c>
      <c r="CH120" s="6">
        <f t="shared" si="69"/>
        <v>0</v>
      </c>
      <c r="CI120" s="6">
        <f t="shared" si="69"/>
        <v>0</v>
      </c>
      <c r="CJ120" s="6">
        <f t="shared" si="69"/>
        <v>0</v>
      </c>
      <c r="CK120" s="6">
        <f t="shared" si="69"/>
        <v>0</v>
      </c>
      <c r="CL120" s="6">
        <f t="shared" si="69"/>
        <v>0</v>
      </c>
      <c r="CM120" s="6">
        <f t="shared" si="69"/>
        <v>0</v>
      </c>
      <c r="CN120" s="6">
        <f t="shared" si="69"/>
        <v>0</v>
      </c>
      <c r="CO120" s="6">
        <f t="shared" si="69"/>
        <v>0</v>
      </c>
      <c r="CP120" s="6">
        <f t="shared" si="69"/>
        <v>0</v>
      </c>
      <c r="CQ120" s="6">
        <f t="shared" si="69"/>
        <v>0</v>
      </c>
      <c r="CR120" s="6">
        <f t="shared" si="69"/>
        <v>0</v>
      </c>
      <c r="CS120" s="6">
        <f t="shared" si="69"/>
        <v>0</v>
      </c>
      <c r="CT120" s="6">
        <f t="shared" si="69"/>
        <v>0</v>
      </c>
      <c r="CU120" s="6">
        <f t="shared" ref="CU120:CZ120" si="70">SUM(CU10,CU20,CU24,CU27,CU34,CU37,CU40,CU47,CU49,CU53,CU59,CU71,CU79,CU81,CU88,CU92,CU95,CU99,CU110,CU115,CU119)/100000</f>
        <v>0</v>
      </c>
      <c r="CV120" s="6">
        <f t="shared" si="70"/>
        <v>0</v>
      </c>
      <c r="CW120" s="6">
        <f t="shared" si="70"/>
        <v>0</v>
      </c>
      <c r="CX120" s="6">
        <f t="shared" si="70"/>
        <v>0</v>
      </c>
      <c r="CY120" s="6">
        <f t="shared" si="70"/>
        <v>0.79052860000000003</v>
      </c>
      <c r="CZ120" s="6">
        <f t="shared" si="70"/>
        <v>0.48580970000000007</v>
      </c>
    </row>
  </sheetData>
  <sheetProtection formatCells="0" selectLockedCells="1" autoFilter="0"/>
  <autoFilter ref="A2:CZ110" xr:uid="{00000000-0009-0000-0000-000001000000}"/>
  <mergeCells count="52">
    <mergeCell ref="CS1:CT1"/>
    <mergeCell ref="CU1:CV1"/>
    <mergeCell ref="CW1:CX1"/>
    <mergeCell ref="CY1:CZ1"/>
    <mergeCell ref="CG1:CH1"/>
    <mergeCell ref="CI1:CJ1"/>
    <mergeCell ref="CK1:CL1"/>
    <mergeCell ref="CM1:CN1"/>
    <mergeCell ref="CO1:CP1"/>
    <mergeCell ref="CQ1:CR1"/>
    <mergeCell ref="CE1:CF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BG1:BH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AI1:AJ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K1:L1"/>
    <mergeCell ref="A1:A2"/>
    <mergeCell ref="C1:D1"/>
    <mergeCell ref="E1:F1"/>
    <mergeCell ref="G1:H1"/>
    <mergeCell ref="I1:J1"/>
  </mergeCells>
  <pageMargins left="0.69930555555555596" right="0.69930555555555596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R12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"/>
    </sheetView>
  </sheetViews>
  <sheetFormatPr defaultColWidth="9.1796875" defaultRowHeight="14.5"/>
  <cols>
    <col min="1" max="1" width="31.54296875" style="2" customWidth="1"/>
    <col min="2" max="2" width="8.81640625" style="3" customWidth="1"/>
    <col min="3" max="3" width="10" style="3" bestFit="1" customWidth="1"/>
    <col min="4" max="41" width="9.1796875" style="3"/>
    <col min="42" max="42" width="8.54296875" style="3" customWidth="1"/>
    <col min="43" max="43" width="7.54296875" style="3" customWidth="1"/>
    <col min="44" max="44" width="8.54296875" style="3" customWidth="1"/>
    <col min="45" max="45" width="7.54296875" style="3" customWidth="1"/>
    <col min="46" max="46" width="8.54296875" style="3" customWidth="1"/>
    <col min="47" max="47" width="7.54296875" style="3" customWidth="1"/>
    <col min="48" max="48" width="8.54296875" style="3" customWidth="1"/>
    <col min="49" max="49" width="7.54296875" style="3" customWidth="1"/>
    <col min="50" max="50" width="8.54296875" style="3" customWidth="1"/>
    <col min="51" max="51" width="7.54296875" style="3" customWidth="1"/>
    <col min="52" max="52" width="8.54296875" style="3" customWidth="1"/>
    <col min="53" max="53" width="7.54296875" style="3" customWidth="1"/>
    <col min="54" max="54" width="8.54296875" style="3" customWidth="1"/>
    <col min="55" max="55" width="7.54296875" style="3" customWidth="1"/>
    <col min="56" max="56" width="8.54296875" style="3" customWidth="1"/>
    <col min="57" max="57" width="7.54296875" style="3" customWidth="1"/>
    <col min="58" max="58" width="8.54296875" style="3" customWidth="1"/>
    <col min="59" max="59" width="7.54296875" style="3" customWidth="1"/>
    <col min="60" max="60" width="8.54296875" style="3" customWidth="1"/>
    <col min="61" max="61" width="7.54296875" style="3" customWidth="1"/>
    <col min="62" max="62" width="8.54296875" style="3" customWidth="1"/>
    <col min="63" max="63" width="7.54296875" style="3" customWidth="1"/>
    <col min="64" max="64" width="8.54296875" style="3" customWidth="1"/>
    <col min="65" max="65" width="7.54296875" style="3" customWidth="1"/>
    <col min="66" max="66" width="8.54296875" style="3" customWidth="1"/>
    <col min="67" max="67" width="7.54296875" style="3" customWidth="1"/>
    <col min="68" max="68" width="8.54296875" style="3" customWidth="1"/>
    <col min="69" max="69" width="7.54296875" style="3" customWidth="1"/>
    <col min="70" max="70" width="8.54296875" style="3" customWidth="1"/>
    <col min="71" max="71" width="7.54296875" style="3" customWidth="1"/>
    <col min="72" max="72" width="8.54296875" style="3" customWidth="1"/>
    <col min="73" max="73" width="7.54296875" style="3" customWidth="1"/>
    <col min="74" max="74" width="8.54296875" style="3" customWidth="1"/>
    <col min="75" max="75" width="7.54296875" style="3" customWidth="1"/>
    <col min="76" max="76" width="8.54296875" style="3" customWidth="1"/>
    <col min="77" max="77" width="7.54296875" style="3" customWidth="1"/>
    <col min="78" max="78" width="8.54296875" style="3" customWidth="1"/>
    <col min="79" max="79" width="7.54296875" style="3" customWidth="1"/>
    <col min="80" max="80" width="8.54296875" style="3" customWidth="1"/>
    <col min="81" max="81" width="7.54296875" style="3" customWidth="1"/>
    <col min="82" max="82" width="8.54296875" style="3" customWidth="1"/>
    <col min="83" max="83" width="7.54296875" style="3" customWidth="1"/>
    <col min="84" max="84" width="8.54296875" style="3" customWidth="1"/>
    <col min="85" max="85" width="7.54296875" style="3" customWidth="1"/>
    <col min="86" max="86" width="8.54296875" style="3" customWidth="1"/>
    <col min="87" max="87" width="7.54296875" style="3" customWidth="1"/>
    <col min="88" max="88" width="8.54296875" style="3" customWidth="1"/>
    <col min="89" max="89" width="7.54296875" style="3" customWidth="1"/>
    <col min="90" max="90" width="8.54296875" style="3" customWidth="1"/>
    <col min="91" max="91" width="7.54296875" style="3" customWidth="1"/>
    <col min="92" max="92" width="8.54296875" style="3" customWidth="1"/>
    <col min="93" max="93" width="7.54296875" style="3" customWidth="1"/>
    <col min="94" max="94" width="8.54296875" style="3" customWidth="1"/>
    <col min="95" max="95" width="7.54296875" style="3" customWidth="1"/>
    <col min="96" max="96" width="8.54296875" style="3" customWidth="1"/>
    <col min="97" max="97" width="7.54296875" style="3" customWidth="1"/>
    <col min="98" max="98" width="8.54296875" style="3" customWidth="1"/>
    <col min="99" max="99" width="7.54296875" style="3" customWidth="1"/>
    <col min="100" max="100" width="8.54296875" style="3" customWidth="1"/>
    <col min="101" max="101" width="7.54296875" style="3" customWidth="1"/>
    <col min="102" max="102" width="8.54296875" style="3" customWidth="1"/>
    <col min="103" max="103" width="11.81640625" style="3" customWidth="1"/>
    <col min="104" max="104" width="12.453125" style="3" customWidth="1"/>
    <col min="105" max="107" width="9.1796875" style="2"/>
    <col min="108" max="108" width="8" style="2" customWidth="1"/>
    <col min="109" max="16384" width="9.1796875" style="2"/>
  </cols>
  <sheetData>
    <row r="1" spans="1:122" s="37" customFormat="1" ht="43.25" customHeight="1">
      <c r="A1" s="44" t="s">
        <v>0</v>
      </c>
      <c r="B1" s="12"/>
      <c r="C1" s="46" t="str">
        <f>APRIL!C1</f>
        <v>VASU PHARMA DRUGS PVT LTD</v>
      </c>
      <c r="D1" s="46"/>
      <c r="E1" s="46" t="str">
        <f>APRIL!E1</f>
        <v>PRAKASH PHARMA DISTRIBUTORS</v>
      </c>
      <c r="F1" s="46"/>
      <c r="G1" s="46" t="str">
        <f>APRIL!G1</f>
        <v>Divya Pharma</v>
      </c>
      <c r="H1" s="46"/>
      <c r="I1" s="46" t="str">
        <f>APRIL!I1</f>
        <v>KEIMED PRIVATE LIMITED</v>
      </c>
      <c r="J1" s="46"/>
      <c r="K1" s="46" t="str">
        <f>APRIL!K1</f>
        <v>SAI SRIDHAR PHARMA PVT LTD</v>
      </c>
      <c r="L1" s="46"/>
      <c r="M1" s="46" t="str">
        <f>APRIL!M1</f>
        <v>SRI VENKATARAGHAVA AGENCIES</v>
      </c>
      <c r="N1" s="46"/>
      <c r="O1" s="46" t="str">
        <f>APRIL!O1</f>
        <v>SHREEJI DIST PVT LTD</v>
      </c>
      <c r="P1" s="46"/>
      <c r="Q1" s="46" t="str">
        <f>APRIL!Q1</f>
        <v>SVS PHARMA</v>
      </c>
      <c r="R1" s="46"/>
      <c r="S1" s="46" t="str">
        <f>APRIL!S1</f>
        <v>PHARMA DISTRIBUTORS</v>
      </c>
      <c r="T1" s="46"/>
      <c r="U1" s="46" t="str">
        <f>APRIL!U1</f>
        <v>SAI PHARMA DISTRIBUTERS PVT LTD</v>
      </c>
      <c r="V1" s="46"/>
      <c r="W1" s="46" t="str">
        <f>APRIL!W1</f>
        <v>ALANKRITA AGENCIES</v>
      </c>
      <c r="X1" s="46"/>
      <c r="Y1" s="46" t="str">
        <f>APRIL!Y1</f>
        <v>JAYA SURG &amp; PHARMA PVT LTD</v>
      </c>
      <c r="Z1" s="46"/>
      <c r="AA1" s="46" t="str">
        <f>APRIL!AA1</f>
        <v>MANASA MEDICAL AGENCIES</v>
      </c>
      <c r="AB1" s="46"/>
      <c r="AC1" s="46" t="str">
        <f>APRIL!AC1</f>
        <v>KARTHICK AGENCIES</v>
      </c>
      <c r="AD1" s="46"/>
      <c r="AE1" s="46" t="str">
        <f>APRIL!AE1</f>
        <v>NIRMALA AGENCIES</v>
      </c>
      <c r="AF1" s="46"/>
      <c r="AG1" s="46" t="str">
        <f>APRIL!AG1</f>
        <v>HIMALAYA MEDICAL AGENCIES</v>
      </c>
      <c r="AH1" s="46"/>
      <c r="AI1" s="46" t="str">
        <f>APRIL!AI1</f>
        <v xml:space="preserve">Maruthi </v>
      </c>
      <c r="AJ1" s="46"/>
      <c r="AK1" s="46" t="str">
        <f>APRIL!AK1</f>
        <v>LAXMI SAI MEDICAL AGENCIES</v>
      </c>
      <c r="AL1" s="46"/>
      <c r="AM1" s="46" t="str">
        <f>APRIL!AM1</f>
        <v>Patwari Pharma</v>
      </c>
      <c r="AN1" s="46"/>
      <c r="AO1" s="46" t="str">
        <f>APRIL!AO1</f>
        <v>Vishnu &amp; Co</v>
      </c>
      <c r="AP1" s="46"/>
      <c r="AQ1" s="46" t="str">
        <f>APRIL!AQ1</f>
        <v>SUMAN AGENCIES HYD PVT LTD</v>
      </c>
      <c r="AR1" s="46"/>
      <c r="AS1" s="46" t="str">
        <f>APRIL!AS1</f>
        <v>Sri Nirmala</v>
      </c>
      <c r="AT1" s="46"/>
      <c r="AU1" s="46" t="str">
        <f>APRIL!AU1</f>
        <v>SHREE SHARADA PHARMA</v>
      </c>
      <c r="AV1" s="46"/>
      <c r="AW1" s="46" t="str">
        <f>APRIL!AW1</f>
        <v>ALLIED PHARMA</v>
      </c>
      <c r="AX1" s="46"/>
      <c r="AY1" s="46" t="str">
        <f>APRIL!AY1</f>
        <v>GOEL DISTRIBUTER</v>
      </c>
      <c r="AZ1" s="46"/>
      <c r="BA1" s="46" t="str">
        <f>APRIL!BA1</f>
        <v>KAMALESH PHARMA</v>
      </c>
      <c r="BB1" s="46"/>
      <c r="BC1" s="46" t="str">
        <f>APRIL!BC1</f>
        <v>ARVIND PHARMA DISTRIBUTER</v>
      </c>
      <c r="BD1" s="46"/>
      <c r="BE1" s="46" t="str">
        <f>APRIL!BE1</f>
        <v>GOEL PHARMA</v>
      </c>
      <c r="BF1" s="46"/>
      <c r="BG1" s="46" t="str">
        <f>APRIL!BG1</f>
        <v>KRISHNA  PHARMACEUTICALS</v>
      </c>
      <c r="BH1" s="46"/>
      <c r="BI1" s="46" t="str">
        <f>APRIL!BI1</f>
        <v>AP DRUGS</v>
      </c>
      <c r="BJ1" s="46"/>
      <c r="BK1" s="46" t="str">
        <f>APRIL!BK1</f>
        <v>MAWA PHARMACEUTICALS</v>
      </c>
      <c r="BL1" s="46"/>
      <c r="BM1" s="46" t="str">
        <f>APRIL!BM1</f>
        <v>TIRUMALA AGENCIES</v>
      </c>
      <c r="BN1" s="46"/>
      <c r="BO1" s="46" t="str">
        <f>APRIL!BO1</f>
        <v>SREE HARI MEDICALS</v>
      </c>
      <c r="BP1" s="46"/>
      <c r="BQ1" s="46" t="str">
        <f>APRIL!BQ1</f>
        <v>SREE VENKATESHWARA MEDISOLUTIONS</v>
      </c>
      <c r="BR1" s="46"/>
      <c r="BS1" s="46" t="str">
        <f>APRIL!BS1</f>
        <v>SRI BALAJI DRUGS</v>
      </c>
      <c r="BT1" s="46"/>
      <c r="BU1" s="46" t="str">
        <f>APRIL!BU1</f>
        <v>VISHNU MEDICAL HALL</v>
      </c>
      <c r="BV1" s="46"/>
      <c r="BW1" s="46" t="str">
        <f>APRIL!BW1</f>
        <v>HYDERABAD SPECIALITY DRUGS</v>
      </c>
      <c r="BX1" s="46"/>
      <c r="BY1" s="46" t="str">
        <f>APRIL!BY1</f>
        <v>LORVEN PHARMA &amp; SURGICALS (CORP)</v>
      </c>
      <c r="BZ1" s="46"/>
      <c r="CA1" s="46" t="str">
        <f>APRIL!CA1</f>
        <v>AK PHARMA</v>
      </c>
      <c r="CB1" s="46"/>
      <c r="CC1" s="46" t="str">
        <f>APRIL!CC1</f>
        <v>OPTIVAL HEALTHSOLUTIONS</v>
      </c>
      <c r="CD1" s="46"/>
      <c r="CE1" s="46" t="str">
        <f>APRIL!CE1</f>
        <v>BALAJI MEDICAL AGENCIES</v>
      </c>
      <c r="CF1" s="46"/>
      <c r="CG1" s="46" t="str">
        <f>APRIL!CG1</f>
        <v>S42</v>
      </c>
      <c r="CH1" s="46"/>
      <c r="CI1" s="46" t="str">
        <f>APRIL!CI1</f>
        <v>S43</v>
      </c>
      <c r="CJ1" s="46"/>
      <c r="CK1" s="46" t="str">
        <f>APRIL!CK1</f>
        <v>S44</v>
      </c>
      <c r="CL1" s="46"/>
      <c r="CM1" s="46" t="str">
        <f>APRIL!CM1</f>
        <v>S45</v>
      </c>
      <c r="CN1" s="46"/>
      <c r="CO1" s="46" t="str">
        <f>APRIL!CO1</f>
        <v>S46</v>
      </c>
      <c r="CP1" s="46"/>
      <c r="CQ1" s="46" t="str">
        <f>APRIL!CQ1</f>
        <v>S47</v>
      </c>
      <c r="CR1" s="46"/>
      <c r="CS1" s="46" t="str">
        <f>APRIL!CS1</f>
        <v>S48</v>
      </c>
      <c r="CT1" s="46"/>
      <c r="CU1" s="46" t="str">
        <f>APRIL!CU1</f>
        <v>S49</v>
      </c>
      <c r="CV1" s="46"/>
      <c r="CW1" s="46" t="str">
        <f>APRIL!CW1</f>
        <v>S50</v>
      </c>
      <c r="CX1" s="46"/>
      <c r="CY1" s="43" t="s">
        <v>1</v>
      </c>
      <c r="CZ1" s="43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</row>
    <row r="2" spans="1:122" ht="43.5">
      <c r="A2" s="44"/>
      <c r="B2" s="12" t="s">
        <v>2</v>
      </c>
      <c r="C2" s="7" t="s">
        <v>90</v>
      </c>
      <c r="D2" s="7" t="s">
        <v>91</v>
      </c>
      <c r="E2" s="7" t="s">
        <v>90</v>
      </c>
      <c r="F2" s="7" t="s">
        <v>91</v>
      </c>
      <c r="G2" s="7" t="s">
        <v>90</v>
      </c>
      <c r="H2" s="7" t="s">
        <v>91</v>
      </c>
      <c r="I2" s="7" t="s">
        <v>90</v>
      </c>
      <c r="J2" s="7" t="s">
        <v>91</v>
      </c>
      <c r="K2" s="7" t="s">
        <v>90</v>
      </c>
      <c r="L2" s="7" t="s">
        <v>91</v>
      </c>
      <c r="M2" s="7" t="s">
        <v>90</v>
      </c>
      <c r="N2" s="7" t="s">
        <v>91</v>
      </c>
      <c r="O2" s="7" t="s">
        <v>90</v>
      </c>
      <c r="P2" s="7" t="s">
        <v>91</v>
      </c>
      <c r="Q2" s="7" t="s">
        <v>90</v>
      </c>
      <c r="R2" s="7" t="s">
        <v>91</v>
      </c>
      <c r="S2" s="7" t="s">
        <v>90</v>
      </c>
      <c r="T2" s="7" t="s">
        <v>91</v>
      </c>
      <c r="U2" s="7" t="s">
        <v>90</v>
      </c>
      <c r="V2" s="7" t="s">
        <v>91</v>
      </c>
      <c r="W2" s="7" t="s">
        <v>90</v>
      </c>
      <c r="X2" s="7" t="s">
        <v>91</v>
      </c>
      <c r="Y2" s="7" t="s">
        <v>90</v>
      </c>
      <c r="Z2" s="7" t="s">
        <v>91</v>
      </c>
      <c r="AA2" s="7" t="s">
        <v>90</v>
      </c>
      <c r="AB2" s="7" t="s">
        <v>91</v>
      </c>
      <c r="AC2" s="7" t="s">
        <v>90</v>
      </c>
      <c r="AD2" s="7" t="s">
        <v>91</v>
      </c>
      <c r="AE2" s="7" t="s">
        <v>90</v>
      </c>
      <c r="AF2" s="7" t="s">
        <v>91</v>
      </c>
      <c r="AG2" s="7" t="s">
        <v>90</v>
      </c>
      <c r="AH2" s="7" t="s">
        <v>91</v>
      </c>
      <c r="AI2" s="7" t="s">
        <v>90</v>
      </c>
      <c r="AJ2" s="7" t="s">
        <v>91</v>
      </c>
      <c r="AK2" s="7" t="s">
        <v>90</v>
      </c>
      <c r="AL2" s="7" t="s">
        <v>91</v>
      </c>
      <c r="AM2" s="7" t="s">
        <v>90</v>
      </c>
      <c r="AN2" s="7" t="s">
        <v>91</v>
      </c>
      <c r="AO2" s="7" t="s">
        <v>90</v>
      </c>
      <c r="AP2" s="7" t="s">
        <v>91</v>
      </c>
      <c r="AQ2" s="7" t="s">
        <v>90</v>
      </c>
      <c r="AR2" s="7" t="s">
        <v>91</v>
      </c>
      <c r="AS2" s="7" t="s">
        <v>90</v>
      </c>
      <c r="AT2" s="7" t="s">
        <v>91</v>
      </c>
      <c r="AU2" s="7" t="s">
        <v>90</v>
      </c>
      <c r="AV2" s="7" t="s">
        <v>91</v>
      </c>
      <c r="AW2" s="7" t="s">
        <v>90</v>
      </c>
      <c r="AX2" s="7" t="s">
        <v>91</v>
      </c>
      <c r="AY2" s="7" t="s">
        <v>90</v>
      </c>
      <c r="AZ2" s="7" t="s">
        <v>91</v>
      </c>
      <c r="BA2" s="7" t="s">
        <v>90</v>
      </c>
      <c r="BB2" s="7" t="s">
        <v>91</v>
      </c>
      <c r="BC2" s="7" t="s">
        <v>90</v>
      </c>
      <c r="BD2" s="7" t="s">
        <v>91</v>
      </c>
      <c r="BE2" s="7" t="s">
        <v>90</v>
      </c>
      <c r="BF2" s="7" t="s">
        <v>91</v>
      </c>
      <c r="BG2" s="7" t="s">
        <v>90</v>
      </c>
      <c r="BH2" s="7" t="s">
        <v>91</v>
      </c>
      <c r="BI2" s="7" t="s">
        <v>90</v>
      </c>
      <c r="BJ2" s="7" t="s">
        <v>91</v>
      </c>
      <c r="BK2" s="7" t="s">
        <v>90</v>
      </c>
      <c r="BL2" s="7" t="s">
        <v>91</v>
      </c>
      <c r="BM2" s="7" t="s">
        <v>90</v>
      </c>
      <c r="BN2" s="7" t="s">
        <v>91</v>
      </c>
      <c r="BO2" s="7" t="s">
        <v>90</v>
      </c>
      <c r="BP2" s="7" t="s">
        <v>91</v>
      </c>
      <c r="BQ2" s="7" t="s">
        <v>90</v>
      </c>
      <c r="BR2" s="7" t="s">
        <v>91</v>
      </c>
      <c r="BS2" s="7" t="s">
        <v>90</v>
      </c>
      <c r="BT2" s="7" t="s">
        <v>91</v>
      </c>
      <c r="BU2" s="7" t="s">
        <v>90</v>
      </c>
      <c r="BV2" s="7" t="s">
        <v>91</v>
      </c>
      <c r="BW2" s="7" t="s">
        <v>90</v>
      </c>
      <c r="BX2" s="7" t="s">
        <v>91</v>
      </c>
      <c r="BY2" s="7" t="s">
        <v>90</v>
      </c>
      <c r="BZ2" s="7" t="s">
        <v>91</v>
      </c>
      <c r="CA2" s="7" t="s">
        <v>90</v>
      </c>
      <c r="CB2" s="7" t="s">
        <v>91</v>
      </c>
      <c r="CC2" s="7" t="s">
        <v>90</v>
      </c>
      <c r="CD2" s="7" t="s">
        <v>91</v>
      </c>
      <c r="CE2" s="7" t="s">
        <v>90</v>
      </c>
      <c r="CF2" s="7" t="s">
        <v>91</v>
      </c>
      <c r="CG2" s="7" t="s">
        <v>90</v>
      </c>
      <c r="CH2" s="7" t="s">
        <v>91</v>
      </c>
      <c r="CI2" s="7" t="s">
        <v>90</v>
      </c>
      <c r="CJ2" s="7" t="s">
        <v>91</v>
      </c>
      <c r="CK2" s="7" t="s">
        <v>90</v>
      </c>
      <c r="CL2" s="7" t="s">
        <v>91</v>
      </c>
      <c r="CM2" s="7" t="s">
        <v>90</v>
      </c>
      <c r="CN2" s="7" t="s">
        <v>91</v>
      </c>
      <c r="CO2" s="7" t="s">
        <v>90</v>
      </c>
      <c r="CP2" s="7" t="s">
        <v>91</v>
      </c>
      <c r="CQ2" s="7" t="s">
        <v>90</v>
      </c>
      <c r="CR2" s="7" t="s">
        <v>91</v>
      </c>
      <c r="CS2" s="7" t="s">
        <v>90</v>
      </c>
      <c r="CT2" s="7" t="s">
        <v>91</v>
      </c>
      <c r="CU2" s="7" t="s">
        <v>90</v>
      </c>
      <c r="CV2" s="7" t="s">
        <v>91</v>
      </c>
      <c r="CW2" s="7" t="s">
        <v>90</v>
      </c>
      <c r="CX2" s="7" t="s">
        <v>91</v>
      </c>
      <c r="CY2" s="7" t="s">
        <v>90</v>
      </c>
      <c r="CZ2" s="7" t="s">
        <v>91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</row>
    <row r="3" spans="1:122" ht="18" customHeight="1">
      <c r="A3" s="13" t="s">
        <v>3</v>
      </c>
      <c r="B3" s="14">
        <f>IFERROR(VLOOKUP(A3,PRICELIST!$A$3:$D$138,4,0),"-")</f>
        <v>167.79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9">
        <f>C3+E3+G3+I3+K3+M3+O3+Q3+S3+U3+W3+Y3+AA3+AC3+AE3+AG3+AI3+AK3+AM3+AO3+AQ3+AS3+AU3+AW3+AY3+BA3+BC3+BE3+BG3+BI3+BK3+BM3+BO3+BQ3+BS3+BU3+BW3+BY3+CA3+CC3+CE3+CG3+CI3+CK3+CM3+CO3+CQ3+CS3+CU3+CW3</f>
        <v>0</v>
      </c>
      <c r="CZ3" s="19">
        <f>D3+F3+H3+J3+L3+N3+P3+R3+T3+V3+X3+Z3+AB3+AD3+AF3+AH3+AJ3+AL3+AN3+AP3+AR3+AT3+AV3+AX3+AZ3+BB3+BD3+BF3+BH3+BJ3+BL3+BN3+BP3+BR3+BT3+BV3+BX3+BZ3+CB3+CD3+CF3+CH3+CJ3+CL3+CN3+CP3+CR3+CT3+CV3+CX3</f>
        <v>0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</row>
    <row r="4" spans="1:122" ht="18" customHeight="1">
      <c r="A4" s="13" t="s">
        <v>4</v>
      </c>
      <c r="B4" s="14">
        <f>IFERROR(VLOOKUP(A4,PRICELIST!$A$3:$D$138,4,0),"-")</f>
        <v>112.5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9">
        <f t="shared" ref="CY4:CZ9" si="0">C4+E4+G4+I4+K4+M4+O4+Q4+S4+U4+W4+Y4+AA4+AC4+AE4+AG4+AI4+AK4+AM4+AO4+AQ4+AS4+AU4+AW4+AY4+BA4+BC4+BE4+BG4+BI4+BK4+BM4+BO4+BQ4+BS4+BU4+BW4+BY4+CA4+CC4+CE4+CG4+CI4+CK4+CM4+CO4+CQ4+CS4+CU4+CW4</f>
        <v>0</v>
      </c>
      <c r="CZ4" s="19">
        <f t="shared" si="0"/>
        <v>0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</row>
    <row r="5" spans="1:122" ht="18" customHeight="1">
      <c r="A5" s="13" t="s">
        <v>5</v>
      </c>
      <c r="B5" s="14">
        <f>IFERROR(VLOOKUP(A5,PRICELIST!$A$3:$D$138,4,0),"-")</f>
        <v>127.87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9">
        <f t="shared" si="0"/>
        <v>0</v>
      </c>
      <c r="CZ5" s="19">
        <f t="shared" si="0"/>
        <v>0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</row>
    <row r="6" spans="1:122" ht="18" customHeight="1">
      <c r="A6" s="13" t="s">
        <v>6</v>
      </c>
      <c r="B6" s="14">
        <f>IFERROR(VLOOKUP(A6,PRICELIST!$A$3:$D$138,4,0),"-")</f>
        <v>88.7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9">
        <f t="shared" si="0"/>
        <v>0</v>
      </c>
      <c r="CZ6" s="19">
        <f t="shared" si="0"/>
        <v>0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</row>
    <row r="7" spans="1:122" ht="18" customHeight="1">
      <c r="A7" s="13" t="s">
        <v>78</v>
      </c>
      <c r="B7" s="14">
        <f>IFERROR(VLOOKUP(A7,PRICELIST!$A$3:$D$138,4,0),"-")</f>
        <v>171.64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9">
        <f t="shared" si="0"/>
        <v>0</v>
      </c>
      <c r="CZ7" s="19">
        <f t="shared" si="0"/>
        <v>0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</row>
    <row r="8" spans="1:122" ht="18" customHeight="1">
      <c r="A8" s="13" t="s">
        <v>7</v>
      </c>
      <c r="B8" s="14">
        <f>IFERROR(VLOOKUP(A8,PRICELIST!$A$3:$D$138,4,0),"-")</f>
        <v>216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9">
        <f t="shared" si="0"/>
        <v>0</v>
      </c>
      <c r="CZ8" s="19">
        <f t="shared" si="0"/>
        <v>0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</row>
    <row r="9" spans="1:122" ht="18" customHeight="1">
      <c r="A9" s="13" t="s">
        <v>8</v>
      </c>
      <c r="B9" s="14">
        <f>IFERROR(VLOOKUP(A9,PRICELIST!$A$3:$D$138,4,0),"-")</f>
        <v>163.93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9">
        <f t="shared" si="0"/>
        <v>0</v>
      </c>
      <c r="CZ9" s="19">
        <f t="shared" si="0"/>
        <v>0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</row>
    <row r="10" spans="1:122" ht="18" customHeight="1">
      <c r="A10" s="9" t="s">
        <v>9</v>
      </c>
      <c r="B10" s="10"/>
      <c r="C10" s="11">
        <f>SUMPRODUCT($B3:$B9,C3:C9)</f>
        <v>0</v>
      </c>
      <c r="D10" s="11">
        <f t="shared" ref="D10:BO10" si="1">SUMPRODUCT($B3:$B9,D3:D9)</f>
        <v>0</v>
      </c>
      <c r="E10" s="11">
        <f t="shared" si="1"/>
        <v>0</v>
      </c>
      <c r="F10" s="11">
        <f t="shared" si="1"/>
        <v>0</v>
      </c>
      <c r="G10" s="11">
        <f t="shared" si="1"/>
        <v>0</v>
      </c>
      <c r="H10" s="11">
        <f t="shared" si="1"/>
        <v>0</v>
      </c>
      <c r="I10" s="11">
        <f t="shared" si="1"/>
        <v>0</v>
      </c>
      <c r="J10" s="11">
        <f t="shared" si="1"/>
        <v>0</v>
      </c>
      <c r="K10" s="11">
        <f t="shared" si="1"/>
        <v>0</v>
      </c>
      <c r="L10" s="11">
        <f t="shared" si="1"/>
        <v>0</v>
      </c>
      <c r="M10" s="11">
        <f t="shared" si="1"/>
        <v>0</v>
      </c>
      <c r="N10" s="11">
        <f t="shared" si="1"/>
        <v>0</v>
      </c>
      <c r="O10" s="11">
        <f t="shared" si="1"/>
        <v>0</v>
      </c>
      <c r="P10" s="11">
        <f t="shared" si="1"/>
        <v>0</v>
      </c>
      <c r="Q10" s="11">
        <f t="shared" si="1"/>
        <v>0</v>
      </c>
      <c r="R10" s="11">
        <f t="shared" si="1"/>
        <v>0</v>
      </c>
      <c r="S10" s="11">
        <f t="shared" si="1"/>
        <v>0</v>
      </c>
      <c r="T10" s="11">
        <f t="shared" si="1"/>
        <v>0</v>
      </c>
      <c r="U10" s="11">
        <f t="shared" si="1"/>
        <v>0</v>
      </c>
      <c r="V10" s="11">
        <f t="shared" si="1"/>
        <v>0</v>
      </c>
      <c r="W10" s="11">
        <f t="shared" si="1"/>
        <v>0</v>
      </c>
      <c r="X10" s="11">
        <f t="shared" si="1"/>
        <v>0</v>
      </c>
      <c r="Y10" s="11">
        <f t="shared" si="1"/>
        <v>0</v>
      </c>
      <c r="Z10" s="11">
        <f t="shared" si="1"/>
        <v>0</v>
      </c>
      <c r="AA10" s="11">
        <f t="shared" si="1"/>
        <v>0</v>
      </c>
      <c r="AB10" s="11">
        <f t="shared" si="1"/>
        <v>0</v>
      </c>
      <c r="AC10" s="11">
        <f t="shared" si="1"/>
        <v>0</v>
      </c>
      <c r="AD10" s="11">
        <f t="shared" si="1"/>
        <v>0</v>
      </c>
      <c r="AE10" s="11">
        <f t="shared" si="1"/>
        <v>0</v>
      </c>
      <c r="AF10" s="11">
        <f t="shared" si="1"/>
        <v>0</v>
      </c>
      <c r="AG10" s="11">
        <f t="shared" si="1"/>
        <v>0</v>
      </c>
      <c r="AH10" s="11">
        <f t="shared" si="1"/>
        <v>0</v>
      </c>
      <c r="AI10" s="11">
        <f t="shared" si="1"/>
        <v>0</v>
      </c>
      <c r="AJ10" s="11">
        <f t="shared" si="1"/>
        <v>0</v>
      </c>
      <c r="AK10" s="11">
        <f t="shared" si="1"/>
        <v>0</v>
      </c>
      <c r="AL10" s="11">
        <f t="shared" si="1"/>
        <v>0</v>
      </c>
      <c r="AM10" s="11">
        <f t="shared" si="1"/>
        <v>0</v>
      </c>
      <c r="AN10" s="11">
        <f t="shared" si="1"/>
        <v>0</v>
      </c>
      <c r="AO10" s="11">
        <f t="shared" si="1"/>
        <v>0</v>
      </c>
      <c r="AP10" s="11">
        <f t="shared" si="1"/>
        <v>0</v>
      </c>
      <c r="AQ10" s="11">
        <f t="shared" si="1"/>
        <v>0</v>
      </c>
      <c r="AR10" s="11">
        <f t="shared" si="1"/>
        <v>0</v>
      </c>
      <c r="AS10" s="11">
        <f t="shared" si="1"/>
        <v>0</v>
      </c>
      <c r="AT10" s="11">
        <f t="shared" si="1"/>
        <v>0</v>
      </c>
      <c r="AU10" s="11">
        <f t="shared" si="1"/>
        <v>0</v>
      </c>
      <c r="AV10" s="11">
        <f t="shared" si="1"/>
        <v>0</v>
      </c>
      <c r="AW10" s="11">
        <f t="shared" si="1"/>
        <v>0</v>
      </c>
      <c r="AX10" s="11">
        <f t="shared" si="1"/>
        <v>0</v>
      </c>
      <c r="AY10" s="11">
        <f t="shared" si="1"/>
        <v>0</v>
      </c>
      <c r="AZ10" s="11">
        <f t="shared" si="1"/>
        <v>0</v>
      </c>
      <c r="BA10" s="11">
        <f t="shared" si="1"/>
        <v>0</v>
      </c>
      <c r="BB10" s="11">
        <f t="shared" si="1"/>
        <v>0</v>
      </c>
      <c r="BC10" s="11">
        <f t="shared" si="1"/>
        <v>0</v>
      </c>
      <c r="BD10" s="11">
        <f t="shared" si="1"/>
        <v>0</v>
      </c>
      <c r="BE10" s="11">
        <f t="shared" si="1"/>
        <v>0</v>
      </c>
      <c r="BF10" s="11">
        <f t="shared" si="1"/>
        <v>0</v>
      </c>
      <c r="BG10" s="11">
        <f t="shared" si="1"/>
        <v>0</v>
      </c>
      <c r="BH10" s="11">
        <f t="shared" si="1"/>
        <v>0</v>
      </c>
      <c r="BI10" s="11">
        <f t="shared" si="1"/>
        <v>0</v>
      </c>
      <c r="BJ10" s="11">
        <f t="shared" si="1"/>
        <v>0</v>
      </c>
      <c r="BK10" s="11">
        <f t="shared" si="1"/>
        <v>0</v>
      </c>
      <c r="BL10" s="11">
        <f t="shared" si="1"/>
        <v>0</v>
      </c>
      <c r="BM10" s="11">
        <f t="shared" si="1"/>
        <v>0</v>
      </c>
      <c r="BN10" s="11">
        <f t="shared" si="1"/>
        <v>0</v>
      </c>
      <c r="BO10" s="11">
        <f t="shared" si="1"/>
        <v>0</v>
      </c>
      <c r="BP10" s="11">
        <f t="shared" ref="BP10:CZ10" si="2">SUMPRODUCT($B3:$B9,BP3:BP9)</f>
        <v>0</v>
      </c>
      <c r="BQ10" s="11">
        <f t="shared" si="2"/>
        <v>0</v>
      </c>
      <c r="BR10" s="11">
        <f t="shared" si="2"/>
        <v>0</v>
      </c>
      <c r="BS10" s="11">
        <f t="shared" si="2"/>
        <v>0</v>
      </c>
      <c r="BT10" s="11">
        <f t="shared" si="2"/>
        <v>0</v>
      </c>
      <c r="BU10" s="11">
        <f t="shared" si="2"/>
        <v>0</v>
      </c>
      <c r="BV10" s="11">
        <f t="shared" si="2"/>
        <v>0</v>
      </c>
      <c r="BW10" s="11">
        <f t="shared" si="2"/>
        <v>0</v>
      </c>
      <c r="BX10" s="11">
        <f t="shared" si="2"/>
        <v>0</v>
      </c>
      <c r="BY10" s="11">
        <f t="shared" si="2"/>
        <v>0</v>
      </c>
      <c r="BZ10" s="11">
        <f t="shared" si="2"/>
        <v>0</v>
      </c>
      <c r="CA10" s="11">
        <f t="shared" si="2"/>
        <v>0</v>
      </c>
      <c r="CB10" s="11">
        <f t="shared" si="2"/>
        <v>0</v>
      </c>
      <c r="CC10" s="11">
        <f t="shared" si="2"/>
        <v>0</v>
      </c>
      <c r="CD10" s="11">
        <f t="shared" si="2"/>
        <v>0</v>
      </c>
      <c r="CE10" s="11">
        <f t="shared" si="2"/>
        <v>0</v>
      </c>
      <c r="CF10" s="11">
        <f t="shared" si="2"/>
        <v>0</v>
      </c>
      <c r="CG10" s="11">
        <f t="shared" si="2"/>
        <v>0</v>
      </c>
      <c r="CH10" s="11">
        <f t="shared" si="2"/>
        <v>0</v>
      </c>
      <c r="CI10" s="11">
        <f t="shared" si="2"/>
        <v>0</v>
      </c>
      <c r="CJ10" s="11">
        <f t="shared" si="2"/>
        <v>0</v>
      </c>
      <c r="CK10" s="11">
        <f t="shared" si="2"/>
        <v>0</v>
      </c>
      <c r="CL10" s="11">
        <f t="shared" si="2"/>
        <v>0</v>
      </c>
      <c r="CM10" s="11">
        <f t="shared" si="2"/>
        <v>0</v>
      </c>
      <c r="CN10" s="11">
        <f t="shared" si="2"/>
        <v>0</v>
      </c>
      <c r="CO10" s="11">
        <f t="shared" si="2"/>
        <v>0</v>
      </c>
      <c r="CP10" s="11">
        <f t="shared" si="2"/>
        <v>0</v>
      </c>
      <c r="CQ10" s="11">
        <f t="shared" si="2"/>
        <v>0</v>
      </c>
      <c r="CR10" s="11">
        <f t="shared" si="2"/>
        <v>0</v>
      </c>
      <c r="CS10" s="11">
        <f t="shared" si="2"/>
        <v>0</v>
      </c>
      <c r="CT10" s="11">
        <f t="shared" si="2"/>
        <v>0</v>
      </c>
      <c r="CU10" s="11">
        <f t="shared" si="2"/>
        <v>0</v>
      </c>
      <c r="CV10" s="11">
        <f t="shared" si="2"/>
        <v>0</v>
      </c>
      <c r="CW10" s="11">
        <f t="shared" si="2"/>
        <v>0</v>
      </c>
      <c r="CX10" s="11">
        <f t="shared" si="2"/>
        <v>0</v>
      </c>
      <c r="CY10" s="11">
        <f t="shared" si="2"/>
        <v>0</v>
      </c>
      <c r="CZ10" s="11">
        <f t="shared" si="2"/>
        <v>0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</row>
    <row r="11" spans="1:122" ht="18" customHeight="1">
      <c r="A11" s="4" t="s">
        <v>127</v>
      </c>
      <c r="B11" s="14">
        <f>IFERROR(VLOOKUP(A11,PRICELIST!$A$3:$D$138,4,0),"-")</f>
        <v>432.21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9">
        <f t="shared" ref="CY11:CZ19" si="3">C11+E11+G11+I11+K11+M11+O11+Q11+S11+U11+W11+Y11+AA11+AC11+AE11+AG11+AI11+AK11+AM11+AO11+AQ11+AS11+AU11+AW11+AY11+BA11+BC11+BE11+BG11+BI11+BK11+BM11+BO11+BQ11+BS11+BU11+BW11+BY11+CA11+CC11+CE11+CG11+CI11+CK11+CM11+CO11+CQ11+CS11+CU11+CW11</f>
        <v>0</v>
      </c>
      <c r="CZ11" s="19">
        <f t="shared" si="3"/>
        <v>0</v>
      </c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</row>
    <row r="12" spans="1:122" ht="18" customHeight="1">
      <c r="A12" s="4" t="s">
        <v>128</v>
      </c>
      <c r="B12" s="14">
        <f>IFERROR(VLOOKUP(A12,PRICELIST!$A$3:$D$138,4,0),"-")</f>
        <v>107.11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9">
        <f t="shared" si="3"/>
        <v>0</v>
      </c>
      <c r="CZ12" s="19">
        <f t="shared" si="3"/>
        <v>0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</row>
    <row r="13" spans="1:122" ht="18" customHeight="1">
      <c r="A13" s="4" t="s">
        <v>129</v>
      </c>
      <c r="B13" s="14">
        <f>IFERROR(VLOOKUP(A13,PRICELIST!$A$3:$D$138,4,0),"-")</f>
        <v>205.07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9">
        <f t="shared" si="3"/>
        <v>0</v>
      </c>
      <c r="CZ13" s="19">
        <f t="shared" si="3"/>
        <v>0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</row>
    <row r="14" spans="1:122" ht="18" customHeight="1">
      <c r="A14" s="4" t="s">
        <v>130</v>
      </c>
      <c r="B14" s="14">
        <f>IFERROR(VLOOKUP(A14,PRICELIST!$A$3:$D$138,4,0),"-")</f>
        <v>322.70999999999998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9">
        <f t="shared" si="3"/>
        <v>0</v>
      </c>
      <c r="CZ14" s="19">
        <f t="shared" si="3"/>
        <v>0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</row>
    <row r="15" spans="1:122" ht="18" customHeight="1">
      <c r="A15" s="4" t="s">
        <v>118</v>
      </c>
      <c r="B15" s="14">
        <f>IFERROR(VLOOKUP(A15,PRICELIST!$A$3:$D$138,4,0),"-")</f>
        <v>272.23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9">
        <f t="shared" si="3"/>
        <v>0</v>
      </c>
      <c r="CZ15" s="19">
        <f t="shared" si="3"/>
        <v>0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</row>
    <row r="16" spans="1:122" ht="18" customHeight="1">
      <c r="A16" s="4" t="s">
        <v>119</v>
      </c>
      <c r="B16" s="14">
        <f>IFERROR(VLOOKUP(A16,PRICELIST!$A$3:$D$138,4,0),"-")</f>
        <v>352.76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9">
        <f t="shared" si="3"/>
        <v>0</v>
      </c>
      <c r="CZ16" s="19">
        <f t="shared" si="3"/>
        <v>0</v>
      </c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</row>
    <row r="17" spans="1:122" ht="18" customHeight="1">
      <c r="A17" s="4" t="s">
        <v>120</v>
      </c>
      <c r="B17" s="14">
        <f>IFERROR(VLOOKUP(A17,PRICELIST!$A$3:$D$138,4,0),"-")</f>
        <v>137.57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9">
        <f t="shared" si="3"/>
        <v>0</v>
      </c>
      <c r="CZ17" s="19">
        <f t="shared" si="3"/>
        <v>0</v>
      </c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</row>
    <row r="18" spans="1:122" ht="18" customHeight="1">
      <c r="A18" s="32" t="s">
        <v>124</v>
      </c>
      <c r="B18" s="14">
        <f>IFERROR(VLOOKUP(A18,PRICELIST!$A$3:$D$138,4,0),"-")</f>
        <v>647.36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9">
        <f t="shared" si="3"/>
        <v>0</v>
      </c>
      <c r="CZ18" s="19">
        <f t="shared" si="3"/>
        <v>0</v>
      </c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</row>
    <row r="19" spans="1:122" ht="18" customHeight="1">
      <c r="A19" s="4" t="s">
        <v>79</v>
      </c>
      <c r="B19" s="14">
        <f>IFERROR(VLOOKUP(A19,PRICELIST!$A$3:$D$138,4,0),"-")</f>
        <v>110.25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9">
        <f t="shared" si="3"/>
        <v>0</v>
      </c>
      <c r="CZ19" s="19">
        <f t="shared" si="3"/>
        <v>0</v>
      </c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</row>
    <row r="20" spans="1:122" ht="18" customHeight="1">
      <c r="A20" s="33" t="s">
        <v>125</v>
      </c>
      <c r="B20" s="15"/>
      <c r="C20" s="11">
        <f t="shared" ref="C20:BN20" si="4">SUMPRODUCT($B11:$B19,C11:C19)</f>
        <v>0</v>
      </c>
      <c r="D20" s="11">
        <f t="shared" si="4"/>
        <v>0</v>
      </c>
      <c r="E20" s="11">
        <f t="shared" si="4"/>
        <v>0</v>
      </c>
      <c r="F20" s="11">
        <f t="shared" si="4"/>
        <v>0</v>
      </c>
      <c r="G20" s="11">
        <f t="shared" si="4"/>
        <v>0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0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0</v>
      </c>
      <c r="X20" s="11">
        <f t="shared" si="4"/>
        <v>0</v>
      </c>
      <c r="Y20" s="11">
        <f t="shared" si="4"/>
        <v>0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  <c r="AI20" s="11">
        <f t="shared" si="4"/>
        <v>0</v>
      </c>
      <c r="AJ20" s="11">
        <f t="shared" si="4"/>
        <v>0</v>
      </c>
      <c r="AK20" s="11">
        <f t="shared" si="4"/>
        <v>0</v>
      </c>
      <c r="AL20" s="11">
        <f t="shared" si="4"/>
        <v>0</v>
      </c>
      <c r="AM20" s="11">
        <f t="shared" si="4"/>
        <v>0</v>
      </c>
      <c r="AN20" s="11">
        <f t="shared" si="4"/>
        <v>0</v>
      </c>
      <c r="AO20" s="11">
        <f t="shared" si="4"/>
        <v>0</v>
      </c>
      <c r="AP20" s="11">
        <f t="shared" si="4"/>
        <v>0</v>
      </c>
      <c r="AQ20" s="11">
        <f t="shared" si="4"/>
        <v>0</v>
      </c>
      <c r="AR20" s="11">
        <f t="shared" si="4"/>
        <v>0</v>
      </c>
      <c r="AS20" s="11">
        <f t="shared" si="4"/>
        <v>0</v>
      </c>
      <c r="AT20" s="11">
        <f t="shared" si="4"/>
        <v>0</v>
      </c>
      <c r="AU20" s="11">
        <f t="shared" si="4"/>
        <v>0</v>
      </c>
      <c r="AV20" s="11">
        <f t="shared" si="4"/>
        <v>0</v>
      </c>
      <c r="AW20" s="11">
        <f t="shared" si="4"/>
        <v>0</v>
      </c>
      <c r="AX20" s="11">
        <f t="shared" si="4"/>
        <v>0</v>
      </c>
      <c r="AY20" s="11">
        <f t="shared" si="4"/>
        <v>0</v>
      </c>
      <c r="AZ20" s="11">
        <f t="shared" si="4"/>
        <v>0</v>
      </c>
      <c r="BA20" s="11">
        <f t="shared" si="4"/>
        <v>0</v>
      </c>
      <c r="BB20" s="11">
        <f t="shared" si="4"/>
        <v>0</v>
      </c>
      <c r="BC20" s="11">
        <f t="shared" si="4"/>
        <v>0</v>
      </c>
      <c r="BD20" s="11">
        <f t="shared" si="4"/>
        <v>0</v>
      </c>
      <c r="BE20" s="11">
        <f t="shared" si="4"/>
        <v>0</v>
      </c>
      <c r="BF20" s="11">
        <f t="shared" si="4"/>
        <v>0</v>
      </c>
      <c r="BG20" s="11">
        <f t="shared" si="4"/>
        <v>0</v>
      </c>
      <c r="BH20" s="11">
        <f t="shared" si="4"/>
        <v>0</v>
      </c>
      <c r="BI20" s="11">
        <f t="shared" si="4"/>
        <v>0</v>
      </c>
      <c r="BJ20" s="11">
        <f t="shared" si="4"/>
        <v>0</v>
      </c>
      <c r="BK20" s="11">
        <f t="shared" si="4"/>
        <v>0</v>
      </c>
      <c r="BL20" s="11">
        <f t="shared" si="4"/>
        <v>0</v>
      </c>
      <c r="BM20" s="11">
        <f t="shared" si="4"/>
        <v>0</v>
      </c>
      <c r="BN20" s="11">
        <f t="shared" si="4"/>
        <v>0</v>
      </c>
      <c r="BO20" s="11">
        <f t="shared" ref="BO20:CZ20" si="5">SUMPRODUCT($B11:$B19,BO11:BO19)</f>
        <v>0</v>
      </c>
      <c r="BP20" s="11">
        <f t="shared" si="5"/>
        <v>0</v>
      </c>
      <c r="BQ20" s="11">
        <f t="shared" si="5"/>
        <v>0</v>
      </c>
      <c r="BR20" s="11">
        <f t="shared" si="5"/>
        <v>0</v>
      </c>
      <c r="BS20" s="11">
        <f t="shared" si="5"/>
        <v>0</v>
      </c>
      <c r="BT20" s="11">
        <f t="shared" si="5"/>
        <v>0</v>
      </c>
      <c r="BU20" s="11">
        <f t="shared" si="5"/>
        <v>0</v>
      </c>
      <c r="BV20" s="11">
        <f t="shared" si="5"/>
        <v>0</v>
      </c>
      <c r="BW20" s="11">
        <f t="shared" si="5"/>
        <v>0</v>
      </c>
      <c r="BX20" s="11">
        <f t="shared" si="5"/>
        <v>0</v>
      </c>
      <c r="BY20" s="11">
        <f t="shared" si="5"/>
        <v>0</v>
      </c>
      <c r="BZ20" s="11">
        <f t="shared" si="5"/>
        <v>0</v>
      </c>
      <c r="CA20" s="11">
        <f t="shared" si="5"/>
        <v>0</v>
      </c>
      <c r="CB20" s="11">
        <f t="shared" si="5"/>
        <v>0</v>
      </c>
      <c r="CC20" s="11">
        <f t="shared" si="5"/>
        <v>0</v>
      </c>
      <c r="CD20" s="11">
        <f t="shared" si="5"/>
        <v>0</v>
      </c>
      <c r="CE20" s="11">
        <f t="shared" si="5"/>
        <v>0</v>
      </c>
      <c r="CF20" s="11">
        <f t="shared" si="5"/>
        <v>0</v>
      </c>
      <c r="CG20" s="11">
        <f t="shared" si="5"/>
        <v>0</v>
      </c>
      <c r="CH20" s="11">
        <f t="shared" si="5"/>
        <v>0</v>
      </c>
      <c r="CI20" s="11">
        <f t="shared" si="5"/>
        <v>0</v>
      </c>
      <c r="CJ20" s="11">
        <f t="shared" si="5"/>
        <v>0</v>
      </c>
      <c r="CK20" s="11">
        <f t="shared" si="5"/>
        <v>0</v>
      </c>
      <c r="CL20" s="11">
        <f t="shared" si="5"/>
        <v>0</v>
      </c>
      <c r="CM20" s="11">
        <f t="shared" si="5"/>
        <v>0</v>
      </c>
      <c r="CN20" s="11">
        <f t="shared" si="5"/>
        <v>0</v>
      </c>
      <c r="CO20" s="11">
        <f t="shared" si="5"/>
        <v>0</v>
      </c>
      <c r="CP20" s="11">
        <f t="shared" si="5"/>
        <v>0</v>
      </c>
      <c r="CQ20" s="11">
        <f t="shared" si="5"/>
        <v>0</v>
      </c>
      <c r="CR20" s="11">
        <f t="shared" si="5"/>
        <v>0</v>
      </c>
      <c r="CS20" s="11">
        <f t="shared" si="5"/>
        <v>0</v>
      </c>
      <c r="CT20" s="11">
        <f t="shared" si="5"/>
        <v>0</v>
      </c>
      <c r="CU20" s="11">
        <f t="shared" si="5"/>
        <v>0</v>
      </c>
      <c r="CV20" s="11">
        <f t="shared" si="5"/>
        <v>0</v>
      </c>
      <c r="CW20" s="11">
        <f t="shared" si="5"/>
        <v>0</v>
      </c>
      <c r="CX20" s="11">
        <f t="shared" si="5"/>
        <v>0</v>
      </c>
      <c r="CY20" s="11">
        <f t="shared" si="5"/>
        <v>0</v>
      </c>
      <c r="CZ20" s="11">
        <f t="shared" si="5"/>
        <v>0</v>
      </c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</row>
    <row r="21" spans="1:122" ht="18" customHeight="1">
      <c r="A21" s="13" t="s">
        <v>80</v>
      </c>
      <c r="B21" s="14">
        <f>IFERROR(VLOOKUP(A21,PRICELIST!$A$3:$D$138,4,0),"-")</f>
        <v>128.88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9">
        <f t="shared" ref="CY21:CZ23" si="6">C21+E21+G21+I21+K21+M21+O21+Q21+S21+U21+W21+Y21+AA21+AC21+AE21+AG21+AI21+AK21+AM21+AO21+AQ21+AS21+AU21+AW21+AY21+BA21+BC21+BE21+BG21+BI21+BK21+BM21+BO21+BQ21+BS21+BU21+BW21+BY21+CA21+CC21+CE21+CG21+CI21+CK21+CM21+CO21+CQ21+CS21+CU21+CW21</f>
        <v>0</v>
      </c>
      <c r="CZ21" s="19">
        <f t="shared" si="6"/>
        <v>0</v>
      </c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</row>
    <row r="22" spans="1:122" ht="18" customHeight="1">
      <c r="A22" s="13" t="s">
        <v>10</v>
      </c>
      <c r="B22" s="14">
        <f>IFERROR(VLOOKUP(A22,PRICELIST!$A$3:$D$138,4,0),"-")</f>
        <v>120.53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9">
        <f t="shared" si="6"/>
        <v>0</v>
      </c>
      <c r="CZ22" s="19">
        <f t="shared" si="6"/>
        <v>0</v>
      </c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</row>
    <row r="23" spans="1:122" ht="18" customHeight="1">
      <c r="A23" s="13" t="s">
        <v>11</v>
      </c>
      <c r="B23" s="14">
        <f>IFERROR(VLOOKUP(A23,PRICELIST!$A$3:$D$138,4,0),"-")</f>
        <v>144.29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9">
        <f t="shared" si="6"/>
        <v>0</v>
      </c>
      <c r="CZ23" s="19">
        <f t="shared" si="6"/>
        <v>0</v>
      </c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</row>
    <row r="24" spans="1:122" ht="18" customHeight="1">
      <c r="A24" s="9" t="s">
        <v>12</v>
      </c>
      <c r="B24" s="10"/>
      <c r="C24" s="11">
        <f>SUMPRODUCT($B21:$B23,C21:C23)</f>
        <v>0</v>
      </c>
      <c r="D24" s="11">
        <f t="shared" ref="D24:BO24" si="7">SUMPRODUCT($B21:$B23,D21:D23)</f>
        <v>0</v>
      </c>
      <c r="E24" s="11">
        <f t="shared" si="7"/>
        <v>0</v>
      </c>
      <c r="F24" s="11">
        <f t="shared" si="7"/>
        <v>0</v>
      </c>
      <c r="G24" s="11">
        <f t="shared" si="7"/>
        <v>0</v>
      </c>
      <c r="H24" s="11">
        <f t="shared" si="7"/>
        <v>0</v>
      </c>
      <c r="I24" s="11">
        <f t="shared" si="7"/>
        <v>0</v>
      </c>
      <c r="J24" s="11">
        <f t="shared" si="7"/>
        <v>0</v>
      </c>
      <c r="K24" s="11">
        <f t="shared" si="7"/>
        <v>0</v>
      </c>
      <c r="L24" s="11">
        <f t="shared" si="7"/>
        <v>0</v>
      </c>
      <c r="M24" s="11">
        <f t="shared" si="7"/>
        <v>0</v>
      </c>
      <c r="N24" s="11">
        <f t="shared" si="7"/>
        <v>0</v>
      </c>
      <c r="O24" s="11">
        <f t="shared" si="7"/>
        <v>0</v>
      </c>
      <c r="P24" s="11">
        <f t="shared" si="7"/>
        <v>0</v>
      </c>
      <c r="Q24" s="11">
        <f t="shared" si="7"/>
        <v>0</v>
      </c>
      <c r="R24" s="11">
        <f t="shared" si="7"/>
        <v>0</v>
      </c>
      <c r="S24" s="11">
        <f t="shared" si="7"/>
        <v>0</v>
      </c>
      <c r="T24" s="11">
        <f t="shared" si="7"/>
        <v>0</v>
      </c>
      <c r="U24" s="11">
        <f t="shared" si="7"/>
        <v>0</v>
      </c>
      <c r="V24" s="11">
        <f t="shared" si="7"/>
        <v>0</v>
      </c>
      <c r="W24" s="11">
        <f t="shared" si="7"/>
        <v>0</v>
      </c>
      <c r="X24" s="11">
        <f t="shared" si="7"/>
        <v>0</v>
      </c>
      <c r="Y24" s="11">
        <f t="shared" si="7"/>
        <v>0</v>
      </c>
      <c r="Z24" s="11">
        <f t="shared" si="7"/>
        <v>0</v>
      </c>
      <c r="AA24" s="11">
        <f t="shared" si="7"/>
        <v>0</v>
      </c>
      <c r="AB24" s="11">
        <f t="shared" si="7"/>
        <v>0</v>
      </c>
      <c r="AC24" s="11">
        <f t="shared" si="7"/>
        <v>0</v>
      </c>
      <c r="AD24" s="11">
        <f t="shared" si="7"/>
        <v>0</v>
      </c>
      <c r="AE24" s="11">
        <f t="shared" si="7"/>
        <v>0</v>
      </c>
      <c r="AF24" s="11">
        <f t="shared" si="7"/>
        <v>0</v>
      </c>
      <c r="AG24" s="11">
        <f t="shared" si="7"/>
        <v>0</v>
      </c>
      <c r="AH24" s="11">
        <f t="shared" si="7"/>
        <v>0</v>
      </c>
      <c r="AI24" s="11">
        <f t="shared" si="7"/>
        <v>0</v>
      </c>
      <c r="AJ24" s="11">
        <f t="shared" si="7"/>
        <v>0</v>
      </c>
      <c r="AK24" s="11">
        <f t="shared" si="7"/>
        <v>0</v>
      </c>
      <c r="AL24" s="11">
        <f t="shared" si="7"/>
        <v>0</v>
      </c>
      <c r="AM24" s="11">
        <f t="shared" si="7"/>
        <v>0</v>
      </c>
      <c r="AN24" s="11">
        <f t="shared" si="7"/>
        <v>0</v>
      </c>
      <c r="AO24" s="11">
        <f t="shared" si="7"/>
        <v>0</v>
      </c>
      <c r="AP24" s="11">
        <f t="shared" si="7"/>
        <v>0</v>
      </c>
      <c r="AQ24" s="11">
        <f t="shared" si="7"/>
        <v>0</v>
      </c>
      <c r="AR24" s="11">
        <f t="shared" si="7"/>
        <v>0</v>
      </c>
      <c r="AS24" s="11">
        <f t="shared" si="7"/>
        <v>0</v>
      </c>
      <c r="AT24" s="11">
        <f t="shared" si="7"/>
        <v>0</v>
      </c>
      <c r="AU24" s="11">
        <f t="shared" si="7"/>
        <v>0</v>
      </c>
      <c r="AV24" s="11">
        <f t="shared" si="7"/>
        <v>0</v>
      </c>
      <c r="AW24" s="11">
        <f t="shared" si="7"/>
        <v>0</v>
      </c>
      <c r="AX24" s="11">
        <f t="shared" si="7"/>
        <v>0</v>
      </c>
      <c r="AY24" s="11">
        <f t="shared" si="7"/>
        <v>0</v>
      </c>
      <c r="AZ24" s="11">
        <f t="shared" si="7"/>
        <v>0</v>
      </c>
      <c r="BA24" s="11">
        <f t="shared" si="7"/>
        <v>0</v>
      </c>
      <c r="BB24" s="11">
        <f t="shared" si="7"/>
        <v>0</v>
      </c>
      <c r="BC24" s="11">
        <f t="shared" si="7"/>
        <v>0</v>
      </c>
      <c r="BD24" s="11">
        <f t="shared" si="7"/>
        <v>0</v>
      </c>
      <c r="BE24" s="11">
        <f t="shared" si="7"/>
        <v>0</v>
      </c>
      <c r="BF24" s="11">
        <f t="shared" si="7"/>
        <v>0</v>
      </c>
      <c r="BG24" s="11">
        <f t="shared" si="7"/>
        <v>0</v>
      </c>
      <c r="BH24" s="11">
        <f t="shared" si="7"/>
        <v>0</v>
      </c>
      <c r="BI24" s="11">
        <f t="shared" si="7"/>
        <v>0</v>
      </c>
      <c r="BJ24" s="11">
        <f t="shared" si="7"/>
        <v>0</v>
      </c>
      <c r="BK24" s="11">
        <f t="shared" si="7"/>
        <v>0</v>
      </c>
      <c r="BL24" s="11">
        <f t="shared" si="7"/>
        <v>0</v>
      </c>
      <c r="BM24" s="11">
        <f t="shared" si="7"/>
        <v>0</v>
      </c>
      <c r="BN24" s="11">
        <f t="shared" si="7"/>
        <v>0</v>
      </c>
      <c r="BO24" s="11">
        <f t="shared" si="7"/>
        <v>0</v>
      </c>
      <c r="BP24" s="11">
        <f t="shared" ref="BP24:CZ24" si="8">SUMPRODUCT($B21:$B23,BP21:BP23)</f>
        <v>0</v>
      </c>
      <c r="BQ24" s="11">
        <f t="shared" si="8"/>
        <v>0</v>
      </c>
      <c r="BR24" s="11">
        <f t="shared" si="8"/>
        <v>0</v>
      </c>
      <c r="BS24" s="11">
        <f t="shared" si="8"/>
        <v>0</v>
      </c>
      <c r="BT24" s="11">
        <f t="shared" si="8"/>
        <v>0</v>
      </c>
      <c r="BU24" s="11">
        <f t="shared" si="8"/>
        <v>0</v>
      </c>
      <c r="BV24" s="11">
        <f t="shared" si="8"/>
        <v>0</v>
      </c>
      <c r="BW24" s="11">
        <f t="shared" si="8"/>
        <v>0</v>
      </c>
      <c r="BX24" s="11">
        <f t="shared" si="8"/>
        <v>0</v>
      </c>
      <c r="BY24" s="11">
        <f t="shared" si="8"/>
        <v>0</v>
      </c>
      <c r="BZ24" s="11">
        <f t="shared" si="8"/>
        <v>0</v>
      </c>
      <c r="CA24" s="11">
        <f t="shared" si="8"/>
        <v>0</v>
      </c>
      <c r="CB24" s="11">
        <f t="shared" si="8"/>
        <v>0</v>
      </c>
      <c r="CC24" s="11">
        <f t="shared" si="8"/>
        <v>0</v>
      </c>
      <c r="CD24" s="11">
        <f t="shared" si="8"/>
        <v>0</v>
      </c>
      <c r="CE24" s="11">
        <f t="shared" si="8"/>
        <v>0</v>
      </c>
      <c r="CF24" s="11">
        <f t="shared" si="8"/>
        <v>0</v>
      </c>
      <c r="CG24" s="11">
        <f t="shared" si="8"/>
        <v>0</v>
      </c>
      <c r="CH24" s="11">
        <f t="shared" si="8"/>
        <v>0</v>
      </c>
      <c r="CI24" s="11">
        <f t="shared" si="8"/>
        <v>0</v>
      </c>
      <c r="CJ24" s="11">
        <f t="shared" si="8"/>
        <v>0</v>
      </c>
      <c r="CK24" s="11">
        <f t="shared" si="8"/>
        <v>0</v>
      </c>
      <c r="CL24" s="11">
        <f t="shared" si="8"/>
        <v>0</v>
      </c>
      <c r="CM24" s="11">
        <f t="shared" si="8"/>
        <v>0</v>
      </c>
      <c r="CN24" s="11">
        <f t="shared" si="8"/>
        <v>0</v>
      </c>
      <c r="CO24" s="11">
        <f t="shared" si="8"/>
        <v>0</v>
      </c>
      <c r="CP24" s="11">
        <f t="shared" si="8"/>
        <v>0</v>
      </c>
      <c r="CQ24" s="11">
        <f t="shared" si="8"/>
        <v>0</v>
      </c>
      <c r="CR24" s="11">
        <f t="shared" si="8"/>
        <v>0</v>
      </c>
      <c r="CS24" s="11">
        <f t="shared" si="8"/>
        <v>0</v>
      </c>
      <c r="CT24" s="11">
        <f t="shared" si="8"/>
        <v>0</v>
      </c>
      <c r="CU24" s="11">
        <f t="shared" si="8"/>
        <v>0</v>
      </c>
      <c r="CV24" s="11">
        <f t="shared" si="8"/>
        <v>0</v>
      </c>
      <c r="CW24" s="11">
        <f t="shared" si="8"/>
        <v>0</v>
      </c>
      <c r="CX24" s="11">
        <f t="shared" si="8"/>
        <v>0</v>
      </c>
      <c r="CY24" s="11">
        <f t="shared" si="8"/>
        <v>0</v>
      </c>
      <c r="CZ24" s="11">
        <f t="shared" si="8"/>
        <v>0</v>
      </c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</row>
    <row r="25" spans="1:122" ht="18" customHeight="1">
      <c r="A25" s="13" t="s">
        <v>13</v>
      </c>
      <c r="B25" s="14">
        <f>IFERROR(VLOOKUP(A25,PRICELIST!$A$3:$D$138,4,0),"-")</f>
        <v>110.57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9">
        <f t="shared" ref="CY25:CZ26" si="9">C25+E25+G25+I25+K25+M25+O25+Q25+S25+U25+W25+Y25+AA25+AC25+AE25+AG25+AI25+AK25+AM25+AO25+AQ25+AS25+AU25+AW25+AY25+BA25+BC25+BE25+BG25+BI25+BK25+BM25+BO25+BQ25+BS25+BU25+BW25+BY25+CA25+CC25+CE25+CG25+CI25+CK25+CM25+CO25+CQ25+CS25+CU25+CW25</f>
        <v>0</v>
      </c>
      <c r="CZ25" s="19">
        <f t="shared" si="9"/>
        <v>0</v>
      </c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</row>
    <row r="26" spans="1:122" ht="18" customHeight="1">
      <c r="A26" s="13" t="s">
        <v>14</v>
      </c>
      <c r="B26" s="14">
        <f>IFERROR(VLOOKUP(A26,PRICELIST!$A$3:$D$138,4,0),"-")</f>
        <v>184.82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9">
        <f t="shared" si="9"/>
        <v>0</v>
      </c>
      <c r="CZ26" s="19">
        <f t="shared" si="9"/>
        <v>0</v>
      </c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</row>
    <row r="27" spans="1:122" ht="18" customHeight="1">
      <c r="A27" s="9" t="s">
        <v>15</v>
      </c>
      <c r="B27" s="10"/>
      <c r="C27" s="11">
        <f>SUMPRODUCT($B25:$B26,C25:C26)</f>
        <v>0</v>
      </c>
      <c r="D27" s="11">
        <f t="shared" ref="D27:BO27" si="10">SUMPRODUCT($B25:$B26,D25:D26)</f>
        <v>0</v>
      </c>
      <c r="E27" s="11">
        <f t="shared" si="10"/>
        <v>0</v>
      </c>
      <c r="F27" s="11">
        <f t="shared" si="10"/>
        <v>0</v>
      </c>
      <c r="G27" s="11">
        <f t="shared" si="10"/>
        <v>0</v>
      </c>
      <c r="H27" s="11">
        <f t="shared" si="10"/>
        <v>0</v>
      </c>
      <c r="I27" s="11">
        <f t="shared" si="10"/>
        <v>0</v>
      </c>
      <c r="J27" s="11">
        <f t="shared" si="10"/>
        <v>0</v>
      </c>
      <c r="K27" s="11">
        <f t="shared" si="10"/>
        <v>0</v>
      </c>
      <c r="L27" s="11">
        <f t="shared" si="10"/>
        <v>0</v>
      </c>
      <c r="M27" s="11">
        <f t="shared" si="10"/>
        <v>0</v>
      </c>
      <c r="N27" s="11">
        <f t="shared" si="10"/>
        <v>0</v>
      </c>
      <c r="O27" s="11">
        <f t="shared" si="10"/>
        <v>0</v>
      </c>
      <c r="P27" s="11">
        <f t="shared" si="10"/>
        <v>0</v>
      </c>
      <c r="Q27" s="11">
        <f t="shared" si="10"/>
        <v>0</v>
      </c>
      <c r="R27" s="11">
        <f t="shared" si="10"/>
        <v>0</v>
      </c>
      <c r="S27" s="11">
        <f t="shared" si="10"/>
        <v>0</v>
      </c>
      <c r="T27" s="11">
        <f t="shared" si="10"/>
        <v>0</v>
      </c>
      <c r="U27" s="11">
        <f t="shared" si="10"/>
        <v>0</v>
      </c>
      <c r="V27" s="11">
        <f t="shared" si="10"/>
        <v>0</v>
      </c>
      <c r="W27" s="11">
        <f t="shared" si="10"/>
        <v>0</v>
      </c>
      <c r="X27" s="11">
        <f t="shared" si="10"/>
        <v>0</v>
      </c>
      <c r="Y27" s="11">
        <f t="shared" si="10"/>
        <v>0</v>
      </c>
      <c r="Z27" s="11">
        <f t="shared" si="10"/>
        <v>0</v>
      </c>
      <c r="AA27" s="11">
        <f t="shared" si="10"/>
        <v>0</v>
      </c>
      <c r="AB27" s="11">
        <f t="shared" si="10"/>
        <v>0</v>
      </c>
      <c r="AC27" s="11">
        <f t="shared" si="10"/>
        <v>0</v>
      </c>
      <c r="AD27" s="11">
        <f t="shared" si="10"/>
        <v>0</v>
      </c>
      <c r="AE27" s="11">
        <f t="shared" si="10"/>
        <v>0</v>
      </c>
      <c r="AF27" s="11">
        <f t="shared" si="10"/>
        <v>0</v>
      </c>
      <c r="AG27" s="11">
        <f t="shared" si="10"/>
        <v>0</v>
      </c>
      <c r="AH27" s="11">
        <f t="shared" si="10"/>
        <v>0</v>
      </c>
      <c r="AI27" s="11">
        <f t="shared" si="10"/>
        <v>0</v>
      </c>
      <c r="AJ27" s="11">
        <f t="shared" si="10"/>
        <v>0</v>
      </c>
      <c r="AK27" s="11">
        <f t="shared" si="10"/>
        <v>0</v>
      </c>
      <c r="AL27" s="11">
        <f t="shared" si="10"/>
        <v>0</v>
      </c>
      <c r="AM27" s="11">
        <f t="shared" si="10"/>
        <v>0</v>
      </c>
      <c r="AN27" s="11">
        <f t="shared" si="10"/>
        <v>0</v>
      </c>
      <c r="AO27" s="11">
        <f t="shared" si="10"/>
        <v>0</v>
      </c>
      <c r="AP27" s="11">
        <f t="shared" si="10"/>
        <v>0</v>
      </c>
      <c r="AQ27" s="11">
        <f t="shared" si="10"/>
        <v>0</v>
      </c>
      <c r="AR27" s="11">
        <f t="shared" si="10"/>
        <v>0</v>
      </c>
      <c r="AS27" s="11">
        <f t="shared" si="10"/>
        <v>0</v>
      </c>
      <c r="AT27" s="11">
        <f t="shared" si="10"/>
        <v>0</v>
      </c>
      <c r="AU27" s="11">
        <f t="shared" si="10"/>
        <v>0</v>
      </c>
      <c r="AV27" s="11">
        <f t="shared" si="10"/>
        <v>0</v>
      </c>
      <c r="AW27" s="11">
        <f t="shared" si="10"/>
        <v>0</v>
      </c>
      <c r="AX27" s="11">
        <f t="shared" si="10"/>
        <v>0</v>
      </c>
      <c r="AY27" s="11">
        <f t="shared" si="10"/>
        <v>0</v>
      </c>
      <c r="AZ27" s="11">
        <f t="shared" si="10"/>
        <v>0</v>
      </c>
      <c r="BA27" s="11">
        <f t="shared" si="10"/>
        <v>0</v>
      </c>
      <c r="BB27" s="11">
        <f t="shared" si="10"/>
        <v>0</v>
      </c>
      <c r="BC27" s="11">
        <f t="shared" si="10"/>
        <v>0</v>
      </c>
      <c r="BD27" s="11">
        <f t="shared" si="10"/>
        <v>0</v>
      </c>
      <c r="BE27" s="11">
        <f t="shared" si="10"/>
        <v>0</v>
      </c>
      <c r="BF27" s="11">
        <f t="shared" si="10"/>
        <v>0</v>
      </c>
      <c r="BG27" s="11">
        <f t="shared" si="10"/>
        <v>0</v>
      </c>
      <c r="BH27" s="11">
        <f t="shared" si="10"/>
        <v>0</v>
      </c>
      <c r="BI27" s="11">
        <f t="shared" si="10"/>
        <v>0</v>
      </c>
      <c r="BJ27" s="11">
        <f t="shared" si="10"/>
        <v>0</v>
      </c>
      <c r="BK27" s="11">
        <f t="shared" si="10"/>
        <v>0</v>
      </c>
      <c r="BL27" s="11">
        <f t="shared" si="10"/>
        <v>0</v>
      </c>
      <c r="BM27" s="11">
        <f t="shared" si="10"/>
        <v>0</v>
      </c>
      <c r="BN27" s="11">
        <f t="shared" si="10"/>
        <v>0</v>
      </c>
      <c r="BO27" s="11">
        <f t="shared" si="10"/>
        <v>0</v>
      </c>
      <c r="BP27" s="11">
        <f t="shared" ref="BP27:CZ27" si="11">SUMPRODUCT($B25:$B26,BP25:BP26)</f>
        <v>0</v>
      </c>
      <c r="BQ27" s="11">
        <f t="shared" si="11"/>
        <v>0</v>
      </c>
      <c r="BR27" s="11">
        <f t="shared" si="11"/>
        <v>0</v>
      </c>
      <c r="BS27" s="11">
        <f t="shared" si="11"/>
        <v>0</v>
      </c>
      <c r="BT27" s="11">
        <f t="shared" si="11"/>
        <v>0</v>
      </c>
      <c r="BU27" s="11">
        <f t="shared" si="11"/>
        <v>0</v>
      </c>
      <c r="BV27" s="11">
        <f t="shared" si="11"/>
        <v>0</v>
      </c>
      <c r="BW27" s="11">
        <f t="shared" si="11"/>
        <v>0</v>
      </c>
      <c r="BX27" s="11">
        <f t="shared" si="11"/>
        <v>0</v>
      </c>
      <c r="BY27" s="11">
        <f t="shared" si="11"/>
        <v>0</v>
      </c>
      <c r="BZ27" s="11">
        <f t="shared" si="11"/>
        <v>0</v>
      </c>
      <c r="CA27" s="11">
        <f t="shared" si="11"/>
        <v>0</v>
      </c>
      <c r="CB27" s="11">
        <f t="shared" si="11"/>
        <v>0</v>
      </c>
      <c r="CC27" s="11">
        <f t="shared" si="11"/>
        <v>0</v>
      </c>
      <c r="CD27" s="11">
        <f t="shared" si="11"/>
        <v>0</v>
      </c>
      <c r="CE27" s="11">
        <f t="shared" si="11"/>
        <v>0</v>
      </c>
      <c r="CF27" s="11">
        <f t="shared" si="11"/>
        <v>0</v>
      </c>
      <c r="CG27" s="11">
        <f t="shared" si="11"/>
        <v>0</v>
      </c>
      <c r="CH27" s="11">
        <f t="shared" si="11"/>
        <v>0</v>
      </c>
      <c r="CI27" s="11">
        <f t="shared" si="11"/>
        <v>0</v>
      </c>
      <c r="CJ27" s="11">
        <f t="shared" si="11"/>
        <v>0</v>
      </c>
      <c r="CK27" s="11">
        <f t="shared" si="11"/>
        <v>0</v>
      </c>
      <c r="CL27" s="11">
        <f t="shared" si="11"/>
        <v>0</v>
      </c>
      <c r="CM27" s="11">
        <f t="shared" si="11"/>
        <v>0</v>
      </c>
      <c r="CN27" s="11">
        <f t="shared" si="11"/>
        <v>0</v>
      </c>
      <c r="CO27" s="11">
        <f t="shared" si="11"/>
        <v>0</v>
      </c>
      <c r="CP27" s="11">
        <f t="shared" si="11"/>
        <v>0</v>
      </c>
      <c r="CQ27" s="11">
        <f t="shared" si="11"/>
        <v>0</v>
      </c>
      <c r="CR27" s="11">
        <f t="shared" si="11"/>
        <v>0</v>
      </c>
      <c r="CS27" s="11">
        <f t="shared" si="11"/>
        <v>0</v>
      </c>
      <c r="CT27" s="11">
        <f t="shared" si="11"/>
        <v>0</v>
      </c>
      <c r="CU27" s="11">
        <f t="shared" si="11"/>
        <v>0</v>
      </c>
      <c r="CV27" s="11">
        <f t="shared" si="11"/>
        <v>0</v>
      </c>
      <c r="CW27" s="11">
        <f t="shared" si="11"/>
        <v>0</v>
      </c>
      <c r="CX27" s="11">
        <f t="shared" si="11"/>
        <v>0</v>
      </c>
      <c r="CY27" s="11">
        <f t="shared" si="11"/>
        <v>0</v>
      </c>
      <c r="CZ27" s="11">
        <f t="shared" si="11"/>
        <v>0</v>
      </c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</row>
    <row r="28" spans="1:122" ht="18" customHeight="1">
      <c r="A28" s="13" t="s">
        <v>16</v>
      </c>
      <c r="B28" s="14">
        <f>IFERROR(VLOOKUP(A28,PRICELIST!$A$3:$D$138,4,0),"-")</f>
        <v>113.79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9">
        <f t="shared" ref="CY28:CZ33" si="12">C28+E28+G28+I28+K28+M28+O28+Q28+S28+U28+W28+Y28+AA28+AC28+AE28+AG28+AI28+AK28+AM28+AO28+AQ28+AS28+AU28+AW28+AY28+BA28+BC28+BE28+BG28+BI28+BK28+BM28+BO28+BQ28+BS28+BU28+BW28+BY28+CA28+CC28+CE28+CG28+CI28+CK28+CM28+CO28+CQ28+CS28+CU28+CW28</f>
        <v>0</v>
      </c>
      <c r="CZ28" s="19">
        <f t="shared" si="12"/>
        <v>0</v>
      </c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</row>
    <row r="29" spans="1:122" ht="18" customHeight="1">
      <c r="A29" s="13" t="s">
        <v>17</v>
      </c>
      <c r="B29" s="14">
        <f>IFERROR(VLOOKUP(A29,PRICELIST!$A$3:$D$138,4,0),"-")</f>
        <v>188.04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9">
        <f t="shared" si="12"/>
        <v>0</v>
      </c>
      <c r="CZ29" s="19">
        <f t="shared" si="12"/>
        <v>0</v>
      </c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</row>
    <row r="30" spans="1:122" ht="18" customHeight="1">
      <c r="A30" s="13" t="s">
        <v>18</v>
      </c>
      <c r="B30" s="14">
        <f>IFERROR(VLOOKUP(A30,PRICELIST!$A$3:$D$138,4,0),"-")</f>
        <v>68.16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9">
        <f t="shared" si="12"/>
        <v>0</v>
      </c>
      <c r="CZ30" s="19">
        <f t="shared" si="12"/>
        <v>0</v>
      </c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</row>
    <row r="31" spans="1:122" ht="18" customHeight="1">
      <c r="A31" s="13" t="s">
        <v>19</v>
      </c>
      <c r="B31" s="14">
        <f>IFERROR(VLOOKUP(A31,PRICELIST!$A$3:$D$138,4,0),"-")</f>
        <v>101.57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9">
        <f t="shared" si="12"/>
        <v>0</v>
      </c>
      <c r="CZ31" s="19">
        <f t="shared" si="12"/>
        <v>0</v>
      </c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</row>
    <row r="32" spans="1:122" ht="18" customHeight="1">
      <c r="A32" s="13" t="s">
        <v>20</v>
      </c>
      <c r="B32" s="14">
        <f>IFERROR(VLOOKUP(A32,PRICELIST!$A$3:$D$138,4,0),"-")</f>
        <v>164.73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9">
        <f t="shared" si="12"/>
        <v>0</v>
      </c>
      <c r="CZ32" s="19">
        <f t="shared" si="12"/>
        <v>0</v>
      </c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</row>
    <row r="33" spans="1:122" ht="18" customHeight="1">
      <c r="A33" s="13" t="s">
        <v>21</v>
      </c>
      <c r="B33" s="14">
        <f>IFERROR(VLOOKUP(A33,PRICELIST!$A$3:$D$138,4,0),"-")</f>
        <v>78.099999999999994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9">
        <f t="shared" si="12"/>
        <v>0</v>
      </c>
      <c r="CZ33" s="19">
        <f t="shared" si="12"/>
        <v>0</v>
      </c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</row>
    <row r="34" spans="1:122" ht="18" customHeight="1">
      <c r="A34" s="9" t="s">
        <v>22</v>
      </c>
      <c r="B34" s="10"/>
      <c r="C34" s="11">
        <f>SUMPRODUCT($B28:$B33,C28:C33)</f>
        <v>0</v>
      </c>
      <c r="D34" s="11">
        <f t="shared" ref="D34:BO34" si="13">SUMPRODUCT($B28:$B33,D28:D33)</f>
        <v>0</v>
      </c>
      <c r="E34" s="11">
        <f t="shared" si="13"/>
        <v>0</v>
      </c>
      <c r="F34" s="11">
        <f t="shared" si="13"/>
        <v>0</v>
      </c>
      <c r="G34" s="11">
        <f t="shared" si="13"/>
        <v>0</v>
      </c>
      <c r="H34" s="11">
        <f t="shared" si="13"/>
        <v>0</v>
      </c>
      <c r="I34" s="11">
        <f t="shared" si="13"/>
        <v>0</v>
      </c>
      <c r="J34" s="11">
        <f t="shared" si="13"/>
        <v>0</v>
      </c>
      <c r="K34" s="11">
        <f t="shared" si="13"/>
        <v>0</v>
      </c>
      <c r="L34" s="11">
        <f t="shared" si="13"/>
        <v>0</v>
      </c>
      <c r="M34" s="11">
        <f t="shared" si="13"/>
        <v>0</v>
      </c>
      <c r="N34" s="11">
        <f t="shared" si="13"/>
        <v>0</v>
      </c>
      <c r="O34" s="11">
        <f t="shared" si="13"/>
        <v>0</v>
      </c>
      <c r="P34" s="11">
        <f t="shared" si="13"/>
        <v>0</v>
      </c>
      <c r="Q34" s="11">
        <f t="shared" si="13"/>
        <v>0</v>
      </c>
      <c r="R34" s="11">
        <f t="shared" si="13"/>
        <v>0</v>
      </c>
      <c r="S34" s="11">
        <f t="shared" si="13"/>
        <v>0</v>
      </c>
      <c r="T34" s="11">
        <f t="shared" si="13"/>
        <v>0</v>
      </c>
      <c r="U34" s="11">
        <f t="shared" si="13"/>
        <v>0</v>
      </c>
      <c r="V34" s="11">
        <f t="shared" si="13"/>
        <v>0</v>
      </c>
      <c r="W34" s="11">
        <f t="shared" si="13"/>
        <v>0</v>
      </c>
      <c r="X34" s="11">
        <f t="shared" si="13"/>
        <v>0</v>
      </c>
      <c r="Y34" s="11">
        <f t="shared" si="13"/>
        <v>0</v>
      </c>
      <c r="Z34" s="11">
        <f t="shared" si="13"/>
        <v>0</v>
      </c>
      <c r="AA34" s="11">
        <f t="shared" si="13"/>
        <v>0</v>
      </c>
      <c r="AB34" s="11">
        <f t="shared" si="13"/>
        <v>0</v>
      </c>
      <c r="AC34" s="11">
        <f t="shared" si="13"/>
        <v>0</v>
      </c>
      <c r="AD34" s="11">
        <f t="shared" si="13"/>
        <v>0</v>
      </c>
      <c r="AE34" s="11">
        <f t="shared" si="13"/>
        <v>0</v>
      </c>
      <c r="AF34" s="11">
        <f t="shared" si="13"/>
        <v>0</v>
      </c>
      <c r="AG34" s="11">
        <f t="shared" si="13"/>
        <v>0</v>
      </c>
      <c r="AH34" s="11">
        <f t="shared" si="13"/>
        <v>0</v>
      </c>
      <c r="AI34" s="11">
        <f t="shared" si="13"/>
        <v>0</v>
      </c>
      <c r="AJ34" s="11">
        <f t="shared" si="13"/>
        <v>0</v>
      </c>
      <c r="AK34" s="11">
        <f t="shared" si="13"/>
        <v>0</v>
      </c>
      <c r="AL34" s="11">
        <f t="shared" si="13"/>
        <v>0</v>
      </c>
      <c r="AM34" s="11">
        <f t="shared" si="13"/>
        <v>0</v>
      </c>
      <c r="AN34" s="11">
        <f t="shared" si="13"/>
        <v>0</v>
      </c>
      <c r="AO34" s="11">
        <f t="shared" si="13"/>
        <v>0</v>
      </c>
      <c r="AP34" s="11">
        <f t="shared" si="13"/>
        <v>0</v>
      </c>
      <c r="AQ34" s="11">
        <f t="shared" si="13"/>
        <v>0</v>
      </c>
      <c r="AR34" s="11">
        <f t="shared" si="13"/>
        <v>0</v>
      </c>
      <c r="AS34" s="11">
        <f t="shared" si="13"/>
        <v>0</v>
      </c>
      <c r="AT34" s="11">
        <f t="shared" si="13"/>
        <v>0</v>
      </c>
      <c r="AU34" s="11">
        <f t="shared" si="13"/>
        <v>0</v>
      </c>
      <c r="AV34" s="11">
        <f t="shared" si="13"/>
        <v>0</v>
      </c>
      <c r="AW34" s="11">
        <f t="shared" si="13"/>
        <v>0</v>
      </c>
      <c r="AX34" s="11">
        <f t="shared" si="13"/>
        <v>0</v>
      </c>
      <c r="AY34" s="11">
        <f t="shared" si="13"/>
        <v>0</v>
      </c>
      <c r="AZ34" s="11">
        <f t="shared" si="13"/>
        <v>0</v>
      </c>
      <c r="BA34" s="11">
        <f t="shared" si="13"/>
        <v>0</v>
      </c>
      <c r="BB34" s="11">
        <f t="shared" si="13"/>
        <v>0</v>
      </c>
      <c r="BC34" s="11">
        <f t="shared" si="13"/>
        <v>0</v>
      </c>
      <c r="BD34" s="11">
        <f t="shared" si="13"/>
        <v>0</v>
      </c>
      <c r="BE34" s="11">
        <f t="shared" si="13"/>
        <v>0</v>
      </c>
      <c r="BF34" s="11">
        <f t="shared" si="13"/>
        <v>0</v>
      </c>
      <c r="BG34" s="11">
        <f t="shared" si="13"/>
        <v>0</v>
      </c>
      <c r="BH34" s="11">
        <f t="shared" si="13"/>
        <v>0</v>
      </c>
      <c r="BI34" s="11">
        <f t="shared" si="13"/>
        <v>0</v>
      </c>
      <c r="BJ34" s="11">
        <f t="shared" si="13"/>
        <v>0</v>
      </c>
      <c r="BK34" s="11">
        <f t="shared" si="13"/>
        <v>0</v>
      </c>
      <c r="BL34" s="11">
        <f t="shared" si="13"/>
        <v>0</v>
      </c>
      <c r="BM34" s="11">
        <f t="shared" si="13"/>
        <v>0</v>
      </c>
      <c r="BN34" s="11">
        <f t="shared" si="13"/>
        <v>0</v>
      </c>
      <c r="BO34" s="11">
        <f t="shared" si="13"/>
        <v>0</v>
      </c>
      <c r="BP34" s="11">
        <f t="shared" ref="BP34:CZ34" si="14">SUMPRODUCT($B28:$B33,BP28:BP33)</f>
        <v>0</v>
      </c>
      <c r="BQ34" s="11">
        <f t="shared" si="14"/>
        <v>0</v>
      </c>
      <c r="BR34" s="11">
        <f t="shared" si="14"/>
        <v>0</v>
      </c>
      <c r="BS34" s="11">
        <f t="shared" si="14"/>
        <v>0</v>
      </c>
      <c r="BT34" s="11">
        <f t="shared" si="14"/>
        <v>0</v>
      </c>
      <c r="BU34" s="11">
        <f t="shared" si="14"/>
        <v>0</v>
      </c>
      <c r="BV34" s="11">
        <f t="shared" si="14"/>
        <v>0</v>
      </c>
      <c r="BW34" s="11">
        <f t="shared" si="14"/>
        <v>0</v>
      </c>
      <c r="BX34" s="11">
        <f t="shared" si="14"/>
        <v>0</v>
      </c>
      <c r="BY34" s="11">
        <f t="shared" si="14"/>
        <v>0</v>
      </c>
      <c r="BZ34" s="11">
        <f t="shared" si="14"/>
        <v>0</v>
      </c>
      <c r="CA34" s="11">
        <f t="shared" si="14"/>
        <v>0</v>
      </c>
      <c r="CB34" s="11">
        <f t="shared" si="14"/>
        <v>0</v>
      </c>
      <c r="CC34" s="11">
        <f t="shared" si="14"/>
        <v>0</v>
      </c>
      <c r="CD34" s="11">
        <f t="shared" si="14"/>
        <v>0</v>
      </c>
      <c r="CE34" s="11">
        <f t="shared" si="14"/>
        <v>0</v>
      </c>
      <c r="CF34" s="11">
        <f t="shared" si="14"/>
        <v>0</v>
      </c>
      <c r="CG34" s="11">
        <f t="shared" si="14"/>
        <v>0</v>
      </c>
      <c r="CH34" s="11">
        <f t="shared" si="14"/>
        <v>0</v>
      </c>
      <c r="CI34" s="11">
        <f t="shared" si="14"/>
        <v>0</v>
      </c>
      <c r="CJ34" s="11">
        <f t="shared" si="14"/>
        <v>0</v>
      </c>
      <c r="CK34" s="11">
        <f t="shared" si="14"/>
        <v>0</v>
      </c>
      <c r="CL34" s="11">
        <f t="shared" si="14"/>
        <v>0</v>
      </c>
      <c r="CM34" s="11">
        <f t="shared" si="14"/>
        <v>0</v>
      </c>
      <c r="CN34" s="11">
        <f t="shared" si="14"/>
        <v>0</v>
      </c>
      <c r="CO34" s="11">
        <f t="shared" si="14"/>
        <v>0</v>
      </c>
      <c r="CP34" s="11">
        <f t="shared" si="14"/>
        <v>0</v>
      </c>
      <c r="CQ34" s="11">
        <f t="shared" si="14"/>
        <v>0</v>
      </c>
      <c r="CR34" s="11">
        <f t="shared" si="14"/>
        <v>0</v>
      </c>
      <c r="CS34" s="11">
        <f t="shared" si="14"/>
        <v>0</v>
      </c>
      <c r="CT34" s="11">
        <f t="shared" si="14"/>
        <v>0</v>
      </c>
      <c r="CU34" s="11">
        <f t="shared" si="14"/>
        <v>0</v>
      </c>
      <c r="CV34" s="11">
        <f t="shared" si="14"/>
        <v>0</v>
      </c>
      <c r="CW34" s="11">
        <f t="shared" si="14"/>
        <v>0</v>
      </c>
      <c r="CX34" s="11">
        <f t="shared" si="14"/>
        <v>0</v>
      </c>
      <c r="CY34" s="11">
        <f t="shared" si="14"/>
        <v>0</v>
      </c>
      <c r="CZ34" s="11">
        <f t="shared" si="14"/>
        <v>0</v>
      </c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</row>
    <row r="35" spans="1:122" ht="18" customHeight="1">
      <c r="A35" s="13" t="s">
        <v>23</v>
      </c>
      <c r="B35" s="14">
        <f>IFERROR(VLOOKUP(A35,PRICELIST!$A$3:$D$138,4,0),"-")</f>
        <v>60.11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9">
        <f t="shared" ref="CY35:CZ36" si="15">C35+E35+G35+I35+K35+M35+O35+Q35+S35+U35+W35+Y35+AA35+AC35+AE35+AG35+AI35+AK35+AM35+AO35+AQ35+AS35+AU35+AW35+AY35+BA35+BC35+BE35+BG35+BI35+BK35+BM35+BO35+BQ35+BS35+BU35+BW35+BY35+CA35+CC35+CE35+CG35+CI35+CK35+CM35+CO35+CQ35+CS35+CU35+CW35</f>
        <v>0</v>
      </c>
      <c r="CZ35" s="19">
        <f t="shared" si="15"/>
        <v>0</v>
      </c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</row>
    <row r="36" spans="1:122" ht="18" customHeight="1">
      <c r="A36" s="13" t="s">
        <v>24</v>
      </c>
      <c r="B36" s="14">
        <f>IFERROR(VLOOKUP(A36,PRICELIST!$A$3:$D$138,4,0),"-")</f>
        <v>91.2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9">
        <f t="shared" si="15"/>
        <v>0</v>
      </c>
      <c r="CZ36" s="19">
        <f t="shared" si="15"/>
        <v>0</v>
      </c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</row>
    <row r="37" spans="1:122" ht="18" customHeight="1">
      <c r="A37" s="9" t="s">
        <v>25</v>
      </c>
      <c r="B37" s="10"/>
      <c r="C37" s="11">
        <f>SUMPRODUCT($B35:$B36,C35:C36)</f>
        <v>0</v>
      </c>
      <c r="D37" s="11">
        <f t="shared" ref="D37:BO37" si="16">SUMPRODUCT($B35:$B36,D35:D36)</f>
        <v>0</v>
      </c>
      <c r="E37" s="11">
        <f t="shared" si="16"/>
        <v>0</v>
      </c>
      <c r="F37" s="11">
        <f t="shared" si="16"/>
        <v>0</v>
      </c>
      <c r="G37" s="11">
        <f t="shared" si="16"/>
        <v>0</v>
      </c>
      <c r="H37" s="11">
        <f t="shared" si="16"/>
        <v>0</v>
      </c>
      <c r="I37" s="11">
        <f t="shared" si="16"/>
        <v>0</v>
      </c>
      <c r="J37" s="11">
        <f t="shared" si="16"/>
        <v>0</v>
      </c>
      <c r="K37" s="11">
        <f t="shared" si="16"/>
        <v>0</v>
      </c>
      <c r="L37" s="11">
        <f t="shared" si="16"/>
        <v>0</v>
      </c>
      <c r="M37" s="11">
        <f t="shared" si="16"/>
        <v>0</v>
      </c>
      <c r="N37" s="11">
        <f t="shared" si="16"/>
        <v>0</v>
      </c>
      <c r="O37" s="11">
        <f t="shared" si="16"/>
        <v>0</v>
      </c>
      <c r="P37" s="11">
        <f t="shared" si="16"/>
        <v>0</v>
      </c>
      <c r="Q37" s="11">
        <f t="shared" si="16"/>
        <v>0</v>
      </c>
      <c r="R37" s="11">
        <f t="shared" si="16"/>
        <v>0</v>
      </c>
      <c r="S37" s="11">
        <f t="shared" si="16"/>
        <v>0</v>
      </c>
      <c r="T37" s="11">
        <f t="shared" si="16"/>
        <v>0</v>
      </c>
      <c r="U37" s="11">
        <f t="shared" si="16"/>
        <v>0</v>
      </c>
      <c r="V37" s="11">
        <f t="shared" si="16"/>
        <v>0</v>
      </c>
      <c r="W37" s="11">
        <f t="shared" si="16"/>
        <v>0</v>
      </c>
      <c r="X37" s="11">
        <f t="shared" si="16"/>
        <v>0</v>
      </c>
      <c r="Y37" s="11">
        <f t="shared" si="16"/>
        <v>0</v>
      </c>
      <c r="Z37" s="11">
        <f t="shared" si="16"/>
        <v>0</v>
      </c>
      <c r="AA37" s="11">
        <f t="shared" si="16"/>
        <v>0</v>
      </c>
      <c r="AB37" s="11">
        <f t="shared" si="16"/>
        <v>0</v>
      </c>
      <c r="AC37" s="11">
        <f t="shared" si="16"/>
        <v>0</v>
      </c>
      <c r="AD37" s="11">
        <f t="shared" si="16"/>
        <v>0</v>
      </c>
      <c r="AE37" s="11">
        <f t="shared" si="16"/>
        <v>0</v>
      </c>
      <c r="AF37" s="11">
        <f t="shared" si="16"/>
        <v>0</v>
      </c>
      <c r="AG37" s="11">
        <f t="shared" si="16"/>
        <v>0</v>
      </c>
      <c r="AH37" s="11">
        <f t="shared" si="16"/>
        <v>0</v>
      </c>
      <c r="AI37" s="11">
        <f t="shared" si="16"/>
        <v>0</v>
      </c>
      <c r="AJ37" s="11">
        <f t="shared" si="16"/>
        <v>0</v>
      </c>
      <c r="AK37" s="11">
        <f t="shared" si="16"/>
        <v>0</v>
      </c>
      <c r="AL37" s="11">
        <f t="shared" si="16"/>
        <v>0</v>
      </c>
      <c r="AM37" s="11">
        <f t="shared" si="16"/>
        <v>0</v>
      </c>
      <c r="AN37" s="11">
        <f t="shared" si="16"/>
        <v>0</v>
      </c>
      <c r="AO37" s="11">
        <f t="shared" si="16"/>
        <v>0</v>
      </c>
      <c r="AP37" s="11">
        <f t="shared" si="16"/>
        <v>0</v>
      </c>
      <c r="AQ37" s="11">
        <f t="shared" si="16"/>
        <v>0</v>
      </c>
      <c r="AR37" s="11">
        <f t="shared" si="16"/>
        <v>0</v>
      </c>
      <c r="AS37" s="11">
        <f t="shared" si="16"/>
        <v>0</v>
      </c>
      <c r="AT37" s="11">
        <f t="shared" si="16"/>
        <v>0</v>
      </c>
      <c r="AU37" s="11">
        <f t="shared" si="16"/>
        <v>0</v>
      </c>
      <c r="AV37" s="11">
        <f t="shared" si="16"/>
        <v>0</v>
      </c>
      <c r="AW37" s="11">
        <f t="shared" si="16"/>
        <v>0</v>
      </c>
      <c r="AX37" s="11">
        <f t="shared" si="16"/>
        <v>0</v>
      </c>
      <c r="AY37" s="11">
        <f t="shared" si="16"/>
        <v>0</v>
      </c>
      <c r="AZ37" s="11">
        <f t="shared" si="16"/>
        <v>0</v>
      </c>
      <c r="BA37" s="11">
        <f t="shared" si="16"/>
        <v>0</v>
      </c>
      <c r="BB37" s="11">
        <f t="shared" si="16"/>
        <v>0</v>
      </c>
      <c r="BC37" s="11">
        <f t="shared" si="16"/>
        <v>0</v>
      </c>
      <c r="BD37" s="11">
        <f t="shared" si="16"/>
        <v>0</v>
      </c>
      <c r="BE37" s="11">
        <f t="shared" si="16"/>
        <v>0</v>
      </c>
      <c r="BF37" s="11">
        <f t="shared" si="16"/>
        <v>0</v>
      </c>
      <c r="BG37" s="11">
        <f t="shared" si="16"/>
        <v>0</v>
      </c>
      <c r="BH37" s="11">
        <f t="shared" si="16"/>
        <v>0</v>
      </c>
      <c r="BI37" s="11">
        <f t="shared" si="16"/>
        <v>0</v>
      </c>
      <c r="BJ37" s="11">
        <f t="shared" si="16"/>
        <v>0</v>
      </c>
      <c r="BK37" s="11">
        <f t="shared" si="16"/>
        <v>0</v>
      </c>
      <c r="BL37" s="11">
        <f t="shared" si="16"/>
        <v>0</v>
      </c>
      <c r="BM37" s="11">
        <f t="shared" si="16"/>
        <v>0</v>
      </c>
      <c r="BN37" s="11">
        <f t="shared" si="16"/>
        <v>0</v>
      </c>
      <c r="BO37" s="11">
        <f t="shared" si="16"/>
        <v>0</v>
      </c>
      <c r="BP37" s="11">
        <f t="shared" ref="BP37:CZ37" si="17">SUMPRODUCT($B35:$B36,BP35:BP36)</f>
        <v>0</v>
      </c>
      <c r="BQ37" s="11">
        <f t="shared" si="17"/>
        <v>0</v>
      </c>
      <c r="BR37" s="11">
        <f t="shared" si="17"/>
        <v>0</v>
      </c>
      <c r="BS37" s="11">
        <f t="shared" si="17"/>
        <v>0</v>
      </c>
      <c r="BT37" s="11">
        <f t="shared" si="17"/>
        <v>0</v>
      </c>
      <c r="BU37" s="11">
        <f t="shared" si="17"/>
        <v>0</v>
      </c>
      <c r="BV37" s="11">
        <f t="shared" si="17"/>
        <v>0</v>
      </c>
      <c r="BW37" s="11">
        <f t="shared" si="17"/>
        <v>0</v>
      </c>
      <c r="BX37" s="11">
        <f t="shared" si="17"/>
        <v>0</v>
      </c>
      <c r="BY37" s="11">
        <f t="shared" si="17"/>
        <v>0</v>
      </c>
      <c r="BZ37" s="11">
        <f t="shared" si="17"/>
        <v>0</v>
      </c>
      <c r="CA37" s="11">
        <f t="shared" si="17"/>
        <v>0</v>
      </c>
      <c r="CB37" s="11">
        <f t="shared" si="17"/>
        <v>0</v>
      </c>
      <c r="CC37" s="11">
        <f t="shared" si="17"/>
        <v>0</v>
      </c>
      <c r="CD37" s="11">
        <f t="shared" si="17"/>
        <v>0</v>
      </c>
      <c r="CE37" s="11">
        <f t="shared" si="17"/>
        <v>0</v>
      </c>
      <c r="CF37" s="11">
        <f t="shared" si="17"/>
        <v>0</v>
      </c>
      <c r="CG37" s="11">
        <f t="shared" si="17"/>
        <v>0</v>
      </c>
      <c r="CH37" s="11">
        <f t="shared" si="17"/>
        <v>0</v>
      </c>
      <c r="CI37" s="11">
        <f t="shared" si="17"/>
        <v>0</v>
      </c>
      <c r="CJ37" s="11">
        <f t="shared" si="17"/>
        <v>0</v>
      </c>
      <c r="CK37" s="11">
        <f t="shared" si="17"/>
        <v>0</v>
      </c>
      <c r="CL37" s="11">
        <f t="shared" si="17"/>
        <v>0</v>
      </c>
      <c r="CM37" s="11">
        <f t="shared" si="17"/>
        <v>0</v>
      </c>
      <c r="CN37" s="11">
        <f t="shared" si="17"/>
        <v>0</v>
      </c>
      <c r="CO37" s="11">
        <f t="shared" si="17"/>
        <v>0</v>
      </c>
      <c r="CP37" s="11">
        <f t="shared" si="17"/>
        <v>0</v>
      </c>
      <c r="CQ37" s="11">
        <f t="shared" si="17"/>
        <v>0</v>
      </c>
      <c r="CR37" s="11">
        <f t="shared" si="17"/>
        <v>0</v>
      </c>
      <c r="CS37" s="11">
        <f t="shared" si="17"/>
        <v>0</v>
      </c>
      <c r="CT37" s="11">
        <f t="shared" si="17"/>
        <v>0</v>
      </c>
      <c r="CU37" s="11">
        <f t="shared" si="17"/>
        <v>0</v>
      </c>
      <c r="CV37" s="11">
        <f t="shared" si="17"/>
        <v>0</v>
      </c>
      <c r="CW37" s="11">
        <f t="shared" si="17"/>
        <v>0</v>
      </c>
      <c r="CX37" s="11">
        <f t="shared" si="17"/>
        <v>0</v>
      </c>
      <c r="CY37" s="11">
        <f t="shared" si="17"/>
        <v>0</v>
      </c>
      <c r="CZ37" s="11">
        <f t="shared" si="17"/>
        <v>0</v>
      </c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</row>
    <row r="38" spans="1:122" ht="18" customHeight="1">
      <c r="A38" s="13" t="s">
        <v>26</v>
      </c>
      <c r="B38" s="14">
        <f>IFERROR(VLOOKUP(A38,PRICELIST!$A$3:$D$138,4,0),"-")</f>
        <v>159.75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9">
        <f t="shared" ref="CY38:CZ39" si="18">C38+E38+G38+I38+K38+M38+O38+Q38+S38+U38+W38+Y38+AA38+AC38+AE38+AG38+AI38+AK38+AM38+AO38+AQ38+AS38+AU38+AW38+AY38+BA38+BC38+BE38+BG38+BI38+BK38+BM38+BO38+BQ38+BS38+BU38+BW38+BY38+CA38+CC38+CE38+CG38+CI38+CK38+CM38+CO38+CQ38+CS38+CU38+CW38</f>
        <v>0</v>
      </c>
      <c r="CZ38" s="19">
        <f t="shared" si="18"/>
        <v>0</v>
      </c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</row>
    <row r="39" spans="1:122" ht="18" customHeight="1">
      <c r="A39" s="13" t="s">
        <v>27</v>
      </c>
      <c r="B39" s="14">
        <f>IFERROR(VLOOKUP(A39,PRICELIST!$A$3:$D$138,4,0),"-")</f>
        <v>83.59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9">
        <f t="shared" si="18"/>
        <v>0</v>
      </c>
      <c r="CZ39" s="19">
        <f t="shared" si="18"/>
        <v>0</v>
      </c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</row>
    <row r="40" spans="1:122" ht="18" customHeight="1">
      <c r="A40" s="9" t="s">
        <v>28</v>
      </c>
      <c r="B40" s="10"/>
      <c r="C40" s="11">
        <f>SUMPRODUCT($B38:$B39,C38:C39)</f>
        <v>0</v>
      </c>
      <c r="D40" s="11">
        <f t="shared" ref="D40:BO40" si="19">SUMPRODUCT($B38:$B39,D38:D39)</f>
        <v>0</v>
      </c>
      <c r="E40" s="11">
        <f t="shared" si="19"/>
        <v>0</v>
      </c>
      <c r="F40" s="11">
        <f t="shared" si="19"/>
        <v>0</v>
      </c>
      <c r="G40" s="11">
        <f t="shared" si="19"/>
        <v>0</v>
      </c>
      <c r="H40" s="11">
        <f t="shared" si="19"/>
        <v>0</v>
      </c>
      <c r="I40" s="11">
        <f t="shared" si="19"/>
        <v>0</v>
      </c>
      <c r="J40" s="11">
        <f t="shared" si="19"/>
        <v>0</v>
      </c>
      <c r="K40" s="11">
        <f t="shared" si="19"/>
        <v>0</v>
      </c>
      <c r="L40" s="11">
        <f t="shared" si="19"/>
        <v>0</v>
      </c>
      <c r="M40" s="11">
        <f t="shared" si="19"/>
        <v>0</v>
      </c>
      <c r="N40" s="11">
        <f t="shared" si="19"/>
        <v>0</v>
      </c>
      <c r="O40" s="11">
        <f t="shared" si="19"/>
        <v>0</v>
      </c>
      <c r="P40" s="11">
        <f t="shared" si="19"/>
        <v>0</v>
      </c>
      <c r="Q40" s="11">
        <f t="shared" si="19"/>
        <v>0</v>
      </c>
      <c r="R40" s="11">
        <f t="shared" si="19"/>
        <v>0</v>
      </c>
      <c r="S40" s="11">
        <f t="shared" si="19"/>
        <v>0</v>
      </c>
      <c r="T40" s="11">
        <f t="shared" si="19"/>
        <v>0</v>
      </c>
      <c r="U40" s="11">
        <f t="shared" si="19"/>
        <v>0</v>
      </c>
      <c r="V40" s="11">
        <f t="shared" si="19"/>
        <v>0</v>
      </c>
      <c r="W40" s="11">
        <f t="shared" si="19"/>
        <v>0</v>
      </c>
      <c r="X40" s="11">
        <f t="shared" si="19"/>
        <v>0</v>
      </c>
      <c r="Y40" s="11">
        <f t="shared" si="19"/>
        <v>0</v>
      </c>
      <c r="Z40" s="11">
        <f t="shared" si="19"/>
        <v>0</v>
      </c>
      <c r="AA40" s="11">
        <f t="shared" si="19"/>
        <v>0</v>
      </c>
      <c r="AB40" s="11">
        <f t="shared" si="19"/>
        <v>0</v>
      </c>
      <c r="AC40" s="11">
        <f t="shared" si="19"/>
        <v>0</v>
      </c>
      <c r="AD40" s="11">
        <f t="shared" si="19"/>
        <v>0</v>
      </c>
      <c r="AE40" s="11">
        <f t="shared" si="19"/>
        <v>0</v>
      </c>
      <c r="AF40" s="11">
        <f t="shared" si="19"/>
        <v>0</v>
      </c>
      <c r="AG40" s="11">
        <f t="shared" si="19"/>
        <v>0</v>
      </c>
      <c r="AH40" s="11">
        <f t="shared" si="19"/>
        <v>0</v>
      </c>
      <c r="AI40" s="11">
        <f t="shared" si="19"/>
        <v>0</v>
      </c>
      <c r="AJ40" s="11">
        <f t="shared" si="19"/>
        <v>0</v>
      </c>
      <c r="AK40" s="11">
        <f t="shared" si="19"/>
        <v>0</v>
      </c>
      <c r="AL40" s="11">
        <f t="shared" si="19"/>
        <v>0</v>
      </c>
      <c r="AM40" s="11">
        <f t="shared" si="19"/>
        <v>0</v>
      </c>
      <c r="AN40" s="11">
        <f t="shared" si="19"/>
        <v>0</v>
      </c>
      <c r="AO40" s="11">
        <f t="shared" si="19"/>
        <v>0</v>
      </c>
      <c r="AP40" s="11">
        <f t="shared" si="19"/>
        <v>0</v>
      </c>
      <c r="AQ40" s="11">
        <f t="shared" si="19"/>
        <v>0</v>
      </c>
      <c r="AR40" s="11">
        <f t="shared" si="19"/>
        <v>0</v>
      </c>
      <c r="AS40" s="11">
        <f t="shared" si="19"/>
        <v>0</v>
      </c>
      <c r="AT40" s="11">
        <f t="shared" si="19"/>
        <v>0</v>
      </c>
      <c r="AU40" s="11">
        <f t="shared" si="19"/>
        <v>0</v>
      </c>
      <c r="AV40" s="11">
        <f t="shared" si="19"/>
        <v>0</v>
      </c>
      <c r="AW40" s="11">
        <f t="shared" si="19"/>
        <v>0</v>
      </c>
      <c r="AX40" s="11">
        <f t="shared" si="19"/>
        <v>0</v>
      </c>
      <c r="AY40" s="11">
        <f t="shared" si="19"/>
        <v>0</v>
      </c>
      <c r="AZ40" s="11">
        <f t="shared" si="19"/>
        <v>0</v>
      </c>
      <c r="BA40" s="11">
        <f t="shared" si="19"/>
        <v>0</v>
      </c>
      <c r="BB40" s="11">
        <f t="shared" si="19"/>
        <v>0</v>
      </c>
      <c r="BC40" s="11">
        <f t="shared" si="19"/>
        <v>0</v>
      </c>
      <c r="BD40" s="11">
        <f t="shared" si="19"/>
        <v>0</v>
      </c>
      <c r="BE40" s="11">
        <f t="shared" si="19"/>
        <v>0</v>
      </c>
      <c r="BF40" s="11">
        <f t="shared" si="19"/>
        <v>0</v>
      </c>
      <c r="BG40" s="11">
        <f t="shared" si="19"/>
        <v>0</v>
      </c>
      <c r="BH40" s="11">
        <f t="shared" si="19"/>
        <v>0</v>
      </c>
      <c r="BI40" s="11">
        <f t="shared" si="19"/>
        <v>0</v>
      </c>
      <c r="BJ40" s="11">
        <f t="shared" si="19"/>
        <v>0</v>
      </c>
      <c r="BK40" s="11">
        <f t="shared" si="19"/>
        <v>0</v>
      </c>
      <c r="BL40" s="11">
        <f t="shared" si="19"/>
        <v>0</v>
      </c>
      <c r="BM40" s="11">
        <f t="shared" si="19"/>
        <v>0</v>
      </c>
      <c r="BN40" s="11">
        <f t="shared" si="19"/>
        <v>0</v>
      </c>
      <c r="BO40" s="11">
        <f t="shared" si="19"/>
        <v>0</v>
      </c>
      <c r="BP40" s="11">
        <f t="shared" ref="BP40:CZ40" si="20">SUMPRODUCT($B38:$B39,BP38:BP39)</f>
        <v>0</v>
      </c>
      <c r="BQ40" s="11">
        <f t="shared" si="20"/>
        <v>0</v>
      </c>
      <c r="BR40" s="11">
        <f t="shared" si="20"/>
        <v>0</v>
      </c>
      <c r="BS40" s="11">
        <f t="shared" si="20"/>
        <v>0</v>
      </c>
      <c r="BT40" s="11">
        <f t="shared" si="20"/>
        <v>0</v>
      </c>
      <c r="BU40" s="11">
        <f t="shared" si="20"/>
        <v>0</v>
      </c>
      <c r="BV40" s="11">
        <f t="shared" si="20"/>
        <v>0</v>
      </c>
      <c r="BW40" s="11">
        <f t="shared" si="20"/>
        <v>0</v>
      </c>
      <c r="BX40" s="11">
        <f t="shared" si="20"/>
        <v>0</v>
      </c>
      <c r="BY40" s="11">
        <f t="shared" si="20"/>
        <v>0</v>
      </c>
      <c r="BZ40" s="11">
        <f t="shared" si="20"/>
        <v>0</v>
      </c>
      <c r="CA40" s="11">
        <f t="shared" si="20"/>
        <v>0</v>
      </c>
      <c r="CB40" s="11">
        <f t="shared" si="20"/>
        <v>0</v>
      </c>
      <c r="CC40" s="11">
        <f t="shared" si="20"/>
        <v>0</v>
      </c>
      <c r="CD40" s="11">
        <f t="shared" si="20"/>
        <v>0</v>
      </c>
      <c r="CE40" s="11">
        <f t="shared" si="20"/>
        <v>0</v>
      </c>
      <c r="CF40" s="11">
        <f t="shared" si="20"/>
        <v>0</v>
      </c>
      <c r="CG40" s="11">
        <f t="shared" si="20"/>
        <v>0</v>
      </c>
      <c r="CH40" s="11">
        <f t="shared" si="20"/>
        <v>0</v>
      </c>
      <c r="CI40" s="11">
        <f t="shared" si="20"/>
        <v>0</v>
      </c>
      <c r="CJ40" s="11">
        <f t="shared" si="20"/>
        <v>0</v>
      </c>
      <c r="CK40" s="11">
        <f t="shared" si="20"/>
        <v>0</v>
      </c>
      <c r="CL40" s="11">
        <f t="shared" si="20"/>
        <v>0</v>
      </c>
      <c r="CM40" s="11">
        <f t="shared" si="20"/>
        <v>0</v>
      </c>
      <c r="CN40" s="11">
        <f t="shared" si="20"/>
        <v>0</v>
      </c>
      <c r="CO40" s="11">
        <f t="shared" si="20"/>
        <v>0</v>
      </c>
      <c r="CP40" s="11">
        <f t="shared" si="20"/>
        <v>0</v>
      </c>
      <c r="CQ40" s="11">
        <f t="shared" si="20"/>
        <v>0</v>
      </c>
      <c r="CR40" s="11">
        <f t="shared" si="20"/>
        <v>0</v>
      </c>
      <c r="CS40" s="11">
        <f t="shared" si="20"/>
        <v>0</v>
      </c>
      <c r="CT40" s="11">
        <f t="shared" si="20"/>
        <v>0</v>
      </c>
      <c r="CU40" s="11">
        <f t="shared" si="20"/>
        <v>0</v>
      </c>
      <c r="CV40" s="11">
        <f t="shared" si="20"/>
        <v>0</v>
      </c>
      <c r="CW40" s="11">
        <f t="shared" si="20"/>
        <v>0</v>
      </c>
      <c r="CX40" s="11">
        <f t="shared" si="20"/>
        <v>0</v>
      </c>
      <c r="CY40" s="11">
        <f t="shared" si="20"/>
        <v>0</v>
      </c>
      <c r="CZ40" s="11">
        <f t="shared" si="20"/>
        <v>0</v>
      </c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</row>
    <row r="41" spans="1:122" ht="18" customHeight="1">
      <c r="A41" s="13" t="s">
        <v>29</v>
      </c>
      <c r="B41" s="14">
        <f>IFERROR(VLOOKUP(A41,PRICELIST!$A$3:$D$138,4,0),"-")</f>
        <v>78.790000000000006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9">
        <f t="shared" ref="CY41:CZ46" si="21">C41+E41+G41+I41+K41+M41+O41+Q41+S41+U41+W41+Y41+AA41+AC41+AE41+AG41+AI41+AK41+AM41+AO41+AQ41+AS41+AU41+AW41+AY41+BA41+BC41+BE41+BG41+BI41+BK41+BM41+BO41+BQ41+BS41+BU41+BW41+BY41+CA41+CC41+CE41+CG41+CI41+CK41+CM41+CO41+CQ41+CS41+CU41+CW41</f>
        <v>0</v>
      </c>
      <c r="CZ41" s="19">
        <f t="shared" si="21"/>
        <v>0</v>
      </c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</row>
    <row r="42" spans="1:122" ht="18" customHeight="1">
      <c r="A42" s="13" t="s">
        <v>30</v>
      </c>
      <c r="B42" s="14">
        <f>IFERROR(VLOOKUP(A42,PRICELIST!$A$3:$D$138,4,0),"-")</f>
        <v>142.29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9">
        <f t="shared" si="21"/>
        <v>0</v>
      </c>
      <c r="CZ42" s="19">
        <f t="shared" si="21"/>
        <v>0</v>
      </c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</row>
    <row r="43" spans="1:122" ht="18" customHeight="1">
      <c r="A43" s="13" t="s">
        <v>31</v>
      </c>
      <c r="B43" s="14">
        <f>IFERROR(VLOOKUP(A43,PRICELIST!$A$3:$D$138,4,0),"-")</f>
        <v>35.36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9">
        <f t="shared" si="21"/>
        <v>0</v>
      </c>
      <c r="CZ43" s="19">
        <f t="shared" si="21"/>
        <v>0</v>
      </c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</row>
    <row r="44" spans="1:122" ht="18" customHeight="1">
      <c r="A44" s="13" t="s">
        <v>32</v>
      </c>
      <c r="B44" s="14">
        <f>IFERROR(VLOOKUP(A44,PRICELIST!$A$3:$D$138,4,0),"-")</f>
        <v>175.18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9">
        <f t="shared" si="21"/>
        <v>0</v>
      </c>
      <c r="CZ44" s="19">
        <f t="shared" si="21"/>
        <v>0</v>
      </c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</row>
    <row r="45" spans="1:122" ht="18" customHeight="1">
      <c r="A45" s="13" t="s">
        <v>33</v>
      </c>
      <c r="B45" s="14">
        <f>IFERROR(VLOOKUP(A45,PRICELIST!$A$3:$D$138,4,0),"-")</f>
        <v>42.72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9">
        <f t="shared" si="21"/>
        <v>0</v>
      </c>
      <c r="CZ45" s="19">
        <f t="shared" si="21"/>
        <v>0</v>
      </c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</row>
    <row r="46" spans="1:122" ht="18" customHeight="1">
      <c r="A46" s="13" t="s">
        <v>34</v>
      </c>
      <c r="B46" s="14">
        <f>IFERROR(VLOOKUP(A46,PRICELIST!$A$3:$D$138,4,0),"-")</f>
        <v>84.28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9">
        <f t="shared" si="21"/>
        <v>0</v>
      </c>
      <c r="CZ46" s="19">
        <f t="shared" si="21"/>
        <v>0</v>
      </c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</row>
    <row r="47" spans="1:122" ht="18" customHeight="1">
      <c r="A47" s="9" t="s">
        <v>35</v>
      </c>
      <c r="B47" s="10"/>
      <c r="C47" s="11">
        <f>SUMPRODUCT($B41:$B46,C41:C46)</f>
        <v>0</v>
      </c>
      <c r="D47" s="11">
        <f t="shared" ref="D47:BO47" si="22">SUMPRODUCT($B41:$B46,D41:D46)</f>
        <v>0</v>
      </c>
      <c r="E47" s="11">
        <f t="shared" si="22"/>
        <v>0</v>
      </c>
      <c r="F47" s="11">
        <f t="shared" si="22"/>
        <v>0</v>
      </c>
      <c r="G47" s="11">
        <f t="shared" si="22"/>
        <v>0</v>
      </c>
      <c r="H47" s="11">
        <f t="shared" si="22"/>
        <v>0</v>
      </c>
      <c r="I47" s="11">
        <f t="shared" si="22"/>
        <v>0</v>
      </c>
      <c r="J47" s="11">
        <f t="shared" si="22"/>
        <v>0</v>
      </c>
      <c r="K47" s="11">
        <f t="shared" si="22"/>
        <v>0</v>
      </c>
      <c r="L47" s="11">
        <f t="shared" si="22"/>
        <v>0</v>
      </c>
      <c r="M47" s="11">
        <f t="shared" si="22"/>
        <v>0</v>
      </c>
      <c r="N47" s="11">
        <f t="shared" si="22"/>
        <v>0</v>
      </c>
      <c r="O47" s="11">
        <f t="shared" si="22"/>
        <v>0</v>
      </c>
      <c r="P47" s="11">
        <f t="shared" si="22"/>
        <v>0</v>
      </c>
      <c r="Q47" s="11">
        <f t="shared" si="22"/>
        <v>0</v>
      </c>
      <c r="R47" s="11">
        <f t="shared" si="22"/>
        <v>0</v>
      </c>
      <c r="S47" s="11">
        <f t="shared" si="22"/>
        <v>0</v>
      </c>
      <c r="T47" s="11">
        <f t="shared" si="22"/>
        <v>0</v>
      </c>
      <c r="U47" s="11">
        <f t="shared" si="22"/>
        <v>0</v>
      </c>
      <c r="V47" s="11">
        <f t="shared" si="22"/>
        <v>0</v>
      </c>
      <c r="W47" s="11">
        <f t="shared" si="22"/>
        <v>0</v>
      </c>
      <c r="X47" s="11">
        <f t="shared" si="22"/>
        <v>0</v>
      </c>
      <c r="Y47" s="11">
        <f t="shared" si="22"/>
        <v>0</v>
      </c>
      <c r="Z47" s="11">
        <f t="shared" si="22"/>
        <v>0</v>
      </c>
      <c r="AA47" s="11">
        <f t="shared" si="22"/>
        <v>0</v>
      </c>
      <c r="AB47" s="11">
        <f t="shared" si="22"/>
        <v>0</v>
      </c>
      <c r="AC47" s="11">
        <f t="shared" si="22"/>
        <v>0</v>
      </c>
      <c r="AD47" s="11">
        <f t="shared" si="22"/>
        <v>0</v>
      </c>
      <c r="AE47" s="11">
        <f t="shared" si="22"/>
        <v>0</v>
      </c>
      <c r="AF47" s="11">
        <f t="shared" si="22"/>
        <v>0</v>
      </c>
      <c r="AG47" s="11">
        <f t="shared" si="22"/>
        <v>0</v>
      </c>
      <c r="AH47" s="11">
        <f t="shared" si="22"/>
        <v>0</v>
      </c>
      <c r="AI47" s="11">
        <f t="shared" si="22"/>
        <v>0</v>
      </c>
      <c r="AJ47" s="11">
        <f t="shared" si="22"/>
        <v>0</v>
      </c>
      <c r="AK47" s="11">
        <f t="shared" si="22"/>
        <v>0</v>
      </c>
      <c r="AL47" s="11">
        <f t="shared" si="22"/>
        <v>0</v>
      </c>
      <c r="AM47" s="11">
        <f t="shared" si="22"/>
        <v>0</v>
      </c>
      <c r="AN47" s="11">
        <f t="shared" si="22"/>
        <v>0</v>
      </c>
      <c r="AO47" s="11">
        <f t="shared" si="22"/>
        <v>0</v>
      </c>
      <c r="AP47" s="11">
        <f t="shared" si="22"/>
        <v>0</v>
      </c>
      <c r="AQ47" s="11">
        <f t="shared" si="22"/>
        <v>0</v>
      </c>
      <c r="AR47" s="11">
        <f t="shared" si="22"/>
        <v>0</v>
      </c>
      <c r="AS47" s="11">
        <f t="shared" si="22"/>
        <v>0</v>
      </c>
      <c r="AT47" s="11">
        <f t="shared" si="22"/>
        <v>0</v>
      </c>
      <c r="AU47" s="11">
        <f t="shared" si="22"/>
        <v>0</v>
      </c>
      <c r="AV47" s="11">
        <f t="shared" si="22"/>
        <v>0</v>
      </c>
      <c r="AW47" s="11">
        <f t="shared" si="22"/>
        <v>0</v>
      </c>
      <c r="AX47" s="11">
        <f t="shared" si="22"/>
        <v>0</v>
      </c>
      <c r="AY47" s="11">
        <f t="shared" si="22"/>
        <v>0</v>
      </c>
      <c r="AZ47" s="11">
        <f t="shared" si="22"/>
        <v>0</v>
      </c>
      <c r="BA47" s="11">
        <f t="shared" si="22"/>
        <v>0</v>
      </c>
      <c r="BB47" s="11">
        <f t="shared" si="22"/>
        <v>0</v>
      </c>
      <c r="BC47" s="11">
        <f t="shared" si="22"/>
        <v>0</v>
      </c>
      <c r="BD47" s="11">
        <f t="shared" si="22"/>
        <v>0</v>
      </c>
      <c r="BE47" s="11">
        <f t="shared" si="22"/>
        <v>0</v>
      </c>
      <c r="BF47" s="11">
        <f t="shared" si="22"/>
        <v>0</v>
      </c>
      <c r="BG47" s="11">
        <f t="shared" si="22"/>
        <v>0</v>
      </c>
      <c r="BH47" s="11">
        <f t="shared" si="22"/>
        <v>0</v>
      </c>
      <c r="BI47" s="11">
        <f t="shared" si="22"/>
        <v>0</v>
      </c>
      <c r="BJ47" s="11">
        <f t="shared" si="22"/>
        <v>0</v>
      </c>
      <c r="BK47" s="11">
        <f t="shared" si="22"/>
        <v>0</v>
      </c>
      <c r="BL47" s="11">
        <f t="shared" si="22"/>
        <v>0</v>
      </c>
      <c r="BM47" s="11">
        <f t="shared" si="22"/>
        <v>0</v>
      </c>
      <c r="BN47" s="11">
        <f t="shared" si="22"/>
        <v>0</v>
      </c>
      <c r="BO47" s="11">
        <f t="shared" si="22"/>
        <v>0</v>
      </c>
      <c r="BP47" s="11">
        <f t="shared" ref="BP47:CZ47" si="23">SUMPRODUCT($B41:$B46,BP41:BP46)</f>
        <v>0</v>
      </c>
      <c r="BQ47" s="11">
        <f t="shared" si="23"/>
        <v>0</v>
      </c>
      <c r="BR47" s="11">
        <f t="shared" si="23"/>
        <v>0</v>
      </c>
      <c r="BS47" s="11">
        <f t="shared" si="23"/>
        <v>0</v>
      </c>
      <c r="BT47" s="11">
        <f t="shared" si="23"/>
        <v>0</v>
      </c>
      <c r="BU47" s="11">
        <f t="shared" si="23"/>
        <v>0</v>
      </c>
      <c r="BV47" s="11">
        <f t="shared" si="23"/>
        <v>0</v>
      </c>
      <c r="BW47" s="11">
        <f t="shared" si="23"/>
        <v>0</v>
      </c>
      <c r="BX47" s="11">
        <f t="shared" si="23"/>
        <v>0</v>
      </c>
      <c r="BY47" s="11">
        <f t="shared" si="23"/>
        <v>0</v>
      </c>
      <c r="BZ47" s="11">
        <f t="shared" si="23"/>
        <v>0</v>
      </c>
      <c r="CA47" s="11">
        <f t="shared" si="23"/>
        <v>0</v>
      </c>
      <c r="CB47" s="11">
        <f t="shared" si="23"/>
        <v>0</v>
      </c>
      <c r="CC47" s="11">
        <f t="shared" si="23"/>
        <v>0</v>
      </c>
      <c r="CD47" s="11">
        <f t="shared" si="23"/>
        <v>0</v>
      </c>
      <c r="CE47" s="11">
        <f t="shared" si="23"/>
        <v>0</v>
      </c>
      <c r="CF47" s="11">
        <f t="shared" si="23"/>
        <v>0</v>
      </c>
      <c r="CG47" s="11">
        <f t="shared" si="23"/>
        <v>0</v>
      </c>
      <c r="CH47" s="11">
        <f t="shared" si="23"/>
        <v>0</v>
      </c>
      <c r="CI47" s="11">
        <f t="shared" si="23"/>
        <v>0</v>
      </c>
      <c r="CJ47" s="11">
        <f t="shared" si="23"/>
        <v>0</v>
      </c>
      <c r="CK47" s="11">
        <f t="shared" si="23"/>
        <v>0</v>
      </c>
      <c r="CL47" s="11">
        <f t="shared" si="23"/>
        <v>0</v>
      </c>
      <c r="CM47" s="11">
        <f t="shared" si="23"/>
        <v>0</v>
      </c>
      <c r="CN47" s="11">
        <f t="shared" si="23"/>
        <v>0</v>
      </c>
      <c r="CO47" s="11">
        <f t="shared" si="23"/>
        <v>0</v>
      </c>
      <c r="CP47" s="11">
        <f t="shared" si="23"/>
        <v>0</v>
      </c>
      <c r="CQ47" s="11">
        <f t="shared" si="23"/>
        <v>0</v>
      </c>
      <c r="CR47" s="11">
        <f t="shared" si="23"/>
        <v>0</v>
      </c>
      <c r="CS47" s="11">
        <f t="shared" si="23"/>
        <v>0</v>
      </c>
      <c r="CT47" s="11">
        <f t="shared" si="23"/>
        <v>0</v>
      </c>
      <c r="CU47" s="11">
        <f t="shared" si="23"/>
        <v>0</v>
      </c>
      <c r="CV47" s="11">
        <f t="shared" si="23"/>
        <v>0</v>
      </c>
      <c r="CW47" s="11">
        <f t="shared" si="23"/>
        <v>0</v>
      </c>
      <c r="CX47" s="11">
        <f t="shared" si="23"/>
        <v>0</v>
      </c>
      <c r="CY47" s="11">
        <f t="shared" si="23"/>
        <v>0</v>
      </c>
      <c r="CZ47" s="11">
        <f t="shared" si="23"/>
        <v>0</v>
      </c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</row>
    <row r="48" spans="1:122" ht="18" customHeight="1">
      <c r="A48" s="4" t="s">
        <v>81</v>
      </c>
      <c r="B48" s="14">
        <f>IFERROR(VLOOKUP(A48,PRICELIST!$A$3:$D$138,4,0),"-")</f>
        <v>201.26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9">
        <f t="shared" ref="CY48:CZ48" si="24">C48+E48+G48+I48+K48+M48+O48+Q48+S48+U48+W48+Y48+AA48+AC48+AE48+AG48+AI48+AK48+AM48+AO48+AQ48+AS48+AU48+AW48+AY48+BA48+BC48+BE48+BG48+BI48+BK48+BM48+BO48+BQ48+BS48+BU48+BW48+BY48+CA48+CC48+CE48+CG48+CI48+CK48+CM48+CO48+CQ48+CS48+CU48+CW48</f>
        <v>0</v>
      </c>
      <c r="CZ48" s="19">
        <f t="shared" si="24"/>
        <v>0</v>
      </c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</row>
    <row r="49" spans="1:122" ht="18" customHeight="1">
      <c r="A49" s="9" t="s">
        <v>77</v>
      </c>
      <c r="B49" s="15"/>
      <c r="C49" s="11">
        <f>SUMPRODUCT($B48*C48)</f>
        <v>0</v>
      </c>
      <c r="D49" s="11">
        <f t="shared" ref="D49:BO49" si="25">SUMPRODUCT($B48*D48)</f>
        <v>0</v>
      </c>
      <c r="E49" s="11">
        <f t="shared" si="25"/>
        <v>0</v>
      </c>
      <c r="F49" s="11">
        <f t="shared" si="25"/>
        <v>0</v>
      </c>
      <c r="G49" s="11">
        <f t="shared" si="25"/>
        <v>0</v>
      </c>
      <c r="H49" s="11">
        <f t="shared" si="25"/>
        <v>0</v>
      </c>
      <c r="I49" s="11">
        <f t="shared" si="25"/>
        <v>0</v>
      </c>
      <c r="J49" s="11">
        <f t="shared" si="25"/>
        <v>0</v>
      </c>
      <c r="K49" s="11">
        <f t="shared" si="25"/>
        <v>0</v>
      </c>
      <c r="L49" s="11">
        <f t="shared" si="25"/>
        <v>0</v>
      </c>
      <c r="M49" s="11">
        <f t="shared" si="25"/>
        <v>0</v>
      </c>
      <c r="N49" s="11">
        <f t="shared" si="25"/>
        <v>0</v>
      </c>
      <c r="O49" s="11">
        <f t="shared" si="25"/>
        <v>0</v>
      </c>
      <c r="P49" s="11">
        <f t="shared" si="25"/>
        <v>0</v>
      </c>
      <c r="Q49" s="11">
        <f t="shared" si="25"/>
        <v>0</v>
      </c>
      <c r="R49" s="11">
        <f t="shared" si="25"/>
        <v>0</v>
      </c>
      <c r="S49" s="11">
        <f t="shared" si="25"/>
        <v>0</v>
      </c>
      <c r="T49" s="11">
        <f t="shared" si="25"/>
        <v>0</v>
      </c>
      <c r="U49" s="11">
        <f t="shared" si="25"/>
        <v>0</v>
      </c>
      <c r="V49" s="11">
        <f t="shared" si="25"/>
        <v>0</v>
      </c>
      <c r="W49" s="11">
        <f t="shared" si="25"/>
        <v>0</v>
      </c>
      <c r="X49" s="11">
        <f t="shared" si="25"/>
        <v>0</v>
      </c>
      <c r="Y49" s="11">
        <f t="shared" si="25"/>
        <v>0</v>
      </c>
      <c r="Z49" s="11">
        <f t="shared" si="25"/>
        <v>0</v>
      </c>
      <c r="AA49" s="11">
        <f t="shared" si="25"/>
        <v>0</v>
      </c>
      <c r="AB49" s="11">
        <f t="shared" si="25"/>
        <v>0</v>
      </c>
      <c r="AC49" s="11">
        <f t="shared" si="25"/>
        <v>0</v>
      </c>
      <c r="AD49" s="11">
        <f t="shared" si="25"/>
        <v>0</v>
      </c>
      <c r="AE49" s="11">
        <f t="shared" si="25"/>
        <v>0</v>
      </c>
      <c r="AF49" s="11">
        <f t="shared" si="25"/>
        <v>0</v>
      </c>
      <c r="AG49" s="11">
        <f t="shared" si="25"/>
        <v>0</v>
      </c>
      <c r="AH49" s="11">
        <f t="shared" si="25"/>
        <v>0</v>
      </c>
      <c r="AI49" s="11">
        <f t="shared" si="25"/>
        <v>0</v>
      </c>
      <c r="AJ49" s="11">
        <f t="shared" si="25"/>
        <v>0</v>
      </c>
      <c r="AK49" s="11">
        <f t="shared" si="25"/>
        <v>0</v>
      </c>
      <c r="AL49" s="11">
        <f t="shared" si="25"/>
        <v>0</v>
      </c>
      <c r="AM49" s="11">
        <f t="shared" si="25"/>
        <v>0</v>
      </c>
      <c r="AN49" s="11">
        <f t="shared" si="25"/>
        <v>0</v>
      </c>
      <c r="AO49" s="11">
        <f t="shared" si="25"/>
        <v>0</v>
      </c>
      <c r="AP49" s="11">
        <f t="shared" si="25"/>
        <v>0</v>
      </c>
      <c r="AQ49" s="11">
        <f t="shared" si="25"/>
        <v>0</v>
      </c>
      <c r="AR49" s="11">
        <f t="shared" si="25"/>
        <v>0</v>
      </c>
      <c r="AS49" s="11">
        <f t="shared" si="25"/>
        <v>0</v>
      </c>
      <c r="AT49" s="11">
        <f t="shared" si="25"/>
        <v>0</v>
      </c>
      <c r="AU49" s="11">
        <f t="shared" si="25"/>
        <v>0</v>
      </c>
      <c r="AV49" s="11">
        <f t="shared" si="25"/>
        <v>0</v>
      </c>
      <c r="AW49" s="11">
        <f t="shared" si="25"/>
        <v>0</v>
      </c>
      <c r="AX49" s="11">
        <f t="shared" si="25"/>
        <v>0</v>
      </c>
      <c r="AY49" s="11">
        <f t="shared" si="25"/>
        <v>0</v>
      </c>
      <c r="AZ49" s="11">
        <f t="shared" si="25"/>
        <v>0</v>
      </c>
      <c r="BA49" s="11">
        <f t="shared" si="25"/>
        <v>0</v>
      </c>
      <c r="BB49" s="11">
        <f t="shared" si="25"/>
        <v>0</v>
      </c>
      <c r="BC49" s="11">
        <f t="shared" si="25"/>
        <v>0</v>
      </c>
      <c r="BD49" s="11">
        <f t="shared" si="25"/>
        <v>0</v>
      </c>
      <c r="BE49" s="11">
        <f t="shared" si="25"/>
        <v>0</v>
      </c>
      <c r="BF49" s="11">
        <f t="shared" si="25"/>
        <v>0</v>
      </c>
      <c r="BG49" s="11">
        <f t="shared" si="25"/>
        <v>0</v>
      </c>
      <c r="BH49" s="11">
        <f t="shared" si="25"/>
        <v>0</v>
      </c>
      <c r="BI49" s="11">
        <f t="shared" si="25"/>
        <v>0</v>
      </c>
      <c r="BJ49" s="11">
        <f t="shared" si="25"/>
        <v>0</v>
      </c>
      <c r="BK49" s="11">
        <f t="shared" si="25"/>
        <v>0</v>
      </c>
      <c r="BL49" s="11">
        <f t="shared" si="25"/>
        <v>0</v>
      </c>
      <c r="BM49" s="11">
        <f t="shared" si="25"/>
        <v>0</v>
      </c>
      <c r="BN49" s="11">
        <f t="shared" si="25"/>
        <v>0</v>
      </c>
      <c r="BO49" s="11">
        <f t="shared" si="25"/>
        <v>0</v>
      </c>
      <c r="BP49" s="11">
        <f t="shared" ref="BP49:CZ49" si="26">SUMPRODUCT($B48*BP48)</f>
        <v>0</v>
      </c>
      <c r="BQ49" s="11">
        <f t="shared" si="26"/>
        <v>0</v>
      </c>
      <c r="BR49" s="11">
        <f t="shared" si="26"/>
        <v>0</v>
      </c>
      <c r="BS49" s="11">
        <f t="shared" si="26"/>
        <v>0</v>
      </c>
      <c r="BT49" s="11">
        <f t="shared" si="26"/>
        <v>0</v>
      </c>
      <c r="BU49" s="11">
        <f t="shared" si="26"/>
        <v>0</v>
      </c>
      <c r="BV49" s="11">
        <f t="shared" si="26"/>
        <v>0</v>
      </c>
      <c r="BW49" s="11">
        <f t="shared" si="26"/>
        <v>0</v>
      </c>
      <c r="BX49" s="11">
        <f t="shared" si="26"/>
        <v>0</v>
      </c>
      <c r="BY49" s="11">
        <f t="shared" si="26"/>
        <v>0</v>
      </c>
      <c r="BZ49" s="11">
        <f t="shared" si="26"/>
        <v>0</v>
      </c>
      <c r="CA49" s="11">
        <f t="shared" si="26"/>
        <v>0</v>
      </c>
      <c r="CB49" s="11">
        <f t="shared" si="26"/>
        <v>0</v>
      </c>
      <c r="CC49" s="11">
        <f t="shared" si="26"/>
        <v>0</v>
      </c>
      <c r="CD49" s="11">
        <f t="shared" si="26"/>
        <v>0</v>
      </c>
      <c r="CE49" s="11">
        <f t="shared" si="26"/>
        <v>0</v>
      </c>
      <c r="CF49" s="11">
        <f t="shared" si="26"/>
        <v>0</v>
      </c>
      <c r="CG49" s="11">
        <f t="shared" si="26"/>
        <v>0</v>
      </c>
      <c r="CH49" s="11">
        <f t="shared" si="26"/>
        <v>0</v>
      </c>
      <c r="CI49" s="11">
        <f t="shared" si="26"/>
        <v>0</v>
      </c>
      <c r="CJ49" s="11">
        <f t="shared" si="26"/>
        <v>0</v>
      </c>
      <c r="CK49" s="11">
        <f t="shared" si="26"/>
        <v>0</v>
      </c>
      <c r="CL49" s="11">
        <f t="shared" si="26"/>
        <v>0</v>
      </c>
      <c r="CM49" s="11">
        <f t="shared" si="26"/>
        <v>0</v>
      </c>
      <c r="CN49" s="11">
        <f t="shared" si="26"/>
        <v>0</v>
      </c>
      <c r="CO49" s="11">
        <f t="shared" si="26"/>
        <v>0</v>
      </c>
      <c r="CP49" s="11">
        <f t="shared" si="26"/>
        <v>0</v>
      </c>
      <c r="CQ49" s="11">
        <f t="shared" si="26"/>
        <v>0</v>
      </c>
      <c r="CR49" s="11">
        <f t="shared" si="26"/>
        <v>0</v>
      </c>
      <c r="CS49" s="11">
        <f t="shared" si="26"/>
        <v>0</v>
      </c>
      <c r="CT49" s="11">
        <f t="shared" si="26"/>
        <v>0</v>
      </c>
      <c r="CU49" s="11">
        <f t="shared" si="26"/>
        <v>0</v>
      </c>
      <c r="CV49" s="11">
        <f t="shared" si="26"/>
        <v>0</v>
      </c>
      <c r="CW49" s="11">
        <f t="shared" si="26"/>
        <v>0</v>
      </c>
      <c r="CX49" s="11">
        <f t="shared" si="26"/>
        <v>0</v>
      </c>
      <c r="CY49" s="11">
        <f t="shared" si="26"/>
        <v>0</v>
      </c>
      <c r="CZ49" s="11">
        <f t="shared" si="26"/>
        <v>0</v>
      </c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</row>
    <row r="50" spans="1:122" ht="18" customHeight="1">
      <c r="A50" s="4" t="s">
        <v>82</v>
      </c>
      <c r="B50" s="14">
        <f>IFERROR(VLOOKUP(A50,PRICELIST!$A$3:$D$138,4,0),"-")</f>
        <v>170.19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9">
        <f t="shared" ref="CY50:CZ52" si="27">C50+E50+G50+I50+K50+M50+O50+Q50+S50+U50+W50+Y50+AA50+AC50+AE50+AG50+AI50+AK50+AM50+AO50+AQ50+AS50+AU50+AW50+AY50+BA50+BC50+BE50+BG50+BI50+BK50+BM50+BO50+BQ50+BS50+BU50+BW50+BY50+CA50+CC50+CE50+CG50+CI50+CK50+CM50+CO50+CQ50+CS50+CU50+CW50</f>
        <v>0</v>
      </c>
      <c r="CZ50" s="19">
        <f t="shared" si="27"/>
        <v>0</v>
      </c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</row>
    <row r="51" spans="1:122" ht="18" customHeight="1">
      <c r="A51" s="4" t="s">
        <v>83</v>
      </c>
      <c r="B51" s="14">
        <f>IFERROR(VLOOKUP(A51,PRICELIST!$A$3:$D$138,4,0),"-")</f>
        <v>209.89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9">
        <f t="shared" si="27"/>
        <v>0</v>
      </c>
      <c r="CZ51" s="19">
        <f t="shared" si="27"/>
        <v>0</v>
      </c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</row>
    <row r="52" spans="1:122" ht="18" customHeight="1">
      <c r="A52" s="4" t="s">
        <v>84</v>
      </c>
      <c r="B52" s="14">
        <f>IFERROR(VLOOKUP(A52,PRICELIST!$A$3:$D$138,4,0),"-")</f>
        <v>302.79000000000002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9">
        <f t="shared" si="27"/>
        <v>0</v>
      </c>
      <c r="CZ52" s="19">
        <f t="shared" si="27"/>
        <v>0</v>
      </c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</row>
    <row r="53" spans="1:122" ht="18" customHeight="1">
      <c r="A53" s="9" t="s">
        <v>89</v>
      </c>
      <c r="B53" s="15"/>
      <c r="C53" s="11">
        <f>SUMPRODUCT($B50:$B52,C50:C52)</f>
        <v>0</v>
      </c>
      <c r="D53" s="11">
        <f t="shared" ref="D53:BO53" si="28">SUMPRODUCT($B50:$B52,D50:D52)</f>
        <v>0</v>
      </c>
      <c r="E53" s="11">
        <f t="shared" si="28"/>
        <v>0</v>
      </c>
      <c r="F53" s="11">
        <f t="shared" si="28"/>
        <v>0</v>
      </c>
      <c r="G53" s="11">
        <f t="shared" si="28"/>
        <v>0</v>
      </c>
      <c r="H53" s="11">
        <f t="shared" si="28"/>
        <v>0</v>
      </c>
      <c r="I53" s="11">
        <f t="shared" si="28"/>
        <v>0</v>
      </c>
      <c r="J53" s="11">
        <f t="shared" si="28"/>
        <v>0</v>
      </c>
      <c r="K53" s="11">
        <f t="shared" si="28"/>
        <v>0</v>
      </c>
      <c r="L53" s="11">
        <f t="shared" si="28"/>
        <v>0</v>
      </c>
      <c r="M53" s="11">
        <f t="shared" si="28"/>
        <v>0</v>
      </c>
      <c r="N53" s="11">
        <f t="shared" si="28"/>
        <v>0</v>
      </c>
      <c r="O53" s="11">
        <f t="shared" si="28"/>
        <v>0</v>
      </c>
      <c r="P53" s="11">
        <f t="shared" si="28"/>
        <v>0</v>
      </c>
      <c r="Q53" s="11">
        <f t="shared" si="28"/>
        <v>0</v>
      </c>
      <c r="R53" s="11">
        <f t="shared" si="28"/>
        <v>0</v>
      </c>
      <c r="S53" s="11">
        <f t="shared" si="28"/>
        <v>0</v>
      </c>
      <c r="T53" s="11">
        <f t="shared" si="28"/>
        <v>0</v>
      </c>
      <c r="U53" s="11">
        <f t="shared" si="28"/>
        <v>0</v>
      </c>
      <c r="V53" s="11">
        <f t="shared" si="28"/>
        <v>0</v>
      </c>
      <c r="W53" s="11">
        <f t="shared" si="28"/>
        <v>0</v>
      </c>
      <c r="X53" s="11">
        <f t="shared" si="28"/>
        <v>0</v>
      </c>
      <c r="Y53" s="11">
        <f t="shared" si="28"/>
        <v>0</v>
      </c>
      <c r="Z53" s="11">
        <f t="shared" si="28"/>
        <v>0</v>
      </c>
      <c r="AA53" s="11">
        <f t="shared" si="28"/>
        <v>0</v>
      </c>
      <c r="AB53" s="11">
        <f t="shared" si="28"/>
        <v>0</v>
      </c>
      <c r="AC53" s="11">
        <f t="shared" si="28"/>
        <v>0</v>
      </c>
      <c r="AD53" s="11">
        <f t="shared" si="28"/>
        <v>0</v>
      </c>
      <c r="AE53" s="11">
        <f t="shared" si="28"/>
        <v>0</v>
      </c>
      <c r="AF53" s="11">
        <f t="shared" si="28"/>
        <v>0</v>
      </c>
      <c r="AG53" s="11">
        <f t="shared" si="28"/>
        <v>0</v>
      </c>
      <c r="AH53" s="11">
        <f t="shared" si="28"/>
        <v>0</v>
      </c>
      <c r="AI53" s="11">
        <f t="shared" si="28"/>
        <v>0</v>
      </c>
      <c r="AJ53" s="11">
        <f t="shared" si="28"/>
        <v>0</v>
      </c>
      <c r="AK53" s="11">
        <f t="shared" si="28"/>
        <v>0</v>
      </c>
      <c r="AL53" s="11">
        <f t="shared" si="28"/>
        <v>0</v>
      </c>
      <c r="AM53" s="11">
        <f t="shared" si="28"/>
        <v>0</v>
      </c>
      <c r="AN53" s="11">
        <f t="shared" si="28"/>
        <v>0</v>
      </c>
      <c r="AO53" s="11">
        <f t="shared" si="28"/>
        <v>0</v>
      </c>
      <c r="AP53" s="11">
        <f t="shared" si="28"/>
        <v>0</v>
      </c>
      <c r="AQ53" s="11">
        <f t="shared" si="28"/>
        <v>0</v>
      </c>
      <c r="AR53" s="11">
        <f t="shared" si="28"/>
        <v>0</v>
      </c>
      <c r="AS53" s="11">
        <f t="shared" si="28"/>
        <v>0</v>
      </c>
      <c r="AT53" s="11">
        <f t="shared" si="28"/>
        <v>0</v>
      </c>
      <c r="AU53" s="11">
        <f t="shared" si="28"/>
        <v>0</v>
      </c>
      <c r="AV53" s="11">
        <f t="shared" si="28"/>
        <v>0</v>
      </c>
      <c r="AW53" s="11">
        <f t="shared" si="28"/>
        <v>0</v>
      </c>
      <c r="AX53" s="11">
        <f t="shared" si="28"/>
        <v>0</v>
      </c>
      <c r="AY53" s="11">
        <f t="shared" si="28"/>
        <v>0</v>
      </c>
      <c r="AZ53" s="11">
        <f t="shared" si="28"/>
        <v>0</v>
      </c>
      <c r="BA53" s="11">
        <f t="shared" si="28"/>
        <v>0</v>
      </c>
      <c r="BB53" s="11">
        <f t="shared" si="28"/>
        <v>0</v>
      </c>
      <c r="BC53" s="11">
        <f t="shared" si="28"/>
        <v>0</v>
      </c>
      <c r="BD53" s="11">
        <f t="shared" si="28"/>
        <v>0</v>
      </c>
      <c r="BE53" s="11">
        <f t="shared" si="28"/>
        <v>0</v>
      </c>
      <c r="BF53" s="11">
        <f t="shared" si="28"/>
        <v>0</v>
      </c>
      <c r="BG53" s="11">
        <f t="shared" si="28"/>
        <v>0</v>
      </c>
      <c r="BH53" s="11">
        <f t="shared" si="28"/>
        <v>0</v>
      </c>
      <c r="BI53" s="11">
        <f t="shared" si="28"/>
        <v>0</v>
      </c>
      <c r="BJ53" s="11">
        <f t="shared" si="28"/>
        <v>0</v>
      </c>
      <c r="BK53" s="11">
        <f t="shared" si="28"/>
        <v>0</v>
      </c>
      <c r="BL53" s="11">
        <f t="shared" si="28"/>
        <v>0</v>
      </c>
      <c r="BM53" s="11">
        <f t="shared" si="28"/>
        <v>0</v>
      </c>
      <c r="BN53" s="11">
        <f t="shared" si="28"/>
        <v>0</v>
      </c>
      <c r="BO53" s="11">
        <f t="shared" si="28"/>
        <v>0</v>
      </c>
      <c r="BP53" s="11">
        <f t="shared" ref="BP53:CZ53" si="29">SUMPRODUCT($B50:$B52,BP50:BP52)</f>
        <v>0</v>
      </c>
      <c r="BQ53" s="11">
        <f t="shared" si="29"/>
        <v>0</v>
      </c>
      <c r="BR53" s="11">
        <f t="shared" si="29"/>
        <v>0</v>
      </c>
      <c r="BS53" s="11">
        <f t="shared" si="29"/>
        <v>0</v>
      </c>
      <c r="BT53" s="11">
        <f t="shared" si="29"/>
        <v>0</v>
      </c>
      <c r="BU53" s="11">
        <f t="shared" si="29"/>
        <v>0</v>
      </c>
      <c r="BV53" s="11">
        <f t="shared" si="29"/>
        <v>0</v>
      </c>
      <c r="BW53" s="11">
        <f t="shared" si="29"/>
        <v>0</v>
      </c>
      <c r="BX53" s="11">
        <f t="shared" si="29"/>
        <v>0</v>
      </c>
      <c r="BY53" s="11">
        <f t="shared" si="29"/>
        <v>0</v>
      </c>
      <c r="BZ53" s="11">
        <f t="shared" si="29"/>
        <v>0</v>
      </c>
      <c r="CA53" s="11">
        <f t="shared" si="29"/>
        <v>0</v>
      </c>
      <c r="CB53" s="11">
        <f t="shared" si="29"/>
        <v>0</v>
      </c>
      <c r="CC53" s="11">
        <f t="shared" si="29"/>
        <v>0</v>
      </c>
      <c r="CD53" s="11">
        <f t="shared" si="29"/>
        <v>0</v>
      </c>
      <c r="CE53" s="11">
        <f t="shared" si="29"/>
        <v>0</v>
      </c>
      <c r="CF53" s="11">
        <f t="shared" si="29"/>
        <v>0</v>
      </c>
      <c r="CG53" s="11">
        <f t="shared" si="29"/>
        <v>0</v>
      </c>
      <c r="CH53" s="11">
        <f t="shared" si="29"/>
        <v>0</v>
      </c>
      <c r="CI53" s="11">
        <f t="shared" si="29"/>
        <v>0</v>
      </c>
      <c r="CJ53" s="11">
        <f t="shared" si="29"/>
        <v>0</v>
      </c>
      <c r="CK53" s="11">
        <f t="shared" si="29"/>
        <v>0</v>
      </c>
      <c r="CL53" s="11">
        <f t="shared" si="29"/>
        <v>0</v>
      </c>
      <c r="CM53" s="11">
        <f t="shared" si="29"/>
        <v>0</v>
      </c>
      <c r="CN53" s="11">
        <f t="shared" si="29"/>
        <v>0</v>
      </c>
      <c r="CO53" s="11">
        <f t="shared" si="29"/>
        <v>0</v>
      </c>
      <c r="CP53" s="11">
        <f t="shared" si="29"/>
        <v>0</v>
      </c>
      <c r="CQ53" s="11">
        <f t="shared" si="29"/>
        <v>0</v>
      </c>
      <c r="CR53" s="11">
        <f t="shared" si="29"/>
        <v>0</v>
      </c>
      <c r="CS53" s="11">
        <f t="shared" si="29"/>
        <v>0</v>
      </c>
      <c r="CT53" s="11">
        <f t="shared" si="29"/>
        <v>0</v>
      </c>
      <c r="CU53" s="11">
        <f t="shared" si="29"/>
        <v>0</v>
      </c>
      <c r="CV53" s="11">
        <f t="shared" si="29"/>
        <v>0</v>
      </c>
      <c r="CW53" s="11">
        <f t="shared" si="29"/>
        <v>0</v>
      </c>
      <c r="CX53" s="11">
        <f t="shared" si="29"/>
        <v>0</v>
      </c>
      <c r="CY53" s="11">
        <f t="shared" si="29"/>
        <v>0</v>
      </c>
      <c r="CZ53" s="11">
        <f t="shared" si="29"/>
        <v>0</v>
      </c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</row>
    <row r="54" spans="1:122" ht="18" customHeight="1">
      <c r="A54" s="13" t="s">
        <v>36</v>
      </c>
      <c r="B54" s="14">
        <f>IFERROR(VLOOKUP(A54,PRICELIST!$A$3:$D$138,4,0),"-")</f>
        <v>508.18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9">
        <f t="shared" ref="CY54:CZ58" si="30">C54+E54+G54+I54+K54+M54+O54+Q54+S54+U54+W54+Y54+AA54+AC54+AE54+AG54+AI54+AK54+AM54+AO54+AQ54+AS54+AU54+AW54+AY54+BA54+BC54+BE54+BG54+BI54+BK54+BM54+BO54+BQ54+BS54+BU54+BW54+BY54+CA54+CC54+CE54+CG54+CI54+CK54+CM54+CO54+CQ54+CS54+CU54+CW54</f>
        <v>0</v>
      </c>
      <c r="CZ54" s="19">
        <f t="shared" si="30"/>
        <v>0</v>
      </c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</row>
    <row r="55" spans="1:122" ht="18" customHeight="1">
      <c r="A55" s="13" t="s">
        <v>37</v>
      </c>
      <c r="B55" s="14">
        <f>IFERROR(VLOOKUP(A55,PRICELIST!$A$3:$D$138,4,0),"-")</f>
        <v>115.71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9">
        <f t="shared" si="30"/>
        <v>0</v>
      </c>
      <c r="CZ55" s="19">
        <f t="shared" si="30"/>
        <v>0</v>
      </c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</row>
    <row r="56" spans="1:122" ht="18" customHeight="1">
      <c r="A56" s="13" t="s">
        <v>38</v>
      </c>
      <c r="B56" s="14">
        <f>IFERROR(VLOOKUP(A56,PRICELIST!$A$3:$D$138,4,0),"-")</f>
        <v>207.64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9">
        <f t="shared" si="30"/>
        <v>0</v>
      </c>
      <c r="CZ56" s="19">
        <f t="shared" si="30"/>
        <v>0</v>
      </c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</row>
    <row r="57" spans="1:122" ht="18" customHeight="1">
      <c r="A57" s="13" t="s">
        <v>39</v>
      </c>
      <c r="B57" s="14">
        <f>IFERROR(VLOOKUP(A57,PRICELIST!$A$3:$D$138,4,0),"-")</f>
        <v>576.96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9">
        <f t="shared" si="30"/>
        <v>0</v>
      </c>
      <c r="CZ57" s="19">
        <f t="shared" si="30"/>
        <v>0</v>
      </c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</row>
    <row r="58" spans="1:122" ht="18" customHeight="1">
      <c r="A58" s="13" t="s">
        <v>40</v>
      </c>
      <c r="B58" s="14">
        <f>IFERROR(VLOOKUP(A58,PRICELIST!$A$3:$D$138,4,0),"-")</f>
        <v>635.30999999999995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9">
        <f t="shared" si="30"/>
        <v>0</v>
      </c>
      <c r="CZ58" s="19">
        <f t="shared" si="30"/>
        <v>0</v>
      </c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</row>
    <row r="59" spans="1:122" ht="18" customHeight="1">
      <c r="A59" s="9" t="s">
        <v>41</v>
      </c>
      <c r="B59" s="10"/>
      <c r="C59" s="11">
        <f>SUMPRODUCT($B54:$B58,C54:C58)</f>
        <v>0</v>
      </c>
      <c r="D59" s="11">
        <f t="shared" ref="D59:BO59" si="31">SUMPRODUCT($B54:$B58,D54:D58)</f>
        <v>0</v>
      </c>
      <c r="E59" s="11">
        <f t="shared" si="31"/>
        <v>0</v>
      </c>
      <c r="F59" s="11">
        <f t="shared" si="31"/>
        <v>0</v>
      </c>
      <c r="G59" s="11">
        <f t="shared" si="31"/>
        <v>0</v>
      </c>
      <c r="H59" s="11">
        <f t="shared" si="31"/>
        <v>0</v>
      </c>
      <c r="I59" s="11">
        <f t="shared" si="31"/>
        <v>0</v>
      </c>
      <c r="J59" s="11">
        <f t="shared" si="31"/>
        <v>0</v>
      </c>
      <c r="K59" s="11">
        <f t="shared" si="31"/>
        <v>0</v>
      </c>
      <c r="L59" s="11">
        <f t="shared" si="31"/>
        <v>0</v>
      </c>
      <c r="M59" s="11">
        <f t="shared" si="31"/>
        <v>0</v>
      </c>
      <c r="N59" s="11">
        <f t="shared" si="31"/>
        <v>0</v>
      </c>
      <c r="O59" s="11">
        <f t="shared" si="31"/>
        <v>0</v>
      </c>
      <c r="P59" s="11">
        <f t="shared" si="31"/>
        <v>0</v>
      </c>
      <c r="Q59" s="11">
        <f t="shared" si="31"/>
        <v>0</v>
      </c>
      <c r="R59" s="11">
        <f t="shared" si="31"/>
        <v>0</v>
      </c>
      <c r="S59" s="11">
        <f t="shared" si="31"/>
        <v>0</v>
      </c>
      <c r="T59" s="11">
        <f t="shared" si="31"/>
        <v>0</v>
      </c>
      <c r="U59" s="11">
        <f t="shared" si="31"/>
        <v>0</v>
      </c>
      <c r="V59" s="11">
        <f t="shared" si="31"/>
        <v>0</v>
      </c>
      <c r="W59" s="11">
        <f t="shared" si="31"/>
        <v>0</v>
      </c>
      <c r="X59" s="11">
        <f t="shared" si="31"/>
        <v>0</v>
      </c>
      <c r="Y59" s="11">
        <f t="shared" si="31"/>
        <v>0</v>
      </c>
      <c r="Z59" s="11">
        <f t="shared" si="31"/>
        <v>0</v>
      </c>
      <c r="AA59" s="11">
        <f t="shared" si="31"/>
        <v>0</v>
      </c>
      <c r="AB59" s="11">
        <f t="shared" si="31"/>
        <v>0</v>
      </c>
      <c r="AC59" s="11">
        <f t="shared" si="31"/>
        <v>0</v>
      </c>
      <c r="AD59" s="11">
        <f t="shared" si="31"/>
        <v>0</v>
      </c>
      <c r="AE59" s="11">
        <f t="shared" si="31"/>
        <v>0</v>
      </c>
      <c r="AF59" s="11">
        <f t="shared" si="31"/>
        <v>0</v>
      </c>
      <c r="AG59" s="11">
        <f t="shared" si="31"/>
        <v>0</v>
      </c>
      <c r="AH59" s="11">
        <f t="shared" si="31"/>
        <v>0</v>
      </c>
      <c r="AI59" s="11">
        <f t="shared" si="31"/>
        <v>0</v>
      </c>
      <c r="AJ59" s="11">
        <f t="shared" si="31"/>
        <v>0</v>
      </c>
      <c r="AK59" s="11">
        <f t="shared" si="31"/>
        <v>0</v>
      </c>
      <c r="AL59" s="11">
        <f t="shared" si="31"/>
        <v>0</v>
      </c>
      <c r="AM59" s="11">
        <f t="shared" si="31"/>
        <v>0</v>
      </c>
      <c r="AN59" s="11">
        <f t="shared" si="31"/>
        <v>0</v>
      </c>
      <c r="AO59" s="11">
        <f t="shared" si="31"/>
        <v>0</v>
      </c>
      <c r="AP59" s="11">
        <f t="shared" si="31"/>
        <v>0</v>
      </c>
      <c r="AQ59" s="11">
        <f t="shared" si="31"/>
        <v>0</v>
      </c>
      <c r="AR59" s="11">
        <f t="shared" si="31"/>
        <v>0</v>
      </c>
      <c r="AS59" s="11">
        <f t="shared" si="31"/>
        <v>0</v>
      </c>
      <c r="AT59" s="11">
        <f t="shared" si="31"/>
        <v>0</v>
      </c>
      <c r="AU59" s="11">
        <f t="shared" si="31"/>
        <v>0</v>
      </c>
      <c r="AV59" s="11">
        <f t="shared" si="31"/>
        <v>0</v>
      </c>
      <c r="AW59" s="11">
        <f t="shared" si="31"/>
        <v>0</v>
      </c>
      <c r="AX59" s="11">
        <f t="shared" si="31"/>
        <v>0</v>
      </c>
      <c r="AY59" s="11">
        <f t="shared" si="31"/>
        <v>0</v>
      </c>
      <c r="AZ59" s="11">
        <f t="shared" si="31"/>
        <v>0</v>
      </c>
      <c r="BA59" s="11">
        <f t="shared" si="31"/>
        <v>0</v>
      </c>
      <c r="BB59" s="11">
        <f t="shared" si="31"/>
        <v>0</v>
      </c>
      <c r="BC59" s="11">
        <f t="shared" si="31"/>
        <v>0</v>
      </c>
      <c r="BD59" s="11">
        <f t="shared" si="31"/>
        <v>0</v>
      </c>
      <c r="BE59" s="11">
        <f t="shared" si="31"/>
        <v>0</v>
      </c>
      <c r="BF59" s="11">
        <f t="shared" si="31"/>
        <v>0</v>
      </c>
      <c r="BG59" s="11">
        <f t="shared" si="31"/>
        <v>0</v>
      </c>
      <c r="BH59" s="11">
        <f t="shared" si="31"/>
        <v>0</v>
      </c>
      <c r="BI59" s="11">
        <f t="shared" si="31"/>
        <v>0</v>
      </c>
      <c r="BJ59" s="11">
        <f t="shared" si="31"/>
        <v>0</v>
      </c>
      <c r="BK59" s="11">
        <f t="shared" si="31"/>
        <v>0</v>
      </c>
      <c r="BL59" s="11">
        <f t="shared" si="31"/>
        <v>0</v>
      </c>
      <c r="BM59" s="11">
        <f t="shared" si="31"/>
        <v>0</v>
      </c>
      <c r="BN59" s="11">
        <f t="shared" si="31"/>
        <v>0</v>
      </c>
      <c r="BO59" s="11">
        <f t="shared" si="31"/>
        <v>0</v>
      </c>
      <c r="BP59" s="11">
        <f t="shared" ref="BP59:CZ59" si="32">SUMPRODUCT($B54:$B58,BP54:BP58)</f>
        <v>0</v>
      </c>
      <c r="BQ59" s="11">
        <f t="shared" si="32"/>
        <v>0</v>
      </c>
      <c r="BR59" s="11">
        <f t="shared" si="32"/>
        <v>0</v>
      </c>
      <c r="BS59" s="11">
        <f t="shared" si="32"/>
        <v>0</v>
      </c>
      <c r="BT59" s="11">
        <f t="shared" si="32"/>
        <v>0</v>
      </c>
      <c r="BU59" s="11">
        <f t="shared" si="32"/>
        <v>0</v>
      </c>
      <c r="BV59" s="11">
        <f t="shared" si="32"/>
        <v>0</v>
      </c>
      <c r="BW59" s="11">
        <f t="shared" si="32"/>
        <v>0</v>
      </c>
      <c r="BX59" s="11">
        <f t="shared" si="32"/>
        <v>0</v>
      </c>
      <c r="BY59" s="11">
        <f t="shared" si="32"/>
        <v>0</v>
      </c>
      <c r="BZ59" s="11">
        <f t="shared" si="32"/>
        <v>0</v>
      </c>
      <c r="CA59" s="11">
        <f t="shared" si="32"/>
        <v>0</v>
      </c>
      <c r="CB59" s="11">
        <f t="shared" si="32"/>
        <v>0</v>
      </c>
      <c r="CC59" s="11">
        <f t="shared" si="32"/>
        <v>0</v>
      </c>
      <c r="CD59" s="11">
        <f t="shared" si="32"/>
        <v>0</v>
      </c>
      <c r="CE59" s="11">
        <f t="shared" si="32"/>
        <v>0</v>
      </c>
      <c r="CF59" s="11">
        <f t="shared" si="32"/>
        <v>0</v>
      </c>
      <c r="CG59" s="11">
        <f t="shared" si="32"/>
        <v>0</v>
      </c>
      <c r="CH59" s="11">
        <f t="shared" si="32"/>
        <v>0</v>
      </c>
      <c r="CI59" s="11">
        <f t="shared" si="32"/>
        <v>0</v>
      </c>
      <c r="CJ59" s="11">
        <f t="shared" si="32"/>
        <v>0</v>
      </c>
      <c r="CK59" s="11">
        <f t="shared" si="32"/>
        <v>0</v>
      </c>
      <c r="CL59" s="11">
        <f t="shared" si="32"/>
        <v>0</v>
      </c>
      <c r="CM59" s="11">
        <f t="shared" si="32"/>
        <v>0</v>
      </c>
      <c r="CN59" s="11">
        <f t="shared" si="32"/>
        <v>0</v>
      </c>
      <c r="CO59" s="11">
        <f t="shared" si="32"/>
        <v>0</v>
      </c>
      <c r="CP59" s="11">
        <f t="shared" si="32"/>
        <v>0</v>
      </c>
      <c r="CQ59" s="11">
        <f t="shared" si="32"/>
        <v>0</v>
      </c>
      <c r="CR59" s="11">
        <f t="shared" si="32"/>
        <v>0</v>
      </c>
      <c r="CS59" s="11">
        <f t="shared" si="32"/>
        <v>0</v>
      </c>
      <c r="CT59" s="11">
        <f t="shared" si="32"/>
        <v>0</v>
      </c>
      <c r="CU59" s="11">
        <f t="shared" si="32"/>
        <v>0</v>
      </c>
      <c r="CV59" s="11">
        <f t="shared" si="32"/>
        <v>0</v>
      </c>
      <c r="CW59" s="11">
        <f t="shared" si="32"/>
        <v>0</v>
      </c>
      <c r="CX59" s="11">
        <f t="shared" si="32"/>
        <v>0</v>
      </c>
      <c r="CY59" s="11">
        <f t="shared" si="32"/>
        <v>0</v>
      </c>
      <c r="CZ59" s="11">
        <f t="shared" si="32"/>
        <v>0</v>
      </c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</row>
    <row r="60" spans="1:122" ht="18" customHeight="1">
      <c r="A60" s="13" t="s">
        <v>133</v>
      </c>
      <c r="B60" s="14">
        <f>IFERROR(VLOOKUP(A60,PRICELIST!$A$3:$D$138,4,0),"-")</f>
        <v>23.41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9">
        <f t="shared" ref="CY60:CZ70" si="33">C60+E60+G60+I60+K60+M60+O60+Q60+S60+U60+W60+Y60+AA60+AC60+AE60+AG60+AI60+AK60+AM60+AO60+AQ60+AS60+AU60+AW60+AY60+BA60+BC60+BE60+BG60+BI60+BK60+BM60+BO60+BQ60+BS60+BU60+BW60+BY60+CA60+CC60+CE60+CG60+CI60+CK60+CM60+CO60+CQ60+CS60+CU60+CW60</f>
        <v>0</v>
      </c>
      <c r="CZ60" s="19">
        <f t="shared" si="33"/>
        <v>0</v>
      </c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</row>
    <row r="61" spans="1:122" ht="18" customHeight="1">
      <c r="A61" s="13" t="s">
        <v>42</v>
      </c>
      <c r="B61" s="14">
        <f>IFERROR(VLOOKUP(A61,PRICELIST!$A$3:$D$138,4,0),"-")</f>
        <v>23.57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9">
        <f t="shared" si="33"/>
        <v>0</v>
      </c>
      <c r="CZ61" s="19">
        <f t="shared" si="33"/>
        <v>0</v>
      </c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</row>
    <row r="62" spans="1:122" ht="18" customHeight="1">
      <c r="A62" s="13" t="s">
        <v>43</v>
      </c>
      <c r="B62" s="14">
        <f>IFERROR(VLOOKUP(A62,PRICELIST!$A$3:$D$138,4,0),"-")</f>
        <v>66.7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9">
        <f t="shared" si="33"/>
        <v>0</v>
      </c>
      <c r="CZ62" s="19">
        <f t="shared" si="33"/>
        <v>0</v>
      </c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</row>
    <row r="63" spans="1:122" ht="18" customHeight="1">
      <c r="A63" s="13" t="s">
        <v>44</v>
      </c>
      <c r="B63" s="14">
        <f>IFERROR(VLOOKUP(A63,PRICELIST!$A$3:$D$138,4,0),"-")</f>
        <v>67.819999999999993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9">
        <f t="shared" si="33"/>
        <v>0</v>
      </c>
      <c r="CZ63" s="19">
        <f t="shared" si="33"/>
        <v>0</v>
      </c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</row>
    <row r="64" spans="1:122" ht="18" customHeight="1">
      <c r="A64" s="13" t="s">
        <v>45</v>
      </c>
      <c r="B64" s="14">
        <f>IFERROR(VLOOKUP(A64,PRICELIST!$A$3:$D$138,4,0),"-")</f>
        <v>9.58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9">
        <f t="shared" si="33"/>
        <v>0</v>
      </c>
      <c r="CZ64" s="19">
        <f t="shared" si="33"/>
        <v>0</v>
      </c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</row>
    <row r="65" spans="1:122" ht="18" customHeight="1">
      <c r="A65" s="13" t="s">
        <v>46</v>
      </c>
      <c r="B65" s="14">
        <f>IFERROR(VLOOKUP(A65,PRICELIST!$A$3:$D$138,4,0),"-")</f>
        <v>23.41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9">
        <f t="shared" si="33"/>
        <v>0</v>
      </c>
      <c r="CZ65" s="19">
        <f t="shared" si="33"/>
        <v>0</v>
      </c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</row>
    <row r="66" spans="1:122" ht="18" customHeight="1">
      <c r="A66" s="13" t="s">
        <v>47</v>
      </c>
      <c r="B66" s="14">
        <f>IFERROR(VLOOKUP(A66,PRICELIST!$A$3:$D$138,4,0),"-")</f>
        <v>23.57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9">
        <f t="shared" si="33"/>
        <v>0</v>
      </c>
      <c r="CZ66" s="19">
        <f t="shared" si="33"/>
        <v>0</v>
      </c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</row>
    <row r="67" spans="1:122" ht="18" customHeight="1">
      <c r="A67" s="13" t="s">
        <v>49</v>
      </c>
      <c r="B67" s="14">
        <f>IFERROR(VLOOKUP(A67,PRICELIST!$A$3:$D$138,4,0),"-")</f>
        <v>132.43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9">
        <f t="shared" si="33"/>
        <v>0</v>
      </c>
      <c r="CZ67" s="19">
        <f t="shared" si="33"/>
        <v>0</v>
      </c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</row>
    <row r="68" spans="1:122" ht="18" customHeight="1">
      <c r="A68" s="13" t="s">
        <v>50</v>
      </c>
      <c r="B68" s="14">
        <f>IFERROR(VLOOKUP(A68,PRICELIST!$A$3:$D$138,4,0),"-")</f>
        <v>94.7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9">
        <f t="shared" si="33"/>
        <v>0</v>
      </c>
      <c r="CZ68" s="19">
        <f t="shared" si="33"/>
        <v>0</v>
      </c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</row>
    <row r="69" spans="1:122" ht="18" customHeight="1">
      <c r="A69" s="13" t="s">
        <v>51</v>
      </c>
      <c r="B69" s="14">
        <f>IFERROR(VLOOKUP(A69,PRICELIST!$A$3:$D$138,4,0),"-")</f>
        <v>58.82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9">
        <f t="shared" si="33"/>
        <v>0</v>
      </c>
      <c r="CZ69" s="19">
        <f t="shared" si="33"/>
        <v>0</v>
      </c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</row>
    <row r="70" spans="1:122" ht="18" customHeight="1">
      <c r="A70" s="13" t="s">
        <v>52</v>
      </c>
      <c r="B70" s="14">
        <f>IFERROR(VLOOKUP(A70,PRICELIST!$A$3:$D$138,4,0),"-")</f>
        <v>61.39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9">
        <f t="shared" si="33"/>
        <v>0</v>
      </c>
      <c r="CZ70" s="19">
        <f t="shared" si="33"/>
        <v>0</v>
      </c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</row>
    <row r="71" spans="1:122" ht="18" customHeight="1">
      <c r="A71" s="9" t="s">
        <v>48</v>
      </c>
      <c r="B71" s="10"/>
      <c r="C71" s="11">
        <f t="shared" ref="C71:AH71" si="34">SUMPRODUCT($B60:$B70,C60:C70)</f>
        <v>0</v>
      </c>
      <c r="D71" s="11">
        <f t="shared" si="34"/>
        <v>0</v>
      </c>
      <c r="E71" s="11">
        <f t="shared" si="34"/>
        <v>0</v>
      </c>
      <c r="F71" s="11">
        <f t="shared" si="34"/>
        <v>0</v>
      </c>
      <c r="G71" s="11">
        <f t="shared" si="34"/>
        <v>0</v>
      </c>
      <c r="H71" s="11">
        <f t="shared" si="34"/>
        <v>0</v>
      </c>
      <c r="I71" s="11">
        <f t="shared" si="34"/>
        <v>0</v>
      </c>
      <c r="J71" s="11">
        <f t="shared" si="34"/>
        <v>0</v>
      </c>
      <c r="K71" s="11">
        <f t="shared" si="34"/>
        <v>0</v>
      </c>
      <c r="L71" s="11">
        <f t="shared" si="34"/>
        <v>0</v>
      </c>
      <c r="M71" s="11">
        <f t="shared" si="34"/>
        <v>0</v>
      </c>
      <c r="N71" s="11">
        <f t="shared" si="34"/>
        <v>0</v>
      </c>
      <c r="O71" s="11">
        <f t="shared" si="34"/>
        <v>0</v>
      </c>
      <c r="P71" s="11">
        <f t="shared" si="34"/>
        <v>0</v>
      </c>
      <c r="Q71" s="11">
        <f t="shared" si="34"/>
        <v>0</v>
      </c>
      <c r="R71" s="11">
        <f t="shared" si="34"/>
        <v>0</v>
      </c>
      <c r="S71" s="11">
        <f t="shared" si="34"/>
        <v>0</v>
      </c>
      <c r="T71" s="11">
        <f t="shared" si="34"/>
        <v>0</v>
      </c>
      <c r="U71" s="11">
        <f t="shared" si="34"/>
        <v>0</v>
      </c>
      <c r="V71" s="11">
        <f t="shared" si="34"/>
        <v>0</v>
      </c>
      <c r="W71" s="11">
        <f t="shared" si="34"/>
        <v>0</v>
      </c>
      <c r="X71" s="11">
        <f t="shared" si="34"/>
        <v>0</v>
      </c>
      <c r="Y71" s="11">
        <f t="shared" si="34"/>
        <v>0</v>
      </c>
      <c r="Z71" s="11">
        <f t="shared" si="34"/>
        <v>0</v>
      </c>
      <c r="AA71" s="11">
        <f t="shared" si="34"/>
        <v>0</v>
      </c>
      <c r="AB71" s="11">
        <f t="shared" si="34"/>
        <v>0</v>
      </c>
      <c r="AC71" s="11">
        <f t="shared" si="34"/>
        <v>0</v>
      </c>
      <c r="AD71" s="11">
        <f t="shared" si="34"/>
        <v>0</v>
      </c>
      <c r="AE71" s="11">
        <f t="shared" si="34"/>
        <v>0</v>
      </c>
      <c r="AF71" s="11">
        <f t="shared" si="34"/>
        <v>0</v>
      </c>
      <c r="AG71" s="11">
        <f t="shared" si="34"/>
        <v>0</v>
      </c>
      <c r="AH71" s="11">
        <f t="shared" si="34"/>
        <v>0</v>
      </c>
      <c r="AI71" s="11">
        <f t="shared" ref="AI71:BN71" si="35">SUMPRODUCT($B60:$B70,AI60:AI70)</f>
        <v>0</v>
      </c>
      <c r="AJ71" s="11">
        <f t="shared" si="35"/>
        <v>0</v>
      </c>
      <c r="AK71" s="11">
        <f t="shared" si="35"/>
        <v>0</v>
      </c>
      <c r="AL71" s="11">
        <f t="shared" si="35"/>
        <v>0</v>
      </c>
      <c r="AM71" s="11">
        <f t="shared" si="35"/>
        <v>0</v>
      </c>
      <c r="AN71" s="11">
        <f t="shared" si="35"/>
        <v>0</v>
      </c>
      <c r="AO71" s="11">
        <f t="shared" si="35"/>
        <v>0</v>
      </c>
      <c r="AP71" s="11">
        <f t="shared" si="35"/>
        <v>0</v>
      </c>
      <c r="AQ71" s="11">
        <f t="shared" si="35"/>
        <v>0</v>
      </c>
      <c r="AR71" s="11">
        <f t="shared" si="35"/>
        <v>0</v>
      </c>
      <c r="AS71" s="11">
        <f t="shared" si="35"/>
        <v>0</v>
      </c>
      <c r="AT71" s="11">
        <f t="shared" si="35"/>
        <v>0</v>
      </c>
      <c r="AU71" s="11">
        <f t="shared" si="35"/>
        <v>0</v>
      </c>
      <c r="AV71" s="11">
        <f t="shared" si="35"/>
        <v>0</v>
      </c>
      <c r="AW71" s="11">
        <f t="shared" si="35"/>
        <v>0</v>
      </c>
      <c r="AX71" s="11">
        <f t="shared" si="35"/>
        <v>0</v>
      </c>
      <c r="AY71" s="11">
        <f t="shared" si="35"/>
        <v>0</v>
      </c>
      <c r="AZ71" s="11">
        <f t="shared" si="35"/>
        <v>0</v>
      </c>
      <c r="BA71" s="11">
        <f t="shared" si="35"/>
        <v>0</v>
      </c>
      <c r="BB71" s="11">
        <f t="shared" si="35"/>
        <v>0</v>
      </c>
      <c r="BC71" s="11">
        <f t="shared" si="35"/>
        <v>0</v>
      </c>
      <c r="BD71" s="11">
        <f t="shared" si="35"/>
        <v>0</v>
      </c>
      <c r="BE71" s="11">
        <f t="shared" si="35"/>
        <v>0</v>
      </c>
      <c r="BF71" s="11">
        <f t="shared" si="35"/>
        <v>0</v>
      </c>
      <c r="BG71" s="11">
        <f t="shared" si="35"/>
        <v>0</v>
      </c>
      <c r="BH71" s="11">
        <f t="shared" si="35"/>
        <v>0</v>
      </c>
      <c r="BI71" s="11">
        <f t="shared" si="35"/>
        <v>0</v>
      </c>
      <c r="BJ71" s="11">
        <f t="shared" si="35"/>
        <v>0</v>
      </c>
      <c r="BK71" s="11">
        <f t="shared" si="35"/>
        <v>0</v>
      </c>
      <c r="BL71" s="11">
        <f t="shared" si="35"/>
        <v>0</v>
      </c>
      <c r="BM71" s="11">
        <f t="shared" si="35"/>
        <v>0</v>
      </c>
      <c r="BN71" s="11">
        <f t="shared" si="35"/>
        <v>0</v>
      </c>
      <c r="BO71" s="11">
        <f t="shared" ref="BO71:CT71" si="36">SUMPRODUCT($B60:$B70,BO60:BO70)</f>
        <v>0</v>
      </c>
      <c r="BP71" s="11">
        <f t="shared" si="36"/>
        <v>0</v>
      </c>
      <c r="BQ71" s="11">
        <f t="shared" si="36"/>
        <v>0</v>
      </c>
      <c r="BR71" s="11">
        <f t="shared" si="36"/>
        <v>0</v>
      </c>
      <c r="BS71" s="11">
        <f t="shared" si="36"/>
        <v>0</v>
      </c>
      <c r="BT71" s="11">
        <f t="shared" si="36"/>
        <v>0</v>
      </c>
      <c r="BU71" s="11">
        <f t="shared" si="36"/>
        <v>0</v>
      </c>
      <c r="BV71" s="11">
        <f t="shared" si="36"/>
        <v>0</v>
      </c>
      <c r="BW71" s="11">
        <f t="shared" si="36"/>
        <v>0</v>
      </c>
      <c r="BX71" s="11">
        <f t="shared" si="36"/>
        <v>0</v>
      </c>
      <c r="BY71" s="11">
        <f t="shared" si="36"/>
        <v>0</v>
      </c>
      <c r="BZ71" s="11">
        <f t="shared" si="36"/>
        <v>0</v>
      </c>
      <c r="CA71" s="11">
        <f t="shared" si="36"/>
        <v>0</v>
      </c>
      <c r="CB71" s="11">
        <f t="shared" si="36"/>
        <v>0</v>
      </c>
      <c r="CC71" s="11">
        <f t="shared" si="36"/>
        <v>0</v>
      </c>
      <c r="CD71" s="11">
        <f t="shared" si="36"/>
        <v>0</v>
      </c>
      <c r="CE71" s="11">
        <f t="shared" si="36"/>
        <v>0</v>
      </c>
      <c r="CF71" s="11">
        <f t="shared" si="36"/>
        <v>0</v>
      </c>
      <c r="CG71" s="11">
        <f t="shared" si="36"/>
        <v>0</v>
      </c>
      <c r="CH71" s="11">
        <f t="shared" si="36"/>
        <v>0</v>
      </c>
      <c r="CI71" s="11">
        <f t="shared" si="36"/>
        <v>0</v>
      </c>
      <c r="CJ71" s="11">
        <f t="shared" si="36"/>
        <v>0</v>
      </c>
      <c r="CK71" s="11">
        <f t="shared" si="36"/>
        <v>0</v>
      </c>
      <c r="CL71" s="11">
        <f t="shared" si="36"/>
        <v>0</v>
      </c>
      <c r="CM71" s="11">
        <f t="shared" si="36"/>
        <v>0</v>
      </c>
      <c r="CN71" s="11">
        <f t="shared" si="36"/>
        <v>0</v>
      </c>
      <c r="CO71" s="11">
        <f t="shared" si="36"/>
        <v>0</v>
      </c>
      <c r="CP71" s="11">
        <f t="shared" si="36"/>
        <v>0</v>
      </c>
      <c r="CQ71" s="11">
        <f t="shared" si="36"/>
        <v>0</v>
      </c>
      <c r="CR71" s="11">
        <f t="shared" si="36"/>
        <v>0</v>
      </c>
      <c r="CS71" s="11">
        <f t="shared" si="36"/>
        <v>0</v>
      </c>
      <c r="CT71" s="11">
        <f t="shared" si="36"/>
        <v>0</v>
      </c>
      <c r="CU71" s="11">
        <f t="shared" ref="CU71:CZ71" si="37">SUMPRODUCT($B60:$B70,CU60:CU70)</f>
        <v>0</v>
      </c>
      <c r="CV71" s="11">
        <f t="shared" si="37"/>
        <v>0</v>
      </c>
      <c r="CW71" s="11">
        <f t="shared" si="37"/>
        <v>0</v>
      </c>
      <c r="CX71" s="11">
        <f t="shared" si="37"/>
        <v>0</v>
      </c>
      <c r="CY71" s="11">
        <f t="shared" si="37"/>
        <v>0</v>
      </c>
      <c r="CZ71" s="11">
        <f t="shared" si="37"/>
        <v>0</v>
      </c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</row>
    <row r="72" spans="1:122" ht="18" customHeight="1">
      <c r="A72" s="13" t="s">
        <v>85</v>
      </c>
      <c r="B72" s="14">
        <f>IFERROR(VLOOKUP(A72,PRICELIST!$A$3:$D$138,4,0),"-")</f>
        <v>165.86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9">
        <f t="shared" ref="CY72:CZ78" si="38">C72+E72+G72+I72+K72+M72+O72+Q72+S72+U72+W72+Y72+AA72+AC72+AE72+AG72+AI72+AK72+AM72+AO72+AQ72+AS72+AU72+AW72+AY72+BA72+BC72+BE72+BG72+BI72+BK72+BM72+BO72+BQ72+BS72+BU72+BW72+BY72+CA72+CC72+CE72+CG72+CI72+CK72+CM72+CO72+CQ72+CS72+CU72+CW72</f>
        <v>0</v>
      </c>
      <c r="CZ72" s="19">
        <f t="shared" si="38"/>
        <v>0</v>
      </c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</row>
    <row r="73" spans="1:122" ht="18" customHeight="1">
      <c r="A73" s="13" t="s">
        <v>53</v>
      </c>
      <c r="B73" s="14">
        <f>IFERROR(VLOOKUP(A73,PRICELIST!$A$3:$D$138,4,0),"-")</f>
        <v>82.93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9">
        <f t="shared" si="38"/>
        <v>0</v>
      </c>
      <c r="CZ73" s="19">
        <f t="shared" si="38"/>
        <v>0</v>
      </c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</row>
    <row r="74" spans="1:122" ht="18" customHeight="1">
      <c r="A74" s="13" t="s">
        <v>54</v>
      </c>
      <c r="B74" s="14">
        <f>IFERROR(VLOOKUP(A74,PRICELIST!$A$3:$D$138,4,0),"-")</f>
        <v>96.43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9">
        <f t="shared" si="38"/>
        <v>0</v>
      </c>
      <c r="CZ74" s="19">
        <f t="shared" si="38"/>
        <v>0</v>
      </c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</row>
    <row r="75" spans="1:122" ht="18" customHeight="1">
      <c r="A75" s="13" t="s">
        <v>55</v>
      </c>
      <c r="B75" s="14">
        <f>IFERROR(VLOOKUP(A75,PRICELIST!$A$3:$D$138,4,0),"-")</f>
        <v>47.57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9">
        <f t="shared" si="38"/>
        <v>0</v>
      </c>
      <c r="CZ75" s="19">
        <f t="shared" si="38"/>
        <v>0</v>
      </c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</row>
    <row r="76" spans="1:122" ht="18" customHeight="1">
      <c r="A76" s="13" t="s">
        <v>132</v>
      </c>
      <c r="B76" s="14">
        <f>IFERROR(VLOOKUP(A76,PRICELIST!$A$3:$D$138,4,0),"-")</f>
        <v>128.57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9">
        <f t="shared" si="38"/>
        <v>0</v>
      </c>
      <c r="CZ76" s="19">
        <f t="shared" si="38"/>
        <v>0</v>
      </c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</row>
    <row r="77" spans="1:122" ht="18" customHeight="1">
      <c r="A77" s="13" t="s">
        <v>86</v>
      </c>
      <c r="B77" s="14">
        <f>IFERROR(VLOOKUP(A77,PRICELIST!$A$3:$D$138,4,0),"-")</f>
        <v>130.5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9">
        <f t="shared" si="38"/>
        <v>0</v>
      </c>
      <c r="CZ77" s="19">
        <f t="shared" si="38"/>
        <v>0</v>
      </c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</row>
    <row r="78" spans="1:122" ht="18" customHeight="1">
      <c r="A78" s="26" t="s">
        <v>121</v>
      </c>
      <c r="B78" s="14">
        <f>IFERROR(VLOOKUP(A78,PRICELIST!$A$3:$D$138,4,0),"-")</f>
        <v>146.88999999999999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9">
        <f t="shared" si="38"/>
        <v>0</v>
      </c>
      <c r="CZ78" s="19">
        <f t="shared" si="38"/>
        <v>0</v>
      </c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</row>
    <row r="79" spans="1:122" ht="18" customHeight="1">
      <c r="A79" s="9" t="s">
        <v>56</v>
      </c>
      <c r="B79" s="10"/>
      <c r="C79" s="11">
        <f>SUMPRODUCT($B72:$B78,C72:C78)</f>
        <v>0</v>
      </c>
      <c r="D79" s="11">
        <f t="shared" ref="D79:BO79" si="39">SUMPRODUCT($B72:$B78,D72:D78)</f>
        <v>0</v>
      </c>
      <c r="E79" s="11">
        <f t="shared" si="39"/>
        <v>0</v>
      </c>
      <c r="F79" s="11">
        <f t="shared" si="39"/>
        <v>0</v>
      </c>
      <c r="G79" s="11">
        <f t="shared" si="39"/>
        <v>0</v>
      </c>
      <c r="H79" s="11">
        <f t="shared" si="39"/>
        <v>0</v>
      </c>
      <c r="I79" s="11">
        <f t="shared" si="39"/>
        <v>0</v>
      </c>
      <c r="J79" s="11">
        <f t="shared" si="39"/>
        <v>0</v>
      </c>
      <c r="K79" s="11">
        <f t="shared" si="39"/>
        <v>0</v>
      </c>
      <c r="L79" s="11">
        <f t="shared" si="39"/>
        <v>0</v>
      </c>
      <c r="M79" s="11">
        <f t="shared" si="39"/>
        <v>0</v>
      </c>
      <c r="N79" s="11">
        <f t="shared" si="39"/>
        <v>0</v>
      </c>
      <c r="O79" s="11">
        <f t="shared" si="39"/>
        <v>0</v>
      </c>
      <c r="P79" s="11">
        <f t="shared" si="39"/>
        <v>0</v>
      </c>
      <c r="Q79" s="11">
        <f t="shared" si="39"/>
        <v>0</v>
      </c>
      <c r="R79" s="11">
        <f t="shared" si="39"/>
        <v>0</v>
      </c>
      <c r="S79" s="11">
        <f t="shared" si="39"/>
        <v>0</v>
      </c>
      <c r="T79" s="11">
        <f t="shared" si="39"/>
        <v>0</v>
      </c>
      <c r="U79" s="11">
        <f t="shared" si="39"/>
        <v>0</v>
      </c>
      <c r="V79" s="11">
        <f t="shared" si="39"/>
        <v>0</v>
      </c>
      <c r="W79" s="11">
        <f t="shared" si="39"/>
        <v>0</v>
      </c>
      <c r="X79" s="11">
        <f t="shared" si="39"/>
        <v>0</v>
      </c>
      <c r="Y79" s="11">
        <f t="shared" si="39"/>
        <v>0</v>
      </c>
      <c r="Z79" s="11">
        <f t="shared" si="39"/>
        <v>0</v>
      </c>
      <c r="AA79" s="11">
        <f t="shared" si="39"/>
        <v>0</v>
      </c>
      <c r="AB79" s="11">
        <f t="shared" si="39"/>
        <v>0</v>
      </c>
      <c r="AC79" s="11">
        <f t="shared" si="39"/>
        <v>0</v>
      </c>
      <c r="AD79" s="11">
        <f t="shared" si="39"/>
        <v>0</v>
      </c>
      <c r="AE79" s="11">
        <f t="shared" si="39"/>
        <v>0</v>
      </c>
      <c r="AF79" s="11">
        <f t="shared" si="39"/>
        <v>0</v>
      </c>
      <c r="AG79" s="11">
        <f t="shared" si="39"/>
        <v>0</v>
      </c>
      <c r="AH79" s="11">
        <f t="shared" si="39"/>
        <v>0</v>
      </c>
      <c r="AI79" s="11">
        <f t="shared" si="39"/>
        <v>0</v>
      </c>
      <c r="AJ79" s="11">
        <f t="shared" si="39"/>
        <v>0</v>
      </c>
      <c r="AK79" s="11">
        <f t="shared" si="39"/>
        <v>0</v>
      </c>
      <c r="AL79" s="11">
        <f t="shared" si="39"/>
        <v>0</v>
      </c>
      <c r="AM79" s="11">
        <f t="shared" si="39"/>
        <v>0</v>
      </c>
      <c r="AN79" s="11">
        <f t="shared" si="39"/>
        <v>0</v>
      </c>
      <c r="AO79" s="11">
        <f t="shared" si="39"/>
        <v>0</v>
      </c>
      <c r="AP79" s="11">
        <f t="shared" si="39"/>
        <v>0</v>
      </c>
      <c r="AQ79" s="11">
        <f t="shared" si="39"/>
        <v>0</v>
      </c>
      <c r="AR79" s="11">
        <f t="shared" si="39"/>
        <v>0</v>
      </c>
      <c r="AS79" s="11">
        <f t="shared" si="39"/>
        <v>0</v>
      </c>
      <c r="AT79" s="11">
        <f t="shared" si="39"/>
        <v>0</v>
      </c>
      <c r="AU79" s="11">
        <f t="shared" si="39"/>
        <v>0</v>
      </c>
      <c r="AV79" s="11">
        <f t="shared" si="39"/>
        <v>0</v>
      </c>
      <c r="AW79" s="11">
        <f t="shared" si="39"/>
        <v>0</v>
      </c>
      <c r="AX79" s="11">
        <f t="shared" si="39"/>
        <v>0</v>
      </c>
      <c r="AY79" s="11">
        <f t="shared" si="39"/>
        <v>0</v>
      </c>
      <c r="AZ79" s="11">
        <f t="shared" si="39"/>
        <v>0</v>
      </c>
      <c r="BA79" s="11">
        <f t="shared" si="39"/>
        <v>0</v>
      </c>
      <c r="BB79" s="11">
        <f t="shared" si="39"/>
        <v>0</v>
      </c>
      <c r="BC79" s="11">
        <f t="shared" si="39"/>
        <v>0</v>
      </c>
      <c r="BD79" s="11">
        <f t="shared" si="39"/>
        <v>0</v>
      </c>
      <c r="BE79" s="11">
        <f t="shared" si="39"/>
        <v>0</v>
      </c>
      <c r="BF79" s="11">
        <f t="shared" si="39"/>
        <v>0</v>
      </c>
      <c r="BG79" s="11">
        <f t="shared" si="39"/>
        <v>0</v>
      </c>
      <c r="BH79" s="11">
        <f t="shared" si="39"/>
        <v>0</v>
      </c>
      <c r="BI79" s="11">
        <f t="shared" si="39"/>
        <v>0</v>
      </c>
      <c r="BJ79" s="11">
        <f t="shared" si="39"/>
        <v>0</v>
      </c>
      <c r="BK79" s="11">
        <f t="shared" si="39"/>
        <v>0</v>
      </c>
      <c r="BL79" s="11">
        <f t="shared" si="39"/>
        <v>0</v>
      </c>
      <c r="BM79" s="11">
        <f t="shared" si="39"/>
        <v>0</v>
      </c>
      <c r="BN79" s="11">
        <f t="shared" si="39"/>
        <v>0</v>
      </c>
      <c r="BO79" s="11">
        <f t="shared" si="39"/>
        <v>0</v>
      </c>
      <c r="BP79" s="11">
        <f t="shared" ref="BP79:CZ79" si="40">SUMPRODUCT($B72:$B78,BP72:BP78)</f>
        <v>0</v>
      </c>
      <c r="BQ79" s="11">
        <f t="shared" si="40"/>
        <v>0</v>
      </c>
      <c r="BR79" s="11">
        <f t="shared" si="40"/>
        <v>0</v>
      </c>
      <c r="BS79" s="11">
        <f t="shared" si="40"/>
        <v>0</v>
      </c>
      <c r="BT79" s="11">
        <f t="shared" si="40"/>
        <v>0</v>
      </c>
      <c r="BU79" s="11">
        <f t="shared" si="40"/>
        <v>0</v>
      </c>
      <c r="BV79" s="11">
        <f t="shared" si="40"/>
        <v>0</v>
      </c>
      <c r="BW79" s="11">
        <f t="shared" si="40"/>
        <v>0</v>
      </c>
      <c r="BX79" s="11">
        <f t="shared" si="40"/>
        <v>0</v>
      </c>
      <c r="BY79" s="11">
        <f t="shared" si="40"/>
        <v>0</v>
      </c>
      <c r="BZ79" s="11">
        <f t="shared" si="40"/>
        <v>0</v>
      </c>
      <c r="CA79" s="11">
        <f t="shared" si="40"/>
        <v>0</v>
      </c>
      <c r="CB79" s="11">
        <f t="shared" si="40"/>
        <v>0</v>
      </c>
      <c r="CC79" s="11">
        <f t="shared" si="40"/>
        <v>0</v>
      </c>
      <c r="CD79" s="11">
        <f t="shared" si="40"/>
        <v>0</v>
      </c>
      <c r="CE79" s="11">
        <f t="shared" si="40"/>
        <v>0</v>
      </c>
      <c r="CF79" s="11">
        <f t="shared" si="40"/>
        <v>0</v>
      </c>
      <c r="CG79" s="11">
        <f t="shared" si="40"/>
        <v>0</v>
      </c>
      <c r="CH79" s="11">
        <f t="shared" si="40"/>
        <v>0</v>
      </c>
      <c r="CI79" s="11">
        <f t="shared" si="40"/>
        <v>0</v>
      </c>
      <c r="CJ79" s="11">
        <f t="shared" si="40"/>
        <v>0</v>
      </c>
      <c r="CK79" s="11">
        <f t="shared" si="40"/>
        <v>0</v>
      </c>
      <c r="CL79" s="11">
        <f t="shared" si="40"/>
        <v>0</v>
      </c>
      <c r="CM79" s="11">
        <f t="shared" si="40"/>
        <v>0</v>
      </c>
      <c r="CN79" s="11">
        <f t="shared" si="40"/>
        <v>0</v>
      </c>
      <c r="CO79" s="11">
        <f t="shared" si="40"/>
        <v>0</v>
      </c>
      <c r="CP79" s="11">
        <f t="shared" si="40"/>
        <v>0</v>
      </c>
      <c r="CQ79" s="11">
        <f t="shared" si="40"/>
        <v>0</v>
      </c>
      <c r="CR79" s="11">
        <f t="shared" si="40"/>
        <v>0</v>
      </c>
      <c r="CS79" s="11">
        <f t="shared" si="40"/>
        <v>0</v>
      </c>
      <c r="CT79" s="11">
        <f t="shared" si="40"/>
        <v>0</v>
      </c>
      <c r="CU79" s="11">
        <f t="shared" si="40"/>
        <v>0</v>
      </c>
      <c r="CV79" s="11">
        <f t="shared" si="40"/>
        <v>0</v>
      </c>
      <c r="CW79" s="11">
        <f t="shared" si="40"/>
        <v>0</v>
      </c>
      <c r="CX79" s="11">
        <f t="shared" si="40"/>
        <v>0</v>
      </c>
      <c r="CY79" s="11">
        <f t="shared" si="40"/>
        <v>0</v>
      </c>
      <c r="CZ79" s="11">
        <f t="shared" si="40"/>
        <v>0</v>
      </c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</row>
    <row r="80" spans="1:122" ht="18" customHeight="1">
      <c r="A80" s="13" t="s">
        <v>57</v>
      </c>
      <c r="B80" s="14">
        <f>IFERROR(VLOOKUP(A80,PRICELIST!$A$3:$D$138,4,0),"-")</f>
        <v>78.75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9">
        <f>C80+E80+G80+I80+K80+M80+O80+Q80+S80+U80+W80+Y80+AA80+AC80+AE80+AG80+AI80+AK80+AM80+AO80+AQ80+AS80+AU80+AW80+AY80+BA80+BC80+BE80+BG80+BI80+BK80+BM80+BO80+BQ80+BS80+BU80+BW80+BY80+CA80+CC80+CE80+CG80+CI80+CK80+CM80+CO80+CQ80+CS80+CU80+CW80</f>
        <v>0</v>
      </c>
      <c r="CZ80" s="19">
        <f>D80+F80+H80+J80+L80+N80+P80+R80+T80+V80+X80+Z80+AB80+AD80+AF80+AH80+AJ80+AL80+AN80+AP80+AR80+AT80+AV80+AX80+AZ80+BB80+BD80+BF80+BH80+BJ80+BL80+BN80+BP80+BR80+BT80+BV80+BX80+BZ80+CB80+CD80+CF80+CH80+CJ80+CL80+CN80+CP80+CR80+CT80+CV80+CX80</f>
        <v>0</v>
      </c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</row>
    <row r="81" spans="1:122" ht="18" customHeight="1">
      <c r="A81" s="9" t="s">
        <v>58</v>
      </c>
      <c r="B81" s="10"/>
      <c r="C81" s="11">
        <f>SUMPRODUCT($B80*C80)</f>
        <v>0</v>
      </c>
      <c r="D81" s="11">
        <f t="shared" ref="D81:BO81" si="41">SUMPRODUCT($B80*D80)</f>
        <v>0</v>
      </c>
      <c r="E81" s="11">
        <f t="shared" si="41"/>
        <v>0</v>
      </c>
      <c r="F81" s="11">
        <f t="shared" si="41"/>
        <v>0</v>
      </c>
      <c r="G81" s="11">
        <f t="shared" si="41"/>
        <v>0</v>
      </c>
      <c r="H81" s="11">
        <f t="shared" si="41"/>
        <v>0</v>
      </c>
      <c r="I81" s="11">
        <f t="shared" si="41"/>
        <v>0</v>
      </c>
      <c r="J81" s="11">
        <f t="shared" si="41"/>
        <v>0</v>
      </c>
      <c r="K81" s="11">
        <f t="shared" si="41"/>
        <v>0</v>
      </c>
      <c r="L81" s="11">
        <f t="shared" si="41"/>
        <v>0</v>
      </c>
      <c r="M81" s="11">
        <f t="shared" si="41"/>
        <v>0</v>
      </c>
      <c r="N81" s="11">
        <f t="shared" si="41"/>
        <v>0</v>
      </c>
      <c r="O81" s="11">
        <f t="shared" si="41"/>
        <v>0</v>
      </c>
      <c r="P81" s="11">
        <f t="shared" si="41"/>
        <v>0</v>
      </c>
      <c r="Q81" s="11">
        <f t="shared" si="41"/>
        <v>0</v>
      </c>
      <c r="R81" s="11">
        <f t="shared" si="41"/>
        <v>0</v>
      </c>
      <c r="S81" s="11">
        <f t="shared" si="41"/>
        <v>0</v>
      </c>
      <c r="T81" s="11">
        <f t="shared" si="41"/>
        <v>0</v>
      </c>
      <c r="U81" s="11">
        <f t="shared" si="41"/>
        <v>0</v>
      </c>
      <c r="V81" s="11">
        <f t="shared" si="41"/>
        <v>0</v>
      </c>
      <c r="W81" s="11">
        <f t="shared" si="41"/>
        <v>0</v>
      </c>
      <c r="X81" s="11">
        <f t="shared" si="41"/>
        <v>0</v>
      </c>
      <c r="Y81" s="11">
        <f t="shared" si="41"/>
        <v>0</v>
      </c>
      <c r="Z81" s="11">
        <f t="shared" si="41"/>
        <v>0</v>
      </c>
      <c r="AA81" s="11">
        <f t="shared" si="41"/>
        <v>0</v>
      </c>
      <c r="AB81" s="11">
        <f t="shared" si="41"/>
        <v>0</v>
      </c>
      <c r="AC81" s="11">
        <f t="shared" si="41"/>
        <v>0</v>
      </c>
      <c r="AD81" s="11">
        <f t="shared" si="41"/>
        <v>0</v>
      </c>
      <c r="AE81" s="11">
        <f t="shared" si="41"/>
        <v>0</v>
      </c>
      <c r="AF81" s="11">
        <f t="shared" si="41"/>
        <v>0</v>
      </c>
      <c r="AG81" s="11">
        <f t="shared" si="41"/>
        <v>0</v>
      </c>
      <c r="AH81" s="11">
        <f t="shared" si="41"/>
        <v>0</v>
      </c>
      <c r="AI81" s="11">
        <f t="shared" si="41"/>
        <v>0</v>
      </c>
      <c r="AJ81" s="11">
        <f t="shared" si="41"/>
        <v>0</v>
      </c>
      <c r="AK81" s="11">
        <f t="shared" si="41"/>
        <v>0</v>
      </c>
      <c r="AL81" s="11">
        <f t="shared" si="41"/>
        <v>0</v>
      </c>
      <c r="AM81" s="11">
        <f t="shared" si="41"/>
        <v>0</v>
      </c>
      <c r="AN81" s="11">
        <f t="shared" si="41"/>
        <v>0</v>
      </c>
      <c r="AO81" s="11">
        <f t="shared" si="41"/>
        <v>0</v>
      </c>
      <c r="AP81" s="11">
        <f t="shared" si="41"/>
        <v>0</v>
      </c>
      <c r="AQ81" s="11">
        <f t="shared" si="41"/>
        <v>0</v>
      </c>
      <c r="AR81" s="11">
        <f t="shared" si="41"/>
        <v>0</v>
      </c>
      <c r="AS81" s="11">
        <f t="shared" si="41"/>
        <v>0</v>
      </c>
      <c r="AT81" s="11">
        <f t="shared" si="41"/>
        <v>0</v>
      </c>
      <c r="AU81" s="11">
        <f t="shared" si="41"/>
        <v>0</v>
      </c>
      <c r="AV81" s="11">
        <f t="shared" si="41"/>
        <v>0</v>
      </c>
      <c r="AW81" s="11">
        <f t="shared" si="41"/>
        <v>0</v>
      </c>
      <c r="AX81" s="11">
        <f t="shared" si="41"/>
        <v>0</v>
      </c>
      <c r="AY81" s="11">
        <f t="shared" si="41"/>
        <v>0</v>
      </c>
      <c r="AZ81" s="11">
        <f t="shared" si="41"/>
        <v>0</v>
      </c>
      <c r="BA81" s="11">
        <f t="shared" si="41"/>
        <v>0</v>
      </c>
      <c r="BB81" s="11">
        <f t="shared" si="41"/>
        <v>0</v>
      </c>
      <c r="BC81" s="11">
        <f t="shared" si="41"/>
        <v>0</v>
      </c>
      <c r="BD81" s="11">
        <f t="shared" si="41"/>
        <v>0</v>
      </c>
      <c r="BE81" s="11">
        <f t="shared" si="41"/>
        <v>0</v>
      </c>
      <c r="BF81" s="11">
        <f t="shared" si="41"/>
        <v>0</v>
      </c>
      <c r="BG81" s="11">
        <f t="shared" si="41"/>
        <v>0</v>
      </c>
      <c r="BH81" s="11">
        <f t="shared" si="41"/>
        <v>0</v>
      </c>
      <c r="BI81" s="11">
        <f t="shared" si="41"/>
        <v>0</v>
      </c>
      <c r="BJ81" s="11">
        <f t="shared" si="41"/>
        <v>0</v>
      </c>
      <c r="BK81" s="11">
        <f t="shared" si="41"/>
        <v>0</v>
      </c>
      <c r="BL81" s="11">
        <f t="shared" si="41"/>
        <v>0</v>
      </c>
      <c r="BM81" s="11">
        <f t="shared" si="41"/>
        <v>0</v>
      </c>
      <c r="BN81" s="11">
        <f t="shared" si="41"/>
        <v>0</v>
      </c>
      <c r="BO81" s="11">
        <f t="shared" si="41"/>
        <v>0</v>
      </c>
      <c r="BP81" s="11">
        <f t="shared" ref="BP81:CZ81" si="42">SUMPRODUCT($B80*BP80)</f>
        <v>0</v>
      </c>
      <c r="BQ81" s="11">
        <f t="shared" si="42"/>
        <v>0</v>
      </c>
      <c r="BR81" s="11">
        <f t="shared" si="42"/>
        <v>0</v>
      </c>
      <c r="BS81" s="11">
        <f t="shared" si="42"/>
        <v>0</v>
      </c>
      <c r="BT81" s="11">
        <f t="shared" si="42"/>
        <v>0</v>
      </c>
      <c r="BU81" s="11">
        <f t="shared" si="42"/>
        <v>0</v>
      </c>
      <c r="BV81" s="11">
        <f t="shared" si="42"/>
        <v>0</v>
      </c>
      <c r="BW81" s="11">
        <f t="shared" si="42"/>
        <v>0</v>
      </c>
      <c r="BX81" s="11">
        <f t="shared" si="42"/>
        <v>0</v>
      </c>
      <c r="BY81" s="11">
        <f t="shared" si="42"/>
        <v>0</v>
      </c>
      <c r="BZ81" s="11">
        <f t="shared" si="42"/>
        <v>0</v>
      </c>
      <c r="CA81" s="11">
        <f t="shared" si="42"/>
        <v>0</v>
      </c>
      <c r="CB81" s="11">
        <f t="shared" si="42"/>
        <v>0</v>
      </c>
      <c r="CC81" s="11">
        <f t="shared" si="42"/>
        <v>0</v>
      </c>
      <c r="CD81" s="11">
        <f t="shared" si="42"/>
        <v>0</v>
      </c>
      <c r="CE81" s="11">
        <f t="shared" si="42"/>
        <v>0</v>
      </c>
      <c r="CF81" s="11">
        <f t="shared" si="42"/>
        <v>0</v>
      </c>
      <c r="CG81" s="11">
        <f t="shared" si="42"/>
        <v>0</v>
      </c>
      <c r="CH81" s="11">
        <f t="shared" si="42"/>
        <v>0</v>
      </c>
      <c r="CI81" s="11">
        <f t="shared" si="42"/>
        <v>0</v>
      </c>
      <c r="CJ81" s="11">
        <f t="shared" si="42"/>
        <v>0</v>
      </c>
      <c r="CK81" s="11">
        <f t="shared" si="42"/>
        <v>0</v>
      </c>
      <c r="CL81" s="11">
        <f t="shared" si="42"/>
        <v>0</v>
      </c>
      <c r="CM81" s="11">
        <f t="shared" si="42"/>
        <v>0</v>
      </c>
      <c r="CN81" s="11">
        <f t="shared" si="42"/>
        <v>0</v>
      </c>
      <c r="CO81" s="11">
        <f t="shared" si="42"/>
        <v>0</v>
      </c>
      <c r="CP81" s="11">
        <f t="shared" si="42"/>
        <v>0</v>
      </c>
      <c r="CQ81" s="11">
        <f t="shared" si="42"/>
        <v>0</v>
      </c>
      <c r="CR81" s="11">
        <f t="shared" si="42"/>
        <v>0</v>
      </c>
      <c r="CS81" s="11">
        <f t="shared" si="42"/>
        <v>0</v>
      </c>
      <c r="CT81" s="11">
        <f t="shared" si="42"/>
        <v>0</v>
      </c>
      <c r="CU81" s="11">
        <f t="shared" si="42"/>
        <v>0</v>
      </c>
      <c r="CV81" s="11">
        <f t="shared" si="42"/>
        <v>0</v>
      </c>
      <c r="CW81" s="11">
        <f t="shared" si="42"/>
        <v>0</v>
      </c>
      <c r="CX81" s="11">
        <f t="shared" si="42"/>
        <v>0</v>
      </c>
      <c r="CY81" s="11">
        <f t="shared" si="42"/>
        <v>0</v>
      </c>
      <c r="CZ81" s="11">
        <f t="shared" si="42"/>
        <v>0</v>
      </c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</row>
    <row r="82" spans="1:122" ht="18" customHeight="1">
      <c r="A82" s="13" t="s">
        <v>59</v>
      </c>
      <c r="B82" s="14">
        <f>IFERROR(VLOOKUP(A82,PRICELIST!$A$3:$D$138,4,0),"-")</f>
        <v>276.11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9">
        <f t="shared" ref="CY82:CZ84" si="43">C82+E82+G82+I82+K82+M82+O82+Q82+S82+U82+W82+Y82+AA82+AC82+AE82+AG82+AI82+AK82+AM82+AO82+AQ82+AS82+AU82+AW82+AY82+BA82+BC82+BE82+BG82+BI82+BK82+BM82+BO82+BQ82+BS82+BU82+BW82+BY82+CA82+CC82+CE82+CG82+CI82+CK82+CM82+CO82+CQ82+CS82+CU82+CW82</f>
        <v>0</v>
      </c>
      <c r="CZ82" s="19">
        <f t="shared" si="43"/>
        <v>0</v>
      </c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</row>
    <row r="83" spans="1:122" ht="18" customHeight="1">
      <c r="A83" s="13" t="s">
        <v>60</v>
      </c>
      <c r="B83" s="14">
        <f>IFERROR(VLOOKUP(A83,PRICELIST!$A$3:$D$138,4,0),"-")</f>
        <v>75.540000000000006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9">
        <f t="shared" si="43"/>
        <v>0</v>
      </c>
      <c r="CZ83" s="19">
        <f t="shared" si="43"/>
        <v>0</v>
      </c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</row>
    <row r="84" spans="1:122" ht="18" customHeight="1">
      <c r="A84" s="13" t="s">
        <v>61</v>
      </c>
      <c r="B84" s="14">
        <f>IFERROR(VLOOKUP(A84,PRICELIST!$A$3:$D$138,4,0),"-")</f>
        <v>145.93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9">
        <f t="shared" si="43"/>
        <v>0</v>
      </c>
      <c r="CZ84" s="19">
        <f t="shared" si="43"/>
        <v>0</v>
      </c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</row>
    <row r="85" spans="1:122" ht="18" customHeight="1">
      <c r="A85" s="13" t="s">
        <v>62</v>
      </c>
      <c r="B85" s="14">
        <f>IFERROR(VLOOKUP(A85,PRICELIST!$A$3:$D$138,4,0),"-")</f>
        <v>149.79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9">
        <f>C85+E85+G85+I85+K85+M85+O85+Q85+S85+U85+W85+Y85+AA85+AC85+AE85+AG85+AI85+AK85+AM85+AO85+AQ85+AS85+AU85+AW85+AY85+BA85+BC85+BE85+BG85+BI85+BK85+BM85+BO85+BQ85+BS85+BU85+BW85+BY85+CA85+CC85+CE85+CG85+CI85+CK85+CM85+CO85+CQ85+CS85+CU85+CW85</f>
        <v>0</v>
      </c>
      <c r="CZ85" s="19">
        <f>D85+F85+H85+J85+L85+N85+P85+R85+T85+V85+X85+Z85+AB85+AD85+AF85+AH85+AJ85+AL85+AN85+AP85+AR85+AT85+AV85+AX85+AZ85+BB85+BD85+BF85+BH85+BJ85+BL85+BN85+BP85+BR85+BT85+BV85+BX85+BZ85+CB85+CD85+CF85+CH85+CJ85+CL85+CN85+CP85+CR85+CT85+CV85+CX85</f>
        <v>0</v>
      </c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</row>
    <row r="86" spans="1:122" ht="18" customHeight="1">
      <c r="A86" s="13" t="s">
        <v>87</v>
      </c>
      <c r="B86" s="14">
        <f>IFERROR(VLOOKUP(A86,PRICELIST!$A$3:$D$138,4,0),"-")</f>
        <v>192.86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9">
        <f>C86+E86+G86+I86+K86+M86+O86+Q86+S86+U86+W86+Y86+AA86+AC86+AE86+AG86+AI86+AK86+AM86+AO86+AQ86+AS86+AU86+AW86+AY86+BA86+BC86+BE86+BG86+BI86+BK86+BM86+BO86+BQ86+BS86+BU86+BW86+BY86+CA86+CC86+CE86+CG86+CI86+CK86+CM86+CO86+CQ86+CS86+CU86+CW86</f>
        <v>0</v>
      </c>
      <c r="CZ86" s="19">
        <f>D86+F86+H86+J86+L86+N86+P86+R86+T86+V86+X86+Z86+AB86+AD86+AF86+AH86+AJ86+AL86+AN86+AP86+AR86+AT86+AV86+AX86+AZ86+BB86+BD86+BF86+BH86+BJ86+BL86+BN86+BP86+BR86+BT86+BV86+BX86+BZ86+CB86+CD86+CF86+CH86+CJ86+CL86+CN86+CP86+CR86+CT86+CV86+CX86</f>
        <v>0</v>
      </c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</row>
    <row r="87" spans="1:122" ht="18" customHeight="1">
      <c r="A87" s="13" t="s">
        <v>122</v>
      </c>
      <c r="B87" s="14">
        <f>IFERROR(VLOOKUP(A87,PRICELIST!$A$3:$D$138,4,0),"-")</f>
        <v>104.79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9">
        <f t="shared" ref="CY87:CZ87" si="44">C87+E87+G87+I87+K87+M87+O87+Q87+S87+U87+W87+Y87+AA87+AC87+AE87+AG87+AI87+AK87+AM87+AO87+AQ87+AS87+AU87+AW87+AY87+BA87+BC87+BE87+BG87+BI87+BK87+BM87+BO87+BQ87+BS87+BU87+BW87+BY87+CA87+CC87+CE87+CG87+CI87+CK87+CM87+CO87+CQ87+CS87+CU87+CW87</f>
        <v>0</v>
      </c>
      <c r="CZ87" s="19">
        <f t="shared" si="44"/>
        <v>0</v>
      </c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</row>
    <row r="88" spans="1:122" ht="18" customHeight="1">
      <c r="A88" s="9" t="s">
        <v>88</v>
      </c>
      <c r="B88" s="10"/>
      <c r="C88" s="11">
        <f>SUMPRODUCT($B82:$B87,C82:C87)</f>
        <v>0</v>
      </c>
      <c r="D88" s="11">
        <f t="shared" ref="D88:BO88" si="45">SUMPRODUCT($B82:$B87,D82:D87)</f>
        <v>0</v>
      </c>
      <c r="E88" s="11">
        <f t="shared" si="45"/>
        <v>0</v>
      </c>
      <c r="F88" s="11">
        <f t="shared" si="45"/>
        <v>0</v>
      </c>
      <c r="G88" s="11">
        <f t="shared" si="45"/>
        <v>0</v>
      </c>
      <c r="H88" s="11">
        <f t="shared" si="45"/>
        <v>0</v>
      </c>
      <c r="I88" s="11">
        <f t="shared" si="45"/>
        <v>0</v>
      </c>
      <c r="J88" s="11">
        <f t="shared" si="45"/>
        <v>0</v>
      </c>
      <c r="K88" s="11">
        <f t="shared" si="45"/>
        <v>0</v>
      </c>
      <c r="L88" s="11">
        <f t="shared" si="45"/>
        <v>0</v>
      </c>
      <c r="M88" s="11">
        <f t="shared" si="45"/>
        <v>0</v>
      </c>
      <c r="N88" s="11">
        <f t="shared" si="45"/>
        <v>0</v>
      </c>
      <c r="O88" s="11">
        <f t="shared" si="45"/>
        <v>0</v>
      </c>
      <c r="P88" s="11">
        <f t="shared" si="45"/>
        <v>0</v>
      </c>
      <c r="Q88" s="11">
        <f t="shared" si="45"/>
        <v>0</v>
      </c>
      <c r="R88" s="11">
        <f t="shared" si="45"/>
        <v>0</v>
      </c>
      <c r="S88" s="11">
        <f t="shared" si="45"/>
        <v>0</v>
      </c>
      <c r="T88" s="11">
        <f t="shared" si="45"/>
        <v>0</v>
      </c>
      <c r="U88" s="11">
        <f t="shared" si="45"/>
        <v>0</v>
      </c>
      <c r="V88" s="11">
        <f t="shared" si="45"/>
        <v>0</v>
      </c>
      <c r="W88" s="11">
        <f t="shared" si="45"/>
        <v>0</v>
      </c>
      <c r="X88" s="11">
        <f t="shared" si="45"/>
        <v>0</v>
      </c>
      <c r="Y88" s="11">
        <f t="shared" si="45"/>
        <v>0</v>
      </c>
      <c r="Z88" s="11">
        <f t="shared" si="45"/>
        <v>0</v>
      </c>
      <c r="AA88" s="11">
        <f t="shared" si="45"/>
        <v>0</v>
      </c>
      <c r="AB88" s="11">
        <f t="shared" si="45"/>
        <v>0</v>
      </c>
      <c r="AC88" s="11">
        <f t="shared" si="45"/>
        <v>0</v>
      </c>
      <c r="AD88" s="11">
        <f t="shared" si="45"/>
        <v>0</v>
      </c>
      <c r="AE88" s="11">
        <f t="shared" si="45"/>
        <v>0</v>
      </c>
      <c r="AF88" s="11">
        <f t="shared" si="45"/>
        <v>0</v>
      </c>
      <c r="AG88" s="11">
        <f t="shared" si="45"/>
        <v>0</v>
      </c>
      <c r="AH88" s="11">
        <f t="shared" si="45"/>
        <v>0</v>
      </c>
      <c r="AI88" s="11">
        <f t="shared" si="45"/>
        <v>0</v>
      </c>
      <c r="AJ88" s="11">
        <f t="shared" si="45"/>
        <v>0</v>
      </c>
      <c r="AK88" s="11">
        <f t="shared" si="45"/>
        <v>0</v>
      </c>
      <c r="AL88" s="11">
        <f t="shared" si="45"/>
        <v>0</v>
      </c>
      <c r="AM88" s="11">
        <f t="shared" si="45"/>
        <v>0</v>
      </c>
      <c r="AN88" s="11">
        <f t="shared" si="45"/>
        <v>0</v>
      </c>
      <c r="AO88" s="11">
        <f t="shared" si="45"/>
        <v>0</v>
      </c>
      <c r="AP88" s="11">
        <f t="shared" si="45"/>
        <v>0</v>
      </c>
      <c r="AQ88" s="11">
        <f t="shared" si="45"/>
        <v>0</v>
      </c>
      <c r="AR88" s="11">
        <f t="shared" si="45"/>
        <v>0</v>
      </c>
      <c r="AS88" s="11">
        <f t="shared" si="45"/>
        <v>0</v>
      </c>
      <c r="AT88" s="11">
        <f t="shared" si="45"/>
        <v>0</v>
      </c>
      <c r="AU88" s="11">
        <f t="shared" si="45"/>
        <v>0</v>
      </c>
      <c r="AV88" s="11">
        <f t="shared" si="45"/>
        <v>0</v>
      </c>
      <c r="AW88" s="11">
        <f t="shared" si="45"/>
        <v>0</v>
      </c>
      <c r="AX88" s="11">
        <f t="shared" si="45"/>
        <v>0</v>
      </c>
      <c r="AY88" s="11">
        <f t="shared" si="45"/>
        <v>0</v>
      </c>
      <c r="AZ88" s="11">
        <f t="shared" si="45"/>
        <v>0</v>
      </c>
      <c r="BA88" s="11">
        <f t="shared" si="45"/>
        <v>0</v>
      </c>
      <c r="BB88" s="11">
        <f t="shared" si="45"/>
        <v>0</v>
      </c>
      <c r="BC88" s="11">
        <f t="shared" si="45"/>
        <v>0</v>
      </c>
      <c r="BD88" s="11">
        <f t="shared" si="45"/>
        <v>0</v>
      </c>
      <c r="BE88" s="11">
        <f t="shared" si="45"/>
        <v>0</v>
      </c>
      <c r="BF88" s="11">
        <f t="shared" si="45"/>
        <v>0</v>
      </c>
      <c r="BG88" s="11">
        <f t="shared" si="45"/>
        <v>0</v>
      </c>
      <c r="BH88" s="11">
        <f t="shared" si="45"/>
        <v>0</v>
      </c>
      <c r="BI88" s="11">
        <f t="shared" si="45"/>
        <v>0</v>
      </c>
      <c r="BJ88" s="11">
        <f t="shared" si="45"/>
        <v>0</v>
      </c>
      <c r="BK88" s="11">
        <f t="shared" si="45"/>
        <v>0</v>
      </c>
      <c r="BL88" s="11">
        <f t="shared" si="45"/>
        <v>0</v>
      </c>
      <c r="BM88" s="11">
        <f t="shared" si="45"/>
        <v>0</v>
      </c>
      <c r="BN88" s="11">
        <f t="shared" si="45"/>
        <v>0</v>
      </c>
      <c r="BO88" s="11">
        <f t="shared" si="45"/>
        <v>0</v>
      </c>
      <c r="BP88" s="11">
        <f t="shared" ref="BP88:CZ88" si="46">SUMPRODUCT($B82:$B87,BP82:BP87)</f>
        <v>0</v>
      </c>
      <c r="BQ88" s="11">
        <f t="shared" si="46"/>
        <v>0</v>
      </c>
      <c r="BR88" s="11">
        <f t="shared" si="46"/>
        <v>0</v>
      </c>
      <c r="BS88" s="11">
        <f t="shared" si="46"/>
        <v>0</v>
      </c>
      <c r="BT88" s="11">
        <f t="shared" si="46"/>
        <v>0</v>
      </c>
      <c r="BU88" s="11">
        <f t="shared" si="46"/>
        <v>0</v>
      </c>
      <c r="BV88" s="11">
        <f t="shared" si="46"/>
        <v>0</v>
      </c>
      <c r="BW88" s="11">
        <f t="shared" si="46"/>
        <v>0</v>
      </c>
      <c r="BX88" s="11">
        <f t="shared" si="46"/>
        <v>0</v>
      </c>
      <c r="BY88" s="11">
        <f t="shared" si="46"/>
        <v>0</v>
      </c>
      <c r="BZ88" s="11">
        <f t="shared" si="46"/>
        <v>0</v>
      </c>
      <c r="CA88" s="11">
        <f t="shared" si="46"/>
        <v>0</v>
      </c>
      <c r="CB88" s="11">
        <f t="shared" si="46"/>
        <v>0</v>
      </c>
      <c r="CC88" s="11">
        <f t="shared" si="46"/>
        <v>0</v>
      </c>
      <c r="CD88" s="11">
        <f t="shared" si="46"/>
        <v>0</v>
      </c>
      <c r="CE88" s="11">
        <f t="shared" si="46"/>
        <v>0</v>
      </c>
      <c r="CF88" s="11">
        <f t="shared" si="46"/>
        <v>0</v>
      </c>
      <c r="CG88" s="11">
        <f t="shared" si="46"/>
        <v>0</v>
      </c>
      <c r="CH88" s="11">
        <f t="shared" si="46"/>
        <v>0</v>
      </c>
      <c r="CI88" s="11">
        <f t="shared" si="46"/>
        <v>0</v>
      </c>
      <c r="CJ88" s="11">
        <f t="shared" si="46"/>
        <v>0</v>
      </c>
      <c r="CK88" s="11">
        <f t="shared" si="46"/>
        <v>0</v>
      </c>
      <c r="CL88" s="11">
        <f t="shared" si="46"/>
        <v>0</v>
      </c>
      <c r="CM88" s="11">
        <f t="shared" si="46"/>
        <v>0</v>
      </c>
      <c r="CN88" s="11">
        <f t="shared" si="46"/>
        <v>0</v>
      </c>
      <c r="CO88" s="11">
        <f t="shared" si="46"/>
        <v>0</v>
      </c>
      <c r="CP88" s="11">
        <f t="shared" si="46"/>
        <v>0</v>
      </c>
      <c r="CQ88" s="11">
        <f t="shared" si="46"/>
        <v>0</v>
      </c>
      <c r="CR88" s="11">
        <f t="shared" si="46"/>
        <v>0</v>
      </c>
      <c r="CS88" s="11">
        <f t="shared" si="46"/>
        <v>0</v>
      </c>
      <c r="CT88" s="11">
        <f t="shared" si="46"/>
        <v>0</v>
      </c>
      <c r="CU88" s="11">
        <f t="shared" si="46"/>
        <v>0</v>
      </c>
      <c r="CV88" s="11">
        <f t="shared" si="46"/>
        <v>0</v>
      </c>
      <c r="CW88" s="11">
        <f t="shared" si="46"/>
        <v>0</v>
      </c>
      <c r="CX88" s="11">
        <f t="shared" si="46"/>
        <v>0</v>
      </c>
      <c r="CY88" s="11">
        <f t="shared" si="46"/>
        <v>0</v>
      </c>
      <c r="CZ88" s="11">
        <f t="shared" si="46"/>
        <v>0</v>
      </c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</row>
    <row r="89" spans="1:122" ht="18" customHeight="1">
      <c r="A89" s="13" t="s">
        <v>63</v>
      </c>
      <c r="B89" s="14">
        <f>IFERROR(VLOOKUP(A89,PRICELIST!$A$3:$D$138,4,0),"-")</f>
        <v>172.53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9">
        <f t="shared" ref="CY89:CZ91" si="47">C89+E89+G89+I89+K89+M89+O89+Q89+S89+U89+W89+Y89+AA89+AC89+AE89+AG89+AI89+AK89+AM89+AO89+AQ89+AS89+AU89+AW89+AY89+BA89+BC89+BE89+BG89+BI89+BK89+BM89+BO89+BQ89+BS89+BU89+BW89+BY89+CA89+CC89+CE89+CG89+CI89+CK89+CM89+CO89+CQ89+CS89+CU89+CW89</f>
        <v>0</v>
      </c>
      <c r="CZ89" s="19">
        <f t="shared" si="47"/>
        <v>0</v>
      </c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</row>
    <row r="90" spans="1:122" ht="18" customHeight="1">
      <c r="A90" s="13" t="s">
        <v>64</v>
      </c>
      <c r="B90" s="14">
        <f>IFERROR(VLOOKUP(A90,PRICELIST!$A$3:$D$138,4,0),"-")</f>
        <v>50.46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9">
        <f t="shared" si="47"/>
        <v>0</v>
      </c>
      <c r="CZ90" s="19">
        <f t="shared" si="47"/>
        <v>0</v>
      </c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</row>
    <row r="91" spans="1:122" ht="18" customHeight="1">
      <c r="A91" s="13" t="s">
        <v>65</v>
      </c>
      <c r="B91" s="14">
        <f>IFERROR(VLOOKUP(A91,PRICELIST!$A$3:$D$138,4,0),"-")</f>
        <v>99.64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9">
        <f t="shared" si="47"/>
        <v>0</v>
      </c>
      <c r="CZ91" s="19">
        <f t="shared" si="47"/>
        <v>0</v>
      </c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</row>
    <row r="92" spans="1:122" ht="18" customHeight="1">
      <c r="A92" s="9" t="s">
        <v>66</v>
      </c>
      <c r="B92" s="10"/>
      <c r="C92" s="11">
        <f>SUMPRODUCT($B89:$B91,C89:C91)</f>
        <v>0</v>
      </c>
      <c r="D92" s="11">
        <f t="shared" ref="D92:BO92" si="48">SUMPRODUCT($B89:$B91,D89:D91)</f>
        <v>0</v>
      </c>
      <c r="E92" s="11">
        <f t="shared" si="48"/>
        <v>0</v>
      </c>
      <c r="F92" s="11">
        <f t="shared" si="48"/>
        <v>0</v>
      </c>
      <c r="G92" s="11">
        <f t="shared" si="48"/>
        <v>0</v>
      </c>
      <c r="H92" s="11">
        <f t="shared" si="48"/>
        <v>0</v>
      </c>
      <c r="I92" s="11">
        <f t="shared" si="48"/>
        <v>0</v>
      </c>
      <c r="J92" s="11">
        <f t="shared" si="48"/>
        <v>0</v>
      </c>
      <c r="K92" s="11">
        <f t="shared" si="48"/>
        <v>0</v>
      </c>
      <c r="L92" s="11">
        <f t="shared" si="48"/>
        <v>0</v>
      </c>
      <c r="M92" s="11">
        <f t="shared" si="48"/>
        <v>0</v>
      </c>
      <c r="N92" s="11">
        <f t="shared" si="48"/>
        <v>0</v>
      </c>
      <c r="O92" s="11">
        <f t="shared" si="48"/>
        <v>0</v>
      </c>
      <c r="P92" s="11">
        <f t="shared" si="48"/>
        <v>0</v>
      </c>
      <c r="Q92" s="11">
        <f t="shared" si="48"/>
        <v>0</v>
      </c>
      <c r="R92" s="11">
        <f t="shared" si="48"/>
        <v>0</v>
      </c>
      <c r="S92" s="11">
        <f t="shared" si="48"/>
        <v>0</v>
      </c>
      <c r="T92" s="11">
        <f t="shared" si="48"/>
        <v>0</v>
      </c>
      <c r="U92" s="11">
        <f t="shared" si="48"/>
        <v>0</v>
      </c>
      <c r="V92" s="11">
        <f t="shared" si="48"/>
        <v>0</v>
      </c>
      <c r="W92" s="11">
        <f t="shared" si="48"/>
        <v>0</v>
      </c>
      <c r="X92" s="11">
        <f t="shared" si="48"/>
        <v>0</v>
      </c>
      <c r="Y92" s="11">
        <f t="shared" si="48"/>
        <v>0</v>
      </c>
      <c r="Z92" s="11">
        <f t="shared" si="48"/>
        <v>0</v>
      </c>
      <c r="AA92" s="11">
        <f t="shared" si="48"/>
        <v>0</v>
      </c>
      <c r="AB92" s="11">
        <f t="shared" si="48"/>
        <v>0</v>
      </c>
      <c r="AC92" s="11">
        <f t="shared" si="48"/>
        <v>0</v>
      </c>
      <c r="AD92" s="11">
        <f t="shared" si="48"/>
        <v>0</v>
      </c>
      <c r="AE92" s="11">
        <f t="shared" si="48"/>
        <v>0</v>
      </c>
      <c r="AF92" s="11">
        <f t="shared" si="48"/>
        <v>0</v>
      </c>
      <c r="AG92" s="11">
        <f t="shared" si="48"/>
        <v>0</v>
      </c>
      <c r="AH92" s="11">
        <f t="shared" si="48"/>
        <v>0</v>
      </c>
      <c r="AI92" s="11">
        <f t="shared" si="48"/>
        <v>0</v>
      </c>
      <c r="AJ92" s="11">
        <f t="shared" si="48"/>
        <v>0</v>
      </c>
      <c r="AK92" s="11">
        <f t="shared" si="48"/>
        <v>0</v>
      </c>
      <c r="AL92" s="11">
        <f t="shared" si="48"/>
        <v>0</v>
      </c>
      <c r="AM92" s="11">
        <f t="shared" si="48"/>
        <v>0</v>
      </c>
      <c r="AN92" s="11">
        <f t="shared" si="48"/>
        <v>0</v>
      </c>
      <c r="AO92" s="11">
        <f t="shared" si="48"/>
        <v>0</v>
      </c>
      <c r="AP92" s="11">
        <f t="shared" si="48"/>
        <v>0</v>
      </c>
      <c r="AQ92" s="11">
        <f t="shared" si="48"/>
        <v>0</v>
      </c>
      <c r="AR92" s="11">
        <f t="shared" si="48"/>
        <v>0</v>
      </c>
      <c r="AS92" s="11">
        <f t="shared" si="48"/>
        <v>0</v>
      </c>
      <c r="AT92" s="11">
        <f t="shared" si="48"/>
        <v>0</v>
      </c>
      <c r="AU92" s="11">
        <f t="shared" si="48"/>
        <v>0</v>
      </c>
      <c r="AV92" s="11">
        <f t="shared" si="48"/>
        <v>0</v>
      </c>
      <c r="AW92" s="11">
        <f t="shared" si="48"/>
        <v>0</v>
      </c>
      <c r="AX92" s="11">
        <f t="shared" si="48"/>
        <v>0</v>
      </c>
      <c r="AY92" s="11">
        <f t="shared" si="48"/>
        <v>0</v>
      </c>
      <c r="AZ92" s="11">
        <f t="shared" si="48"/>
        <v>0</v>
      </c>
      <c r="BA92" s="11">
        <f t="shared" si="48"/>
        <v>0</v>
      </c>
      <c r="BB92" s="11">
        <f t="shared" si="48"/>
        <v>0</v>
      </c>
      <c r="BC92" s="11">
        <f t="shared" si="48"/>
        <v>0</v>
      </c>
      <c r="BD92" s="11">
        <f t="shared" si="48"/>
        <v>0</v>
      </c>
      <c r="BE92" s="11">
        <f t="shared" si="48"/>
        <v>0</v>
      </c>
      <c r="BF92" s="11">
        <f t="shared" si="48"/>
        <v>0</v>
      </c>
      <c r="BG92" s="11">
        <f t="shared" si="48"/>
        <v>0</v>
      </c>
      <c r="BH92" s="11">
        <f t="shared" si="48"/>
        <v>0</v>
      </c>
      <c r="BI92" s="11">
        <f t="shared" si="48"/>
        <v>0</v>
      </c>
      <c r="BJ92" s="11">
        <f t="shared" si="48"/>
        <v>0</v>
      </c>
      <c r="BK92" s="11">
        <f t="shared" si="48"/>
        <v>0</v>
      </c>
      <c r="BL92" s="11">
        <f t="shared" si="48"/>
        <v>0</v>
      </c>
      <c r="BM92" s="11">
        <f t="shared" si="48"/>
        <v>0</v>
      </c>
      <c r="BN92" s="11">
        <f t="shared" si="48"/>
        <v>0</v>
      </c>
      <c r="BO92" s="11">
        <f t="shared" si="48"/>
        <v>0</v>
      </c>
      <c r="BP92" s="11">
        <f t="shared" ref="BP92:CZ92" si="49">SUMPRODUCT($B89:$B91,BP89:BP91)</f>
        <v>0</v>
      </c>
      <c r="BQ92" s="11">
        <f t="shared" si="49"/>
        <v>0</v>
      </c>
      <c r="BR92" s="11">
        <f t="shared" si="49"/>
        <v>0</v>
      </c>
      <c r="BS92" s="11">
        <f t="shared" si="49"/>
        <v>0</v>
      </c>
      <c r="BT92" s="11">
        <f t="shared" si="49"/>
        <v>0</v>
      </c>
      <c r="BU92" s="11">
        <f t="shared" si="49"/>
        <v>0</v>
      </c>
      <c r="BV92" s="11">
        <f t="shared" si="49"/>
        <v>0</v>
      </c>
      <c r="BW92" s="11">
        <f t="shared" si="49"/>
        <v>0</v>
      </c>
      <c r="BX92" s="11">
        <f t="shared" si="49"/>
        <v>0</v>
      </c>
      <c r="BY92" s="11">
        <f t="shared" si="49"/>
        <v>0</v>
      </c>
      <c r="BZ92" s="11">
        <f t="shared" si="49"/>
        <v>0</v>
      </c>
      <c r="CA92" s="11">
        <f t="shared" si="49"/>
        <v>0</v>
      </c>
      <c r="CB92" s="11">
        <f t="shared" si="49"/>
        <v>0</v>
      </c>
      <c r="CC92" s="11">
        <f t="shared" si="49"/>
        <v>0</v>
      </c>
      <c r="CD92" s="11">
        <f t="shared" si="49"/>
        <v>0</v>
      </c>
      <c r="CE92" s="11">
        <f t="shared" si="49"/>
        <v>0</v>
      </c>
      <c r="CF92" s="11">
        <f t="shared" si="49"/>
        <v>0</v>
      </c>
      <c r="CG92" s="11">
        <f t="shared" si="49"/>
        <v>0</v>
      </c>
      <c r="CH92" s="11">
        <f t="shared" si="49"/>
        <v>0</v>
      </c>
      <c r="CI92" s="11">
        <f t="shared" si="49"/>
        <v>0</v>
      </c>
      <c r="CJ92" s="11">
        <f t="shared" si="49"/>
        <v>0</v>
      </c>
      <c r="CK92" s="11">
        <f t="shared" si="49"/>
        <v>0</v>
      </c>
      <c r="CL92" s="11">
        <f t="shared" si="49"/>
        <v>0</v>
      </c>
      <c r="CM92" s="11">
        <f t="shared" si="49"/>
        <v>0</v>
      </c>
      <c r="CN92" s="11">
        <f t="shared" si="49"/>
        <v>0</v>
      </c>
      <c r="CO92" s="11">
        <f t="shared" si="49"/>
        <v>0</v>
      </c>
      <c r="CP92" s="11">
        <f t="shared" si="49"/>
        <v>0</v>
      </c>
      <c r="CQ92" s="11">
        <f t="shared" si="49"/>
        <v>0</v>
      </c>
      <c r="CR92" s="11">
        <f t="shared" si="49"/>
        <v>0</v>
      </c>
      <c r="CS92" s="11">
        <f t="shared" si="49"/>
        <v>0</v>
      </c>
      <c r="CT92" s="11">
        <f t="shared" si="49"/>
        <v>0</v>
      </c>
      <c r="CU92" s="11">
        <f t="shared" si="49"/>
        <v>0</v>
      </c>
      <c r="CV92" s="11">
        <f t="shared" si="49"/>
        <v>0</v>
      </c>
      <c r="CW92" s="11">
        <f t="shared" si="49"/>
        <v>0</v>
      </c>
      <c r="CX92" s="11">
        <f t="shared" si="49"/>
        <v>0</v>
      </c>
      <c r="CY92" s="11">
        <f t="shared" si="49"/>
        <v>0</v>
      </c>
      <c r="CZ92" s="11">
        <f t="shared" si="49"/>
        <v>0</v>
      </c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</row>
    <row r="93" spans="1:122" ht="18" customHeight="1">
      <c r="A93" s="13" t="s">
        <v>67</v>
      </c>
      <c r="B93" s="14">
        <f>IFERROR(VLOOKUP(A93,PRICELIST!$A$3:$D$138,4,0),"-")</f>
        <v>140.13999999999999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9">
        <f t="shared" ref="CY93:CZ94" si="50">C93+E93+G93+I93+K93+M93+O93+Q93+S93+U93+W93+Y93+AA93+AC93+AE93+AG93+AI93+AK93+AM93+AO93+AQ93+AS93+AU93+AW93+AY93+BA93+BC93+BE93+BG93+BI93+BK93+BM93+BO93+BQ93+BS93+BU93+BW93+BY93+CA93+CC93+CE93+CG93+CI93+CK93+CM93+CO93+CQ93+CS93+CU93+CW93</f>
        <v>0</v>
      </c>
      <c r="CZ93" s="19">
        <f t="shared" si="50"/>
        <v>0</v>
      </c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</row>
    <row r="94" spans="1:122" ht="18" customHeight="1">
      <c r="A94" s="13" t="s">
        <v>68</v>
      </c>
      <c r="B94" s="14">
        <f>IFERROR(VLOOKUP(A94,PRICELIST!$A$3:$D$138,4,0),"-")</f>
        <v>203.14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9">
        <f t="shared" si="50"/>
        <v>0</v>
      </c>
      <c r="CZ94" s="19">
        <f t="shared" si="50"/>
        <v>0</v>
      </c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</row>
    <row r="95" spans="1:122" ht="18" customHeight="1">
      <c r="A95" s="9" t="s">
        <v>69</v>
      </c>
      <c r="B95" s="10"/>
      <c r="C95" s="11">
        <f>SUMPRODUCT($B93:$B94,C93:C94)</f>
        <v>0</v>
      </c>
      <c r="D95" s="11">
        <f t="shared" ref="D95:BO95" si="51">SUMPRODUCT($B93:$B94,D93:D94)</f>
        <v>0</v>
      </c>
      <c r="E95" s="11">
        <f t="shared" si="51"/>
        <v>0</v>
      </c>
      <c r="F95" s="11">
        <f t="shared" si="51"/>
        <v>0</v>
      </c>
      <c r="G95" s="11">
        <f t="shared" si="51"/>
        <v>0</v>
      </c>
      <c r="H95" s="11">
        <f t="shared" si="51"/>
        <v>0</v>
      </c>
      <c r="I95" s="11">
        <f t="shared" si="51"/>
        <v>0</v>
      </c>
      <c r="J95" s="11">
        <f t="shared" si="51"/>
        <v>0</v>
      </c>
      <c r="K95" s="11">
        <f t="shared" si="51"/>
        <v>0</v>
      </c>
      <c r="L95" s="11">
        <f t="shared" si="51"/>
        <v>0</v>
      </c>
      <c r="M95" s="11">
        <f t="shared" si="51"/>
        <v>0</v>
      </c>
      <c r="N95" s="11">
        <f t="shared" si="51"/>
        <v>0</v>
      </c>
      <c r="O95" s="11">
        <f t="shared" si="51"/>
        <v>0</v>
      </c>
      <c r="P95" s="11">
        <f t="shared" si="51"/>
        <v>0</v>
      </c>
      <c r="Q95" s="11">
        <f t="shared" si="51"/>
        <v>0</v>
      </c>
      <c r="R95" s="11">
        <f t="shared" si="51"/>
        <v>0</v>
      </c>
      <c r="S95" s="11">
        <f t="shared" si="51"/>
        <v>0</v>
      </c>
      <c r="T95" s="11">
        <f t="shared" si="51"/>
        <v>0</v>
      </c>
      <c r="U95" s="11">
        <f t="shared" si="51"/>
        <v>0</v>
      </c>
      <c r="V95" s="11">
        <f t="shared" si="51"/>
        <v>0</v>
      </c>
      <c r="W95" s="11">
        <f t="shared" si="51"/>
        <v>0</v>
      </c>
      <c r="X95" s="11">
        <f t="shared" si="51"/>
        <v>0</v>
      </c>
      <c r="Y95" s="11">
        <f t="shared" si="51"/>
        <v>0</v>
      </c>
      <c r="Z95" s="11">
        <f t="shared" si="51"/>
        <v>0</v>
      </c>
      <c r="AA95" s="11">
        <f t="shared" si="51"/>
        <v>0</v>
      </c>
      <c r="AB95" s="11">
        <f t="shared" si="51"/>
        <v>0</v>
      </c>
      <c r="AC95" s="11">
        <f t="shared" si="51"/>
        <v>0</v>
      </c>
      <c r="AD95" s="11">
        <f t="shared" si="51"/>
        <v>0</v>
      </c>
      <c r="AE95" s="11">
        <f t="shared" si="51"/>
        <v>0</v>
      </c>
      <c r="AF95" s="11">
        <f t="shared" si="51"/>
        <v>0</v>
      </c>
      <c r="AG95" s="11">
        <f t="shared" si="51"/>
        <v>0</v>
      </c>
      <c r="AH95" s="11">
        <f t="shared" si="51"/>
        <v>0</v>
      </c>
      <c r="AI95" s="11">
        <f t="shared" si="51"/>
        <v>0</v>
      </c>
      <c r="AJ95" s="11">
        <f t="shared" si="51"/>
        <v>0</v>
      </c>
      <c r="AK95" s="11">
        <f t="shared" si="51"/>
        <v>0</v>
      </c>
      <c r="AL95" s="11">
        <f t="shared" si="51"/>
        <v>0</v>
      </c>
      <c r="AM95" s="11">
        <f t="shared" si="51"/>
        <v>0</v>
      </c>
      <c r="AN95" s="11">
        <f t="shared" si="51"/>
        <v>0</v>
      </c>
      <c r="AO95" s="11">
        <f t="shared" si="51"/>
        <v>0</v>
      </c>
      <c r="AP95" s="11">
        <f t="shared" si="51"/>
        <v>0</v>
      </c>
      <c r="AQ95" s="11">
        <f t="shared" si="51"/>
        <v>0</v>
      </c>
      <c r="AR95" s="11">
        <f t="shared" si="51"/>
        <v>0</v>
      </c>
      <c r="AS95" s="11">
        <f t="shared" si="51"/>
        <v>0</v>
      </c>
      <c r="AT95" s="11">
        <f t="shared" si="51"/>
        <v>0</v>
      </c>
      <c r="AU95" s="11">
        <f t="shared" si="51"/>
        <v>0</v>
      </c>
      <c r="AV95" s="11">
        <f t="shared" si="51"/>
        <v>0</v>
      </c>
      <c r="AW95" s="11">
        <f t="shared" si="51"/>
        <v>0</v>
      </c>
      <c r="AX95" s="11">
        <f t="shared" si="51"/>
        <v>0</v>
      </c>
      <c r="AY95" s="11">
        <f t="shared" si="51"/>
        <v>0</v>
      </c>
      <c r="AZ95" s="11">
        <f t="shared" si="51"/>
        <v>0</v>
      </c>
      <c r="BA95" s="11">
        <f t="shared" si="51"/>
        <v>0</v>
      </c>
      <c r="BB95" s="11">
        <f t="shared" si="51"/>
        <v>0</v>
      </c>
      <c r="BC95" s="11">
        <f t="shared" si="51"/>
        <v>0</v>
      </c>
      <c r="BD95" s="11">
        <f t="shared" si="51"/>
        <v>0</v>
      </c>
      <c r="BE95" s="11">
        <f t="shared" si="51"/>
        <v>0</v>
      </c>
      <c r="BF95" s="11">
        <f t="shared" si="51"/>
        <v>0</v>
      </c>
      <c r="BG95" s="11">
        <f t="shared" si="51"/>
        <v>0</v>
      </c>
      <c r="BH95" s="11">
        <f t="shared" si="51"/>
        <v>0</v>
      </c>
      <c r="BI95" s="11">
        <f t="shared" si="51"/>
        <v>0</v>
      </c>
      <c r="BJ95" s="11">
        <f t="shared" si="51"/>
        <v>0</v>
      </c>
      <c r="BK95" s="11">
        <f t="shared" si="51"/>
        <v>0</v>
      </c>
      <c r="BL95" s="11">
        <f t="shared" si="51"/>
        <v>0</v>
      </c>
      <c r="BM95" s="11">
        <f t="shared" si="51"/>
        <v>0</v>
      </c>
      <c r="BN95" s="11">
        <f t="shared" si="51"/>
        <v>0</v>
      </c>
      <c r="BO95" s="11">
        <f t="shared" si="51"/>
        <v>0</v>
      </c>
      <c r="BP95" s="11">
        <f t="shared" ref="BP95:CZ95" si="52">SUMPRODUCT($B93:$B94,BP93:BP94)</f>
        <v>0</v>
      </c>
      <c r="BQ95" s="11">
        <f t="shared" si="52"/>
        <v>0</v>
      </c>
      <c r="BR95" s="11">
        <f t="shared" si="52"/>
        <v>0</v>
      </c>
      <c r="BS95" s="11">
        <f t="shared" si="52"/>
        <v>0</v>
      </c>
      <c r="BT95" s="11">
        <f t="shared" si="52"/>
        <v>0</v>
      </c>
      <c r="BU95" s="11">
        <f t="shared" si="52"/>
        <v>0</v>
      </c>
      <c r="BV95" s="11">
        <f t="shared" si="52"/>
        <v>0</v>
      </c>
      <c r="BW95" s="11">
        <f t="shared" si="52"/>
        <v>0</v>
      </c>
      <c r="BX95" s="11">
        <f t="shared" si="52"/>
        <v>0</v>
      </c>
      <c r="BY95" s="11">
        <f t="shared" si="52"/>
        <v>0</v>
      </c>
      <c r="BZ95" s="11">
        <f t="shared" si="52"/>
        <v>0</v>
      </c>
      <c r="CA95" s="11">
        <f t="shared" si="52"/>
        <v>0</v>
      </c>
      <c r="CB95" s="11">
        <f t="shared" si="52"/>
        <v>0</v>
      </c>
      <c r="CC95" s="11">
        <f t="shared" si="52"/>
        <v>0</v>
      </c>
      <c r="CD95" s="11">
        <f t="shared" si="52"/>
        <v>0</v>
      </c>
      <c r="CE95" s="11">
        <f t="shared" si="52"/>
        <v>0</v>
      </c>
      <c r="CF95" s="11">
        <f t="shared" si="52"/>
        <v>0</v>
      </c>
      <c r="CG95" s="11">
        <f t="shared" si="52"/>
        <v>0</v>
      </c>
      <c r="CH95" s="11">
        <f t="shared" si="52"/>
        <v>0</v>
      </c>
      <c r="CI95" s="11">
        <f t="shared" si="52"/>
        <v>0</v>
      </c>
      <c r="CJ95" s="11">
        <f t="shared" si="52"/>
        <v>0</v>
      </c>
      <c r="CK95" s="11">
        <f t="shared" si="52"/>
        <v>0</v>
      </c>
      <c r="CL95" s="11">
        <f t="shared" si="52"/>
        <v>0</v>
      </c>
      <c r="CM95" s="11">
        <f t="shared" si="52"/>
        <v>0</v>
      </c>
      <c r="CN95" s="11">
        <f t="shared" si="52"/>
        <v>0</v>
      </c>
      <c r="CO95" s="11">
        <f t="shared" si="52"/>
        <v>0</v>
      </c>
      <c r="CP95" s="11">
        <f t="shared" si="52"/>
        <v>0</v>
      </c>
      <c r="CQ95" s="11">
        <f t="shared" si="52"/>
        <v>0</v>
      </c>
      <c r="CR95" s="11">
        <f t="shared" si="52"/>
        <v>0</v>
      </c>
      <c r="CS95" s="11">
        <f t="shared" si="52"/>
        <v>0</v>
      </c>
      <c r="CT95" s="11">
        <f t="shared" si="52"/>
        <v>0</v>
      </c>
      <c r="CU95" s="11">
        <f t="shared" si="52"/>
        <v>0</v>
      </c>
      <c r="CV95" s="11">
        <f t="shared" si="52"/>
        <v>0</v>
      </c>
      <c r="CW95" s="11">
        <f t="shared" si="52"/>
        <v>0</v>
      </c>
      <c r="CX95" s="11">
        <f t="shared" si="52"/>
        <v>0</v>
      </c>
      <c r="CY95" s="11">
        <f t="shared" si="52"/>
        <v>0</v>
      </c>
      <c r="CZ95" s="11">
        <f t="shared" si="52"/>
        <v>0</v>
      </c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</row>
    <row r="96" spans="1:122" ht="18" customHeight="1">
      <c r="A96" s="34" t="s">
        <v>126</v>
      </c>
      <c r="B96" s="14">
        <f>IFERROR(VLOOKUP(A96,PRICELIST!$A$3:$D$138,4,0),"-")</f>
        <v>201.54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9">
        <f t="shared" ref="CY96:CZ98" si="53">C96+E96+G96+I96+K96+M96+O96+Q96+S96+U96+W96+Y96+AA96+AC96+AE96+AG96+AI96+AK96+AM96+AO96+AQ96+AS96+AU96+AW96+AY96+BA96+BC96+BE96+BG96+BI96+BK96+BM96+BO96+BQ96+BS96+BU96+BW96+BY96+CA96+CC96+CE96+CG96+CI96+CK96+CM96+CO96+CQ96+CS96+CU96+CW96</f>
        <v>0</v>
      </c>
      <c r="CZ96" s="19">
        <f t="shared" si="53"/>
        <v>0</v>
      </c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</row>
    <row r="97" spans="1:122" ht="18" customHeight="1">
      <c r="A97" s="13" t="s">
        <v>123</v>
      </c>
      <c r="B97" s="14">
        <f>IFERROR(VLOOKUP(A97,PRICELIST!$A$3:$D$138,4,0),"-")</f>
        <v>225.64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9">
        <f t="shared" si="53"/>
        <v>0</v>
      </c>
      <c r="CZ97" s="19">
        <f t="shared" si="53"/>
        <v>0</v>
      </c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</row>
    <row r="98" spans="1:122" ht="18" customHeight="1">
      <c r="A98" s="13" t="s">
        <v>131</v>
      </c>
      <c r="B98" s="14">
        <f>IFERROR(VLOOKUP(A98,PRICELIST!$A$3:$D$138,4,0),"-")</f>
        <v>198.64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9">
        <f t="shared" si="53"/>
        <v>0</v>
      </c>
      <c r="CZ98" s="19">
        <f t="shared" si="53"/>
        <v>0</v>
      </c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</row>
    <row r="99" spans="1:122" ht="18" customHeight="1">
      <c r="A99" s="9" t="s">
        <v>70</v>
      </c>
      <c r="B99" s="10"/>
      <c r="C99" s="11">
        <f t="shared" ref="C99:BN99" si="54">SUMPRODUCT($B96:$B98,C96:C98)</f>
        <v>0</v>
      </c>
      <c r="D99" s="11">
        <f t="shared" si="54"/>
        <v>0</v>
      </c>
      <c r="E99" s="11">
        <f t="shared" si="54"/>
        <v>0</v>
      </c>
      <c r="F99" s="11">
        <f t="shared" si="54"/>
        <v>0</v>
      </c>
      <c r="G99" s="11">
        <f t="shared" si="54"/>
        <v>0</v>
      </c>
      <c r="H99" s="11">
        <f t="shared" si="54"/>
        <v>0</v>
      </c>
      <c r="I99" s="11">
        <f t="shared" si="54"/>
        <v>0</v>
      </c>
      <c r="J99" s="11">
        <f t="shared" si="54"/>
        <v>0</v>
      </c>
      <c r="K99" s="11">
        <f t="shared" si="54"/>
        <v>0</v>
      </c>
      <c r="L99" s="11">
        <f t="shared" si="54"/>
        <v>0</v>
      </c>
      <c r="M99" s="11">
        <f t="shared" si="54"/>
        <v>0</v>
      </c>
      <c r="N99" s="11">
        <f t="shared" si="54"/>
        <v>0</v>
      </c>
      <c r="O99" s="11">
        <f t="shared" si="54"/>
        <v>0</v>
      </c>
      <c r="P99" s="11">
        <f t="shared" si="54"/>
        <v>0</v>
      </c>
      <c r="Q99" s="11">
        <f t="shared" si="54"/>
        <v>0</v>
      </c>
      <c r="R99" s="11">
        <f t="shared" si="54"/>
        <v>0</v>
      </c>
      <c r="S99" s="11">
        <f t="shared" si="54"/>
        <v>0</v>
      </c>
      <c r="T99" s="11">
        <f t="shared" si="54"/>
        <v>0</v>
      </c>
      <c r="U99" s="11">
        <f t="shared" si="54"/>
        <v>0</v>
      </c>
      <c r="V99" s="11">
        <f t="shared" si="54"/>
        <v>0</v>
      </c>
      <c r="W99" s="11">
        <f t="shared" si="54"/>
        <v>0</v>
      </c>
      <c r="X99" s="11">
        <f t="shared" si="54"/>
        <v>0</v>
      </c>
      <c r="Y99" s="11">
        <f t="shared" si="54"/>
        <v>0</v>
      </c>
      <c r="Z99" s="11">
        <f t="shared" si="54"/>
        <v>0</v>
      </c>
      <c r="AA99" s="11">
        <f t="shared" si="54"/>
        <v>0</v>
      </c>
      <c r="AB99" s="11">
        <f t="shared" si="54"/>
        <v>0</v>
      </c>
      <c r="AC99" s="11">
        <f t="shared" si="54"/>
        <v>0</v>
      </c>
      <c r="AD99" s="11">
        <f t="shared" si="54"/>
        <v>0</v>
      </c>
      <c r="AE99" s="11">
        <f t="shared" si="54"/>
        <v>0</v>
      </c>
      <c r="AF99" s="11">
        <f t="shared" si="54"/>
        <v>0</v>
      </c>
      <c r="AG99" s="11">
        <f t="shared" si="54"/>
        <v>0</v>
      </c>
      <c r="AH99" s="11">
        <f t="shared" si="54"/>
        <v>0</v>
      </c>
      <c r="AI99" s="11">
        <f t="shared" si="54"/>
        <v>0</v>
      </c>
      <c r="AJ99" s="11">
        <f t="shared" si="54"/>
        <v>0</v>
      </c>
      <c r="AK99" s="11">
        <f t="shared" si="54"/>
        <v>0</v>
      </c>
      <c r="AL99" s="11">
        <f t="shared" si="54"/>
        <v>0</v>
      </c>
      <c r="AM99" s="11">
        <f t="shared" si="54"/>
        <v>0</v>
      </c>
      <c r="AN99" s="11">
        <f t="shared" si="54"/>
        <v>0</v>
      </c>
      <c r="AO99" s="11">
        <f t="shared" si="54"/>
        <v>0</v>
      </c>
      <c r="AP99" s="11">
        <f t="shared" si="54"/>
        <v>0</v>
      </c>
      <c r="AQ99" s="11">
        <f t="shared" si="54"/>
        <v>0</v>
      </c>
      <c r="AR99" s="11">
        <f t="shared" si="54"/>
        <v>0</v>
      </c>
      <c r="AS99" s="11">
        <f t="shared" si="54"/>
        <v>0</v>
      </c>
      <c r="AT99" s="11">
        <f t="shared" si="54"/>
        <v>0</v>
      </c>
      <c r="AU99" s="11">
        <f t="shared" si="54"/>
        <v>0</v>
      </c>
      <c r="AV99" s="11">
        <f t="shared" si="54"/>
        <v>0</v>
      </c>
      <c r="AW99" s="11">
        <f t="shared" si="54"/>
        <v>0</v>
      </c>
      <c r="AX99" s="11">
        <f t="shared" si="54"/>
        <v>0</v>
      </c>
      <c r="AY99" s="11">
        <f t="shared" si="54"/>
        <v>0</v>
      </c>
      <c r="AZ99" s="11">
        <f t="shared" si="54"/>
        <v>0</v>
      </c>
      <c r="BA99" s="11">
        <f t="shared" si="54"/>
        <v>0</v>
      </c>
      <c r="BB99" s="11">
        <f t="shared" si="54"/>
        <v>0</v>
      </c>
      <c r="BC99" s="11">
        <f t="shared" si="54"/>
        <v>0</v>
      </c>
      <c r="BD99" s="11">
        <f t="shared" si="54"/>
        <v>0</v>
      </c>
      <c r="BE99" s="11">
        <f t="shared" si="54"/>
        <v>0</v>
      </c>
      <c r="BF99" s="11">
        <f t="shared" si="54"/>
        <v>0</v>
      </c>
      <c r="BG99" s="11">
        <f t="shared" si="54"/>
        <v>0</v>
      </c>
      <c r="BH99" s="11">
        <f t="shared" si="54"/>
        <v>0</v>
      </c>
      <c r="BI99" s="11">
        <f t="shared" si="54"/>
        <v>0</v>
      </c>
      <c r="BJ99" s="11">
        <f t="shared" si="54"/>
        <v>0</v>
      </c>
      <c r="BK99" s="11">
        <f t="shared" si="54"/>
        <v>0</v>
      </c>
      <c r="BL99" s="11">
        <f t="shared" si="54"/>
        <v>0</v>
      </c>
      <c r="BM99" s="11">
        <f t="shared" si="54"/>
        <v>0</v>
      </c>
      <c r="BN99" s="11">
        <f t="shared" si="54"/>
        <v>0</v>
      </c>
      <c r="BO99" s="11">
        <f t="shared" ref="BO99:CZ99" si="55">SUMPRODUCT($B96:$B98,BO96:BO98)</f>
        <v>0</v>
      </c>
      <c r="BP99" s="11">
        <f t="shared" si="55"/>
        <v>0</v>
      </c>
      <c r="BQ99" s="11">
        <f t="shared" si="55"/>
        <v>0</v>
      </c>
      <c r="BR99" s="11">
        <f t="shared" si="55"/>
        <v>0</v>
      </c>
      <c r="BS99" s="11">
        <f t="shared" si="55"/>
        <v>0</v>
      </c>
      <c r="BT99" s="11">
        <f t="shared" si="55"/>
        <v>0</v>
      </c>
      <c r="BU99" s="11">
        <f t="shared" si="55"/>
        <v>0</v>
      </c>
      <c r="BV99" s="11">
        <f t="shared" si="55"/>
        <v>0</v>
      </c>
      <c r="BW99" s="11">
        <f t="shared" si="55"/>
        <v>0</v>
      </c>
      <c r="BX99" s="11">
        <f t="shared" si="55"/>
        <v>0</v>
      </c>
      <c r="BY99" s="11">
        <f t="shared" si="55"/>
        <v>0</v>
      </c>
      <c r="BZ99" s="11">
        <f t="shared" si="55"/>
        <v>0</v>
      </c>
      <c r="CA99" s="11">
        <f t="shared" si="55"/>
        <v>0</v>
      </c>
      <c r="CB99" s="11">
        <f t="shared" si="55"/>
        <v>0</v>
      </c>
      <c r="CC99" s="11">
        <f t="shared" si="55"/>
        <v>0</v>
      </c>
      <c r="CD99" s="11">
        <f t="shared" si="55"/>
        <v>0</v>
      </c>
      <c r="CE99" s="11">
        <f t="shared" si="55"/>
        <v>0</v>
      </c>
      <c r="CF99" s="11">
        <f t="shared" si="55"/>
        <v>0</v>
      </c>
      <c r="CG99" s="11">
        <f t="shared" si="55"/>
        <v>0</v>
      </c>
      <c r="CH99" s="11">
        <f t="shared" si="55"/>
        <v>0</v>
      </c>
      <c r="CI99" s="11">
        <f t="shared" si="55"/>
        <v>0</v>
      </c>
      <c r="CJ99" s="11">
        <f t="shared" si="55"/>
        <v>0</v>
      </c>
      <c r="CK99" s="11">
        <f t="shared" si="55"/>
        <v>0</v>
      </c>
      <c r="CL99" s="11">
        <f t="shared" si="55"/>
        <v>0</v>
      </c>
      <c r="CM99" s="11">
        <f t="shared" si="55"/>
        <v>0</v>
      </c>
      <c r="CN99" s="11">
        <f t="shared" si="55"/>
        <v>0</v>
      </c>
      <c r="CO99" s="11">
        <f t="shared" si="55"/>
        <v>0</v>
      </c>
      <c r="CP99" s="11">
        <f t="shared" si="55"/>
        <v>0</v>
      </c>
      <c r="CQ99" s="11">
        <f t="shared" si="55"/>
        <v>0</v>
      </c>
      <c r="CR99" s="11">
        <f t="shared" si="55"/>
        <v>0</v>
      </c>
      <c r="CS99" s="11">
        <f t="shared" si="55"/>
        <v>0</v>
      </c>
      <c r="CT99" s="11">
        <f t="shared" si="55"/>
        <v>0</v>
      </c>
      <c r="CU99" s="11">
        <f t="shared" si="55"/>
        <v>0</v>
      </c>
      <c r="CV99" s="11">
        <f t="shared" si="55"/>
        <v>0</v>
      </c>
      <c r="CW99" s="11">
        <f t="shared" si="55"/>
        <v>0</v>
      </c>
      <c r="CX99" s="11">
        <f t="shared" si="55"/>
        <v>0</v>
      </c>
      <c r="CY99" s="11">
        <f t="shared" si="55"/>
        <v>0</v>
      </c>
      <c r="CZ99" s="11">
        <f t="shared" si="55"/>
        <v>0</v>
      </c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</row>
    <row r="100" spans="1:122" ht="18" customHeight="1">
      <c r="A100" s="13" t="s">
        <v>134</v>
      </c>
      <c r="B100" s="14">
        <f>IFERROR(VLOOKUP(A100,PRICELIST!$A$3:$D$138,4,0),"-")</f>
        <v>52.46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9">
        <f t="shared" ref="CY100:CZ109" si="56">C100+E100+G100+I100+K100+M100+O100+Q100+S100+U100+W100+Y100+AA100+AC100+AE100+AG100+AI100+AK100+AM100+AO100+AQ100+AS100+AU100+AW100+AY100+BA100+BC100+BE100+BG100+BI100+BK100+BM100+BO100+BQ100+BS100+BU100+BW100+BY100+CA100+CC100+CE100+CG100+CI100+CK100+CM100+CO100+CQ100+CS100+CU100+CW100</f>
        <v>0</v>
      </c>
      <c r="CZ100" s="19">
        <f t="shared" si="56"/>
        <v>0</v>
      </c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</row>
    <row r="101" spans="1:122" ht="18" customHeight="1">
      <c r="A101" s="13" t="s">
        <v>135</v>
      </c>
      <c r="B101" s="14">
        <f>IFERROR(VLOOKUP(A101,PRICELIST!$A$3:$D$138,4,0),"-")</f>
        <v>89.62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9">
        <f t="shared" si="56"/>
        <v>0</v>
      </c>
      <c r="CZ101" s="19">
        <f t="shared" si="56"/>
        <v>0</v>
      </c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</row>
    <row r="102" spans="1:122" ht="18" customHeight="1">
      <c r="A102" s="13" t="s">
        <v>136</v>
      </c>
      <c r="B102" s="14">
        <f>IFERROR(VLOOKUP(A102,PRICELIST!$A$3:$D$138,4,0),"-")</f>
        <v>83.41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9">
        <f t="shared" si="56"/>
        <v>0</v>
      </c>
      <c r="CZ102" s="19">
        <f t="shared" si="56"/>
        <v>0</v>
      </c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</row>
    <row r="103" spans="1:122" ht="18" customHeight="1">
      <c r="A103" s="13" t="s">
        <v>137</v>
      </c>
      <c r="B103" s="14">
        <f>IFERROR(VLOOKUP(A103,PRICELIST!$A$3:$D$138,4,0),"-")</f>
        <v>109.58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9">
        <f t="shared" si="56"/>
        <v>0</v>
      </c>
      <c r="CZ103" s="19">
        <f t="shared" si="56"/>
        <v>0</v>
      </c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</row>
    <row r="104" spans="1:122" ht="18" customHeight="1">
      <c r="A104" s="13" t="s">
        <v>140</v>
      </c>
      <c r="B104" s="14">
        <f>IFERROR(VLOOKUP(A104,PRICELIST!$A$3:$D$138,4,0),"-")</f>
        <v>28.8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9">
        <f>C104+E104+G104+I104+K104+M104+O104+Q104+S104+U104+W104+Y104+AA104+AC104+AE104+AG104+AI104+AK104+AM104+AO104+AQ104+AS104+AU104+AW104+AY104+BA104+BC104+BE104+BG104+BI104+BK104+BM104+BO104+BQ104+BS104+BU104+BW104+BY104+CA104+CC104+CE104+CG104+CI104+CK104+CM104+CO104+CQ104+CS104+CU104+CW104</f>
        <v>0</v>
      </c>
      <c r="CZ104" s="19">
        <f>D104+F104+H104+J104+L104+N104+P104+R104+T104+V104+X104+Z104+AB104+AD104+AF104+AH104+AJ104+AL104+AN104+AP104+AR104+AT104+AV104+AX104+AZ104+BB104+BD104+BF104+BH104+BJ104+BL104+BN104+BP104+BR104+BT104+BV104+BX104+BZ104+CB104+CD104+CF104+CH104+CJ104+CL104+CN104+CP104+CR104+CT104+CV104+CX104</f>
        <v>0</v>
      </c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</row>
    <row r="105" spans="1:122" ht="18" customHeight="1">
      <c r="A105" s="13" t="s">
        <v>141</v>
      </c>
      <c r="B105" s="14">
        <f>IFERROR(VLOOKUP(A105,PRICELIST!$A$3:$D$138,4,0),"-")</f>
        <v>60.43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9">
        <f>C105+E105+G105+I105+K105+M105+O105+Q105+S105+U105+W105+Y105+AA105+AC105+AE105+AG105+AI105+AK105+AM105+AO105+AQ105+AS105+AU105+AW105+AY105+BA105+BC105+BE105+BG105+BI105+BK105+BM105+BO105+BQ105+BS105+BU105+BW105+BY105+CA105+CC105+CE105+CG105+CI105+CK105+CM105+CO105+CQ105+CS105+CU105+CW105</f>
        <v>0</v>
      </c>
      <c r="CZ105" s="19">
        <f>D105+F105+H105+J105+L105+N105+P105+R105+T105+V105+X105+Z105+AB105+AD105+AF105+AH105+AJ105+AL105+AN105+AP105+AR105+AT105+AV105+AX105+AZ105+BB105+BD105+BF105+BH105+BJ105+BL105+BN105+BP105+BR105+BT105+BV105+BX105+BZ105+CB105+CD105+CF105+CH105+CJ105+CL105+CN105+CP105+CR105+CT105+CV105+CX105</f>
        <v>0</v>
      </c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</row>
    <row r="106" spans="1:122" ht="18" customHeight="1">
      <c r="A106" s="13" t="s">
        <v>138</v>
      </c>
      <c r="B106" s="14">
        <f>IFERROR(VLOOKUP(A106,PRICELIST!$A$3:$D$138,4,0),"-")</f>
        <v>96.43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9">
        <f t="shared" si="56"/>
        <v>0</v>
      </c>
      <c r="CZ106" s="19">
        <f t="shared" si="56"/>
        <v>0</v>
      </c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</row>
    <row r="107" spans="1:122" ht="18" customHeight="1">
      <c r="A107" s="13" t="s">
        <v>139</v>
      </c>
      <c r="B107" s="14">
        <f>IFERROR(VLOOKUP(A107,PRICELIST!$A$3:$D$138,4,0),"-")</f>
        <v>123.43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9">
        <f t="shared" si="56"/>
        <v>0</v>
      </c>
      <c r="CZ107" s="19">
        <f t="shared" si="56"/>
        <v>0</v>
      </c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</row>
    <row r="108" spans="1:122" ht="18" customHeight="1">
      <c r="A108" s="13" t="s">
        <v>142</v>
      </c>
      <c r="B108" s="14">
        <f>IFERROR(VLOOKUP(A108,PRICELIST!$A$3:$D$138,4,0),"-")</f>
        <v>121.5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9">
        <f t="shared" si="56"/>
        <v>0</v>
      </c>
      <c r="CZ108" s="19">
        <f t="shared" si="56"/>
        <v>0</v>
      </c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</row>
    <row r="109" spans="1:122" ht="18" customHeight="1">
      <c r="A109" s="13" t="s">
        <v>143</v>
      </c>
      <c r="B109" s="14">
        <f>IFERROR(VLOOKUP(A109,PRICELIST!$A$3:$D$138,4,0),"-")</f>
        <v>109.23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9">
        <f t="shared" si="56"/>
        <v>0</v>
      </c>
      <c r="CZ109" s="19">
        <f t="shared" si="56"/>
        <v>0</v>
      </c>
    </row>
    <row r="110" spans="1:122" ht="18" customHeight="1">
      <c r="A110" s="9" t="s">
        <v>144</v>
      </c>
      <c r="B110" s="10"/>
      <c r="C110" s="11">
        <f t="shared" ref="C110:AH110" si="57">SUMPRODUCT($B100:$B109,C100:C109)</f>
        <v>0</v>
      </c>
      <c r="D110" s="11">
        <f t="shared" si="57"/>
        <v>0</v>
      </c>
      <c r="E110" s="11">
        <f t="shared" si="57"/>
        <v>0</v>
      </c>
      <c r="F110" s="11">
        <f t="shared" si="57"/>
        <v>0</v>
      </c>
      <c r="G110" s="11">
        <f t="shared" si="57"/>
        <v>0</v>
      </c>
      <c r="H110" s="11">
        <f t="shared" si="57"/>
        <v>0</v>
      </c>
      <c r="I110" s="11">
        <f t="shared" si="57"/>
        <v>0</v>
      </c>
      <c r="J110" s="11">
        <f t="shared" si="57"/>
        <v>0</v>
      </c>
      <c r="K110" s="11">
        <f t="shared" si="57"/>
        <v>0</v>
      </c>
      <c r="L110" s="11">
        <f t="shared" si="57"/>
        <v>0</v>
      </c>
      <c r="M110" s="11">
        <f t="shared" si="57"/>
        <v>0</v>
      </c>
      <c r="N110" s="11">
        <f t="shared" si="57"/>
        <v>0</v>
      </c>
      <c r="O110" s="11">
        <f t="shared" si="57"/>
        <v>0</v>
      </c>
      <c r="P110" s="11">
        <f t="shared" si="57"/>
        <v>0</v>
      </c>
      <c r="Q110" s="11">
        <f t="shared" si="57"/>
        <v>0</v>
      </c>
      <c r="R110" s="11">
        <f t="shared" si="57"/>
        <v>0</v>
      </c>
      <c r="S110" s="11">
        <f t="shared" si="57"/>
        <v>0</v>
      </c>
      <c r="T110" s="11">
        <f t="shared" si="57"/>
        <v>0</v>
      </c>
      <c r="U110" s="11">
        <f t="shared" si="57"/>
        <v>0</v>
      </c>
      <c r="V110" s="11">
        <f t="shared" si="57"/>
        <v>0</v>
      </c>
      <c r="W110" s="11">
        <f t="shared" si="57"/>
        <v>0</v>
      </c>
      <c r="X110" s="11">
        <f t="shared" si="57"/>
        <v>0</v>
      </c>
      <c r="Y110" s="11">
        <f t="shared" si="57"/>
        <v>0</v>
      </c>
      <c r="Z110" s="11">
        <f t="shared" si="57"/>
        <v>0</v>
      </c>
      <c r="AA110" s="11">
        <f t="shared" si="57"/>
        <v>0</v>
      </c>
      <c r="AB110" s="11">
        <f t="shared" si="57"/>
        <v>0</v>
      </c>
      <c r="AC110" s="11">
        <f t="shared" si="57"/>
        <v>0</v>
      </c>
      <c r="AD110" s="11">
        <f t="shared" si="57"/>
        <v>0</v>
      </c>
      <c r="AE110" s="11">
        <f t="shared" si="57"/>
        <v>0</v>
      </c>
      <c r="AF110" s="11">
        <f t="shared" si="57"/>
        <v>0</v>
      </c>
      <c r="AG110" s="11">
        <f t="shared" si="57"/>
        <v>0</v>
      </c>
      <c r="AH110" s="11">
        <f t="shared" si="57"/>
        <v>0</v>
      </c>
      <c r="AI110" s="11">
        <f t="shared" ref="AI110:BN110" si="58">SUMPRODUCT($B100:$B109,AI100:AI109)</f>
        <v>0</v>
      </c>
      <c r="AJ110" s="11">
        <f t="shared" si="58"/>
        <v>0</v>
      </c>
      <c r="AK110" s="11">
        <f t="shared" si="58"/>
        <v>0</v>
      </c>
      <c r="AL110" s="11">
        <f t="shared" si="58"/>
        <v>0</v>
      </c>
      <c r="AM110" s="11">
        <f t="shared" si="58"/>
        <v>0</v>
      </c>
      <c r="AN110" s="11">
        <f t="shared" si="58"/>
        <v>0</v>
      </c>
      <c r="AO110" s="11">
        <f t="shared" si="58"/>
        <v>0</v>
      </c>
      <c r="AP110" s="11">
        <f t="shared" si="58"/>
        <v>0</v>
      </c>
      <c r="AQ110" s="11">
        <f t="shared" si="58"/>
        <v>0</v>
      </c>
      <c r="AR110" s="11">
        <f t="shared" si="58"/>
        <v>0</v>
      </c>
      <c r="AS110" s="11">
        <f t="shared" si="58"/>
        <v>0</v>
      </c>
      <c r="AT110" s="11">
        <f t="shared" si="58"/>
        <v>0</v>
      </c>
      <c r="AU110" s="11">
        <f t="shared" si="58"/>
        <v>0</v>
      </c>
      <c r="AV110" s="11">
        <f t="shared" si="58"/>
        <v>0</v>
      </c>
      <c r="AW110" s="11">
        <f t="shared" si="58"/>
        <v>0</v>
      </c>
      <c r="AX110" s="11">
        <f t="shared" si="58"/>
        <v>0</v>
      </c>
      <c r="AY110" s="11">
        <f t="shared" si="58"/>
        <v>0</v>
      </c>
      <c r="AZ110" s="11">
        <f t="shared" si="58"/>
        <v>0</v>
      </c>
      <c r="BA110" s="11">
        <f t="shared" si="58"/>
        <v>0</v>
      </c>
      <c r="BB110" s="11">
        <f t="shared" si="58"/>
        <v>0</v>
      </c>
      <c r="BC110" s="11">
        <f t="shared" si="58"/>
        <v>0</v>
      </c>
      <c r="BD110" s="11">
        <f t="shared" si="58"/>
        <v>0</v>
      </c>
      <c r="BE110" s="11">
        <f t="shared" si="58"/>
        <v>0</v>
      </c>
      <c r="BF110" s="11">
        <f t="shared" si="58"/>
        <v>0</v>
      </c>
      <c r="BG110" s="11">
        <f t="shared" si="58"/>
        <v>0</v>
      </c>
      <c r="BH110" s="11">
        <f t="shared" si="58"/>
        <v>0</v>
      </c>
      <c r="BI110" s="11">
        <f t="shared" si="58"/>
        <v>0</v>
      </c>
      <c r="BJ110" s="11">
        <f t="shared" si="58"/>
        <v>0</v>
      </c>
      <c r="BK110" s="11">
        <f t="shared" si="58"/>
        <v>0</v>
      </c>
      <c r="BL110" s="11">
        <f t="shared" si="58"/>
        <v>0</v>
      </c>
      <c r="BM110" s="11">
        <f t="shared" si="58"/>
        <v>0</v>
      </c>
      <c r="BN110" s="11">
        <f t="shared" si="58"/>
        <v>0</v>
      </c>
      <c r="BO110" s="11">
        <f t="shared" ref="BO110:CT110" si="59">SUMPRODUCT($B100:$B109,BO100:BO109)</f>
        <v>0</v>
      </c>
      <c r="BP110" s="11">
        <f t="shared" si="59"/>
        <v>0</v>
      </c>
      <c r="BQ110" s="11">
        <f t="shared" si="59"/>
        <v>0</v>
      </c>
      <c r="BR110" s="11">
        <f t="shared" si="59"/>
        <v>0</v>
      </c>
      <c r="BS110" s="11">
        <f t="shared" si="59"/>
        <v>0</v>
      </c>
      <c r="BT110" s="11">
        <f t="shared" si="59"/>
        <v>0</v>
      </c>
      <c r="BU110" s="11">
        <f t="shared" si="59"/>
        <v>0</v>
      </c>
      <c r="BV110" s="11">
        <f t="shared" si="59"/>
        <v>0</v>
      </c>
      <c r="BW110" s="11">
        <f t="shared" si="59"/>
        <v>0</v>
      </c>
      <c r="BX110" s="11">
        <f t="shared" si="59"/>
        <v>0</v>
      </c>
      <c r="BY110" s="11">
        <f t="shared" si="59"/>
        <v>0</v>
      </c>
      <c r="BZ110" s="11">
        <f t="shared" si="59"/>
        <v>0</v>
      </c>
      <c r="CA110" s="11">
        <f t="shared" si="59"/>
        <v>0</v>
      </c>
      <c r="CB110" s="11">
        <f t="shared" si="59"/>
        <v>0</v>
      </c>
      <c r="CC110" s="11">
        <f t="shared" si="59"/>
        <v>0</v>
      </c>
      <c r="CD110" s="11">
        <f t="shared" si="59"/>
        <v>0</v>
      </c>
      <c r="CE110" s="11">
        <f t="shared" si="59"/>
        <v>0</v>
      </c>
      <c r="CF110" s="11">
        <f t="shared" si="59"/>
        <v>0</v>
      </c>
      <c r="CG110" s="11">
        <f t="shared" si="59"/>
        <v>0</v>
      </c>
      <c r="CH110" s="11">
        <f t="shared" si="59"/>
        <v>0</v>
      </c>
      <c r="CI110" s="11">
        <f t="shared" si="59"/>
        <v>0</v>
      </c>
      <c r="CJ110" s="11">
        <f t="shared" si="59"/>
        <v>0</v>
      </c>
      <c r="CK110" s="11">
        <f t="shared" si="59"/>
        <v>0</v>
      </c>
      <c r="CL110" s="11">
        <f t="shared" si="59"/>
        <v>0</v>
      </c>
      <c r="CM110" s="11">
        <f t="shared" si="59"/>
        <v>0</v>
      </c>
      <c r="CN110" s="11">
        <f t="shared" si="59"/>
        <v>0</v>
      </c>
      <c r="CO110" s="11">
        <f t="shared" si="59"/>
        <v>0</v>
      </c>
      <c r="CP110" s="11">
        <f t="shared" si="59"/>
        <v>0</v>
      </c>
      <c r="CQ110" s="11">
        <f t="shared" si="59"/>
        <v>0</v>
      </c>
      <c r="CR110" s="11">
        <f t="shared" si="59"/>
        <v>0</v>
      </c>
      <c r="CS110" s="11">
        <f t="shared" si="59"/>
        <v>0</v>
      </c>
      <c r="CT110" s="11">
        <f t="shared" si="59"/>
        <v>0</v>
      </c>
      <c r="CU110" s="11">
        <f t="shared" ref="CU110:CZ110" si="60">SUMPRODUCT($B100:$B109,CU100:CU109)</f>
        <v>0</v>
      </c>
      <c r="CV110" s="11">
        <f t="shared" si="60"/>
        <v>0</v>
      </c>
      <c r="CW110" s="11">
        <f t="shared" si="60"/>
        <v>0</v>
      </c>
      <c r="CX110" s="11">
        <f t="shared" si="60"/>
        <v>0</v>
      </c>
      <c r="CY110" s="11">
        <f t="shared" si="60"/>
        <v>0</v>
      </c>
      <c r="CZ110" s="11">
        <f t="shared" si="60"/>
        <v>0</v>
      </c>
    </row>
    <row r="111" spans="1:122">
      <c r="A111" s="13" t="s">
        <v>146</v>
      </c>
      <c r="B111" s="14">
        <f>IFERROR(VLOOKUP(A111,PRICELIST!$A$3:$D$138,4,0),"-")</f>
        <v>31.29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9">
        <f t="shared" ref="CY111:CZ114" si="61">C111+E111+G111+I111+K111+M111+O111+Q111+S111+U111+W111+Y111+AA111+AC111+AE111+AG111+AI111+AK111+AM111+AO111+AQ111+AS111+AU111+AW111+AY111+BA111+BC111+BE111+BG111+BI111+BK111+BM111+BO111+BQ111+BS111+BU111+BW111+BY111+CA111+CC111+CE111+CG111+CI111+CK111+CM111+CO111+CQ111+CS111+CU111+CW111</f>
        <v>0</v>
      </c>
      <c r="CZ111" s="19">
        <f t="shared" si="61"/>
        <v>0</v>
      </c>
    </row>
    <row r="112" spans="1:122">
      <c r="A112" s="13" t="s">
        <v>147</v>
      </c>
      <c r="B112" s="14">
        <f>IFERROR(VLOOKUP(A112,PRICELIST!$A$3:$D$138,4,0),"-")</f>
        <v>68.36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9">
        <f t="shared" si="61"/>
        <v>0</v>
      </c>
      <c r="CZ112" s="19">
        <f t="shared" si="61"/>
        <v>0</v>
      </c>
    </row>
    <row r="113" spans="1:104">
      <c r="A113" s="13" t="s">
        <v>148</v>
      </c>
      <c r="B113" s="14">
        <f>IFERROR(VLOOKUP(A113,PRICELIST!$A$3:$D$138,4,0),"-")</f>
        <v>210.72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9">
        <f t="shared" si="61"/>
        <v>0</v>
      </c>
      <c r="CZ113" s="19">
        <f t="shared" si="61"/>
        <v>0</v>
      </c>
    </row>
    <row r="114" spans="1:104">
      <c r="A114" s="13" t="s">
        <v>149</v>
      </c>
      <c r="B114" s="14">
        <f>IFERROR(VLOOKUP(A114,PRICELIST!$A$3:$D$138,4,0),"-")</f>
        <v>180.9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9">
        <f t="shared" si="61"/>
        <v>0</v>
      </c>
      <c r="CZ114" s="19">
        <f t="shared" si="61"/>
        <v>0</v>
      </c>
    </row>
    <row r="115" spans="1:104">
      <c r="A115" s="9" t="s">
        <v>145</v>
      </c>
      <c r="B115" s="10"/>
      <c r="C115" s="11">
        <f>SUMPRODUCT($B111:$B114,C111:C114)</f>
        <v>0</v>
      </c>
      <c r="D115" s="11">
        <f t="shared" ref="D115:BO115" si="62">SUMPRODUCT($B111:$B114,D111:D114)</f>
        <v>0</v>
      </c>
      <c r="E115" s="11">
        <f t="shared" si="62"/>
        <v>0</v>
      </c>
      <c r="F115" s="11">
        <f t="shared" si="62"/>
        <v>0</v>
      </c>
      <c r="G115" s="11">
        <f t="shared" si="62"/>
        <v>0</v>
      </c>
      <c r="H115" s="11">
        <f t="shared" si="62"/>
        <v>0</v>
      </c>
      <c r="I115" s="11">
        <f t="shared" si="62"/>
        <v>0</v>
      </c>
      <c r="J115" s="11">
        <f t="shared" si="62"/>
        <v>0</v>
      </c>
      <c r="K115" s="11">
        <f t="shared" si="62"/>
        <v>0</v>
      </c>
      <c r="L115" s="11">
        <f t="shared" si="62"/>
        <v>0</v>
      </c>
      <c r="M115" s="11">
        <f t="shared" si="62"/>
        <v>0</v>
      </c>
      <c r="N115" s="11">
        <f t="shared" si="62"/>
        <v>0</v>
      </c>
      <c r="O115" s="11">
        <f t="shared" si="62"/>
        <v>0</v>
      </c>
      <c r="P115" s="11">
        <f t="shared" si="62"/>
        <v>0</v>
      </c>
      <c r="Q115" s="11">
        <f t="shared" si="62"/>
        <v>0</v>
      </c>
      <c r="R115" s="11">
        <f t="shared" si="62"/>
        <v>0</v>
      </c>
      <c r="S115" s="11">
        <f t="shared" si="62"/>
        <v>0</v>
      </c>
      <c r="T115" s="11">
        <f t="shared" si="62"/>
        <v>0</v>
      </c>
      <c r="U115" s="11">
        <f t="shared" si="62"/>
        <v>0</v>
      </c>
      <c r="V115" s="11">
        <f t="shared" si="62"/>
        <v>0</v>
      </c>
      <c r="W115" s="11">
        <f t="shared" si="62"/>
        <v>0</v>
      </c>
      <c r="X115" s="11">
        <f t="shared" si="62"/>
        <v>0</v>
      </c>
      <c r="Y115" s="11">
        <f t="shared" si="62"/>
        <v>0</v>
      </c>
      <c r="Z115" s="11">
        <f t="shared" si="62"/>
        <v>0</v>
      </c>
      <c r="AA115" s="11">
        <f t="shared" si="62"/>
        <v>0</v>
      </c>
      <c r="AB115" s="11">
        <f t="shared" si="62"/>
        <v>0</v>
      </c>
      <c r="AC115" s="11">
        <f t="shared" si="62"/>
        <v>0</v>
      </c>
      <c r="AD115" s="11">
        <f t="shared" si="62"/>
        <v>0</v>
      </c>
      <c r="AE115" s="11">
        <f t="shared" si="62"/>
        <v>0</v>
      </c>
      <c r="AF115" s="11">
        <f t="shared" si="62"/>
        <v>0</v>
      </c>
      <c r="AG115" s="11">
        <f t="shared" si="62"/>
        <v>0</v>
      </c>
      <c r="AH115" s="11">
        <f t="shared" si="62"/>
        <v>0</v>
      </c>
      <c r="AI115" s="11">
        <f t="shared" si="62"/>
        <v>0</v>
      </c>
      <c r="AJ115" s="11">
        <f t="shared" si="62"/>
        <v>0</v>
      </c>
      <c r="AK115" s="11">
        <f t="shared" si="62"/>
        <v>0</v>
      </c>
      <c r="AL115" s="11">
        <f t="shared" si="62"/>
        <v>0</v>
      </c>
      <c r="AM115" s="11">
        <f t="shared" si="62"/>
        <v>0</v>
      </c>
      <c r="AN115" s="11">
        <f t="shared" si="62"/>
        <v>0</v>
      </c>
      <c r="AO115" s="11">
        <f t="shared" si="62"/>
        <v>0</v>
      </c>
      <c r="AP115" s="11">
        <f t="shared" si="62"/>
        <v>0</v>
      </c>
      <c r="AQ115" s="11">
        <f t="shared" si="62"/>
        <v>0</v>
      </c>
      <c r="AR115" s="11">
        <f t="shared" si="62"/>
        <v>0</v>
      </c>
      <c r="AS115" s="11">
        <f t="shared" si="62"/>
        <v>0</v>
      </c>
      <c r="AT115" s="11">
        <f t="shared" si="62"/>
        <v>0</v>
      </c>
      <c r="AU115" s="11">
        <f t="shared" si="62"/>
        <v>0</v>
      </c>
      <c r="AV115" s="11">
        <f t="shared" si="62"/>
        <v>0</v>
      </c>
      <c r="AW115" s="11">
        <f t="shared" si="62"/>
        <v>0</v>
      </c>
      <c r="AX115" s="11">
        <f t="shared" si="62"/>
        <v>0</v>
      </c>
      <c r="AY115" s="11">
        <f t="shared" si="62"/>
        <v>0</v>
      </c>
      <c r="AZ115" s="11">
        <f t="shared" si="62"/>
        <v>0</v>
      </c>
      <c r="BA115" s="11">
        <f t="shared" si="62"/>
        <v>0</v>
      </c>
      <c r="BB115" s="11">
        <f t="shared" si="62"/>
        <v>0</v>
      </c>
      <c r="BC115" s="11">
        <f t="shared" si="62"/>
        <v>0</v>
      </c>
      <c r="BD115" s="11">
        <f t="shared" si="62"/>
        <v>0</v>
      </c>
      <c r="BE115" s="11">
        <f t="shared" si="62"/>
        <v>0</v>
      </c>
      <c r="BF115" s="11">
        <f t="shared" si="62"/>
        <v>0</v>
      </c>
      <c r="BG115" s="11">
        <f t="shared" si="62"/>
        <v>0</v>
      </c>
      <c r="BH115" s="11">
        <f t="shared" si="62"/>
        <v>0</v>
      </c>
      <c r="BI115" s="11">
        <f t="shared" si="62"/>
        <v>0</v>
      </c>
      <c r="BJ115" s="11">
        <f t="shared" si="62"/>
        <v>0</v>
      </c>
      <c r="BK115" s="11">
        <f t="shared" si="62"/>
        <v>0</v>
      </c>
      <c r="BL115" s="11">
        <f t="shared" si="62"/>
        <v>0</v>
      </c>
      <c r="BM115" s="11">
        <f t="shared" si="62"/>
        <v>0</v>
      </c>
      <c r="BN115" s="11">
        <f t="shared" si="62"/>
        <v>0</v>
      </c>
      <c r="BO115" s="11">
        <f t="shared" si="62"/>
        <v>0</v>
      </c>
      <c r="BP115" s="11">
        <f t="shared" ref="BP115:CZ115" si="63">SUMPRODUCT($B111:$B114,BP111:BP114)</f>
        <v>0</v>
      </c>
      <c r="BQ115" s="11">
        <f t="shared" si="63"/>
        <v>0</v>
      </c>
      <c r="BR115" s="11">
        <f t="shared" si="63"/>
        <v>0</v>
      </c>
      <c r="BS115" s="11">
        <f t="shared" si="63"/>
        <v>0</v>
      </c>
      <c r="BT115" s="11">
        <f t="shared" si="63"/>
        <v>0</v>
      </c>
      <c r="BU115" s="11">
        <f t="shared" si="63"/>
        <v>0</v>
      </c>
      <c r="BV115" s="11">
        <f t="shared" si="63"/>
        <v>0</v>
      </c>
      <c r="BW115" s="11">
        <f t="shared" si="63"/>
        <v>0</v>
      </c>
      <c r="BX115" s="11">
        <f t="shared" si="63"/>
        <v>0</v>
      </c>
      <c r="BY115" s="11">
        <f t="shared" si="63"/>
        <v>0</v>
      </c>
      <c r="BZ115" s="11">
        <f t="shared" si="63"/>
        <v>0</v>
      </c>
      <c r="CA115" s="11">
        <f t="shared" si="63"/>
        <v>0</v>
      </c>
      <c r="CB115" s="11">
        <f t="shared" si="63"/>
        <v>0</v>
      </c>
      <c r="CC115" s="11">
        <f t="shared" si="63"/>
        <v>0</v>
      </c>
      <c r="CD115" s="11">
        <f t="shared" si="63"/>
        <v>0</v>
      </c>
      <c r="CE115" s="11">
        <f t="shared" si="63"/>
        <v>0</v>
      </c>
      <c r="CF115" s="11">
        <f t="shared" si="63"/>
        <v>0</v>
      </c>
      <c r="CG115" s="11">
        <f t="shared" si="63"/>
        <v>0</v>
      </c>
      <c r="CH115" s="11">
        <f t="shared" si="63"/>
        <v>0</v>
      </c>
      <c r="CI115" s="11">
        <f t="shared" si="63"/>
        <v>0</v>
      </c>
      <c r="CJ115" s="11">
        <f t="shared" si="63"/>
        <v>0</v>
      </c>
      <c r="CK115" s="11">
        <f t="shared" si="63"/>
        <v>0</v>
      </c>
      <c r="CL115" s="11">
        <f t="shared" si="63"/>
        <v>0</v>
      </c>
      <c r="CM115" s="11">
        <f t="shared" si="63"/>
        <v>0</v>
      </c>
      <c r="CN115" s="11">
        <f t="shared" si="63"/>
        <v>0</v>
      </c>
      <c r="CO115" s="11">
        <f t="shared" si="63"/>
        <v>0</v>
      </c>
      <c r="CP115" s="11">
        <f t="shared" si="63"/>
        <v>0</v>
      </c>
      <c r="CQ115" s="11">
        <f t="shared" si="63"/>
        <v>0</v>
      </c>
      <c r="CR115" s="11">
        <f t="shared" si="63"/>
        <v>0</v>
      </c>
      <c r="CS115" s="11">
        <f t="shared" si="63"/>
        <v>0</v>
      </c>
      <c r="CT115" s="11">
        <f t="shared" si="63"/>
        <v>0</v>
      </c>
      <c r="CU115" s="11">
        <f t="shared" si="63"/>
        <v>0</v>
      </c>
      <c r="CV115" s="11">
        <f t="shared" si="63"/>
        <v>0</v>
      </c>
      <c r="CW115" s="11">
        <f t="shared" si="63"/>
        <v>0</v>
      </c>
      <c r="CX115" s="11">
        <f t="shared" si="63"/>
        <v>0</v>
      </c>
      <c r="CY115" s="11">
        <f t="shared" si="63"/>
        <v>0</v>
      </c>
      <c r="CZ115" s="11">
        <f t="shared" si="63"/>
        <v>0</v>
      </c>
    </row>
    <row r="116" spans="1:104">
      <c r="A116" s="4"/>
      <c r="B116" s="14" t="str">
        <f>IFERROR(VLOOKUP(A116,PRICELIST!$A$3:$D$138,4,0),"-")</f>
        <v>-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9">
        <f t="shared" ref="CY116:CZ118" si="64">C116+E116+G116+I116+K116+M116+O116+Q116+S116+U116+W116+Y116+AA116+AC116+AE116+AG116+AI116+AK116+AM116+AO116+AQ116+AS116+AU116+AW116+AY116+BA116+BC116+BE116+BG116+BI116+BK116+BM116+BO116+BQ116+BS116+BU116+BW116+BY116+CA116+CC116+CE116+CG116+CI116+CK116+CM116+CO116+CQ116+CS116+CU116+CW116</f>
        <v>0</v>
      </c>
      <c r="CZ116" s="19">
        <f t="shared" si="64"/>
        <v>0</v>
      </c>
    </row>
    <row r="117" spans="1:104">
      <c r="A117" s="4"/>
      <c r="B117" s="14" t="str">
        <f>IFERROR(VLOOKUP(A117,PRICELIST!$A$3:$D$138,4,0),"-")</f>
        <v>-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9">
        <f t="shared" si="64"/>
        <v>0</v>
      </c>
      <c r="CZ117" s="19">
        <f t="shared" si="64"/>
        <v>0</v>
      </c>
    </row>
    <row r="118" spans="1:104">
      <c r="A118" s="4"/>
      <c r="B118" s="14" t="str">
        <f>IFERROR(VLOOKUP(A118,PRICELIST!$A$3:$D$138,4,0),"-")</f>
        <v>-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9">
        <f t="shared" si="64"/>
        <v>0</v>
      </c>
      <c r="CZ118" s="19">
        <f t="shared" si="64"/>
        <v>0</v>
      </c>
    </row>
    <row r="119" spans="1:104">
      <c r="A119" s="9"/>
      <c r="B119" s="15"/>
      <c r="C119" s="5">
        <f>SUMPRODUCT($B116:$B118,C116:C118)</f>
        <v>0</v>
      </c>
      <c r="D119" s="5">
        <f t="shared" ref="D119:BO119" si="65">SUMPRODUCT($B116:$B118,D116:D118)</f>
        <v>0</v>
      </c>
      <c r="E119" s="5">
        <f t="shared" si="65"/>
        <v>0</v>
      </c>
      <c r="F119" s="5">
        <f t="shared" si="65"/>
        <v>0</v>
      </c>
      <c r="G119" s="5">
        <f t="shared" si="65"/>
        <v>0</v>
      </c>
      <c r="H119" s="5">
        <f t="shared" si="65"/>
        <v>0</v>
      </c>
      <c r="I119" s="5">
        <f t="shared" si="65"/>
        <v>0</v>
      </c>
      <c r="J119" s="5">
        <f t="shared" si="65"/>
        <v>0</v>
      </c>
      <c r="K119" s="5">
        <f t="shared" si="65"/>
        <v>0</v>
      </c>
      <c r="L119" s="5">
        <f t="shared" si="65"/>
        <v>0</v>
      </c>
      <c r="M119" s="5">
        <f t="shared" si="65"/>
        <v>0</v>
      </c>
      <c r="N119" s="5">
        <f t="shared" si="65"/>
        <v>0</v>
      </c>
      <c r="O119" s="5">
        <f t="shared" si="65"/>
        <v>0</v>
      </c>
      <c r="P119" s="5">
        <f t="shared" si="65"/>
        <v>0</v>
      </c>
      <c r="Q119" s="5">
        <f t="shared" si="65"/>
        <v>0</v>
      </c>
      <c r="R119" s="5">
        <f t="shared" si="65"/>
        <v>0</v>
      </c>
      <c r="S119" s="5">
        <f t="shared" si="65"/>
        <v>0</v>
      </c>
      <c r="T119" s="5">
        <f t="shared" si="65"/>
        <v>0</v>
      </c>
      <c r="U119" s="5">
        <f t="shared" si="65"/>
        <v>0</v>
      </c>
      <c r="V119" s="5">
        <f t="shared" si="65"/>
        <v>0</v>
      </c>
      <c r="W119" s="5">
        <f t="shared" si="65"/>
        <v>0</v>
      </c>
      <c r="X119" s="5">
        <f t="shared" si="65"/>
        <v>0</v>
      </c>
      <c r="Y119" s="5">
        <f t="shared" si="65"/>
        <v>0</v>
      </c>
      <c r="Z119" s="5">
        <f t="shared" si="65"/>
        <v>0</v>
      </c>
      <c r="AA119" s="5">
        <f t="shared" si="65"/>
        <v>0</v>
      </c>
      <c r="AB119" s="5">
        <f t="shared" si="65"/>
        <v>0</v>
      </c>
      <c r="AC119" s="5">
        <f t="shared" si="65"/>
        <v>0</v>
      </c>
      <c r="AD119" s="5">
        <f t="shared" si="65"/>
        <v>0</v>
      </c>
      <c r="AE119" s="5">
        <f t="shared" si="65"/>
        <v>0</v>
      </c>
      <c r="AF119" s="5">
        <f t="shared" si="65"/>
        <v>0</v>
      </c>
      <c r="AG119" s="5">
        <f t="shared" si="65"/>
        <v>0</v>
      </c>
      <c r="AH119" s="5">
        <f t="shared" si="65"/>
        <v>0</v>
      </c>
      <c r="AI119" s="5">
        <f t="shared" si="65"/>
        <v>0</v>
      </c>
      <c r="AJ119" s="5">
        <f t="shared" si="65"/>
        <v>0</v>
      </c>
      <c r="AK119" s="5">
        <f t="shared" si="65"/>
        <v>0</v>
      </c>
      <c r="AL119" s="5">
        <f t="shared" si="65"/>
        <v>0</v>
      </c>
      <c r="AM119" s="5">
        <f t="shared" si="65"/>
        <v>0</v>
      </c>
      <c r="AN119" s="5">
        <f t="shared" si="65"/>
        <v>0</v>
      </c>
      <c r="AO119" s="5">
        <f t="shared" si="65"/>
        <v>0</v>
      </c>
      <c r="AP119" s="5">
        <f t="shared" si="65"/>
        <v>0</v>
      </c>
      <c r="AQ119" s="5">
        <f t="shared" si="65"/>
        <v>0</v>
      </c>
      <c r="AR119" s="5">
        <f t="shared" si="65"/>
        <v>0</v>
      </c>
      <c r="AS119" s="5">
        <f t="shared" si="65"/>
        <v>0</v>
      </c>
      <c r="AT119" s="5">
        <f t="shared" si="65"/>
        <v>0</v>
      </c>
      <c r="AU119" s="5">
        <f t="shared" si="65"/>
        <v>0</v>
      </c>
      <c r="AV119" s="5">
        <f t="shared" si="65"/>
        <v>0</v>
      </c>
      <c r="AW119" s="5">
        <f t="shared" si="65"/>
        <v>0</v>
      </c>
      <c r="AX119" s="5">
        <f t="shared" si="65"/>
        <v>0</v>
      </c>
      <c r="AY119" s="5">
        <f t="shared" si="65"/>
        <v>0</v>
      </c>
      <c r="AZ119" s="5">
        <f t="shared" si="65"/>
        <v>0</v>
      </c>
      <c r="BA119" s="5">
        <f t="shared" si="65"/>
        <v>0</v>
      </c>
      <c r="BB119" s="5">
        <f t="shared" si="65"/>
        <v>0</v>
      </c>
      <c r="BC119" s="5">
        <f t="shared" si="65"/>
        <v>0</v>
      </c>
      <c r="BD119" s="5">
        <f t="shared" si="65"/>
        <v>0</v>
      </c>
      <c r="BE119" s="5">
        <f t="shared" si="65"/>
        <v>0</v>
      </c>
      <c r="BF119" s="5">
        <f t="shared" si="65"/>
        <v>0</v>
      </c>
      <c r="BG119" s="5">
        <f t="shared" si="65"/>
        <v>0</v>
      </c>
      <c r="BH119" s="5">
        <f t="shared" si="65"/>
        <v>0</v>
      </c>
      <c r="BI119" s="5">
        <f t="shared" si="65"/>
        <v>0</v>
      </c>
      <c r="BJ119" s="5">
        <f t="shared" si="65"/>
        <v>0</v>
      </c>
      <c r="BK119" s="5">
        <f t="shared" si="65"/>
        <v>0</v>
      </c>
      <c r="BL119" s="5">
        <f t="shared" si="65"/>
        <v>0</v>
      </c>
      <c r="BM119" s="5">
        <f t="shared" si="65"/>
        <v>0</v>
      </c>
      <c r="BN119" s="5">
        <f t="shared" si="65"/>
        <v>0</v>
      </c>
      <c r="BO119" s="5">
        <f t="shared" si="65"/>
        <v>0</v>
      </c>
      <c r="BP119" s="5">
        <f t="shared" ref="BP119:CZ119" si="66">SUMPRODUCT($B116:$B118,BP116:BP118)</f>
        <v>0</v>
      </c>
      <c r="BQ119" s="5">
        <f t="shared" si="66"/>
        <v>0</v>
      </c>
      <c r="BR119" s="5">
        <f t="shared" si="66"/>
        <v>0</v>
      </c>
      <c r="BS119" s="5">
        <f t="shared" si="66"/>
        <v>0</v>
      </c>
      <c r="BT119" s="5">
        <f t="shared" si="66"/>
        <v>0</v>
      </c>
      <c r="BU119" s="5">
        <f t="shared" si="66"/>
        <v>0</v>
      </c>
      <c r="BV119" s="5">
        <f t="shared" si="66"/>
        <v>0</v>
      </c>
      <c r="BW119" s="5">
        <f t="shared" si="66"/>
        <v>0</v>
      </c>
      <c r="BX119" s="5">
        <f t="shared" si="66"/>
        <v>0</v>
      </c>
      <c r="BY119" s="5">
        <f t="shared" si="66"/>
        <v>0</v>
      </c>
      <c r="BZ119" s="5">
        <f t="shared" si="66"/>
        <v>0</v>
      </c>
      <c r="CA119" s="5">
        <f t="shared" si="66"/>
        <v>0</v>
      </c>
      <c r="CB119" s="5">
        <f t="shared" si="66"/>
        <v>0</v>
      </c>
      <c r="CC119" s="5">
        <f t="shared" si="66"/>
        <v>0</v>
      </c>
      <c r="CD119" s="5">
        <f t="shared" si="66"/>
        <v>0</v>
      </c>
      <c r="CE119" s="5">
        <f t="shared" si="66"/>
        <v>0</v>
      </c>
      <c r="CF119" s="5">
        <f t="shared" si="66"/>
        <v>0</v>
      </c>
      <c r="CG119" s="5">
        <f t="shared" si="66"/>
        <v>0</v>
      </c>
      <c r="CH119" s="5">
        <f t="shared" si="66"/>
        <v>0</v>
      </c>
      <c r="CI119" s="5">
        <f t="shared" si="66"/>
        <v>0</v>
      </c>
      <c r="CJ119" s="5">
        <f t="shared" si="66"/>
        <v>0</v>
      </c>
      <c r="CK119" s="5">
        <f t="shared" si="66"/>
        <v>0</v>
      </c>
      <c r="CL119" s="5">
        <f t="shared" si="66"/>
        <v>0</v>
      </c>
      <c r="CM119" s="5">
        <f t="shared" si="66"/>
        <v>0</v>
      </c>
      <c r="CN119" s="5">
        <f t="shared" si="66"/>
        <v>0</v>
      </c>
      <c r="CO119" s="5">
        <f t="shared" si="66"/>
        <v>0</v>
      </c>
      <c r="CP119" s="5">
        <f t="shared" si="66"/>
        <v>0</v>
      </c>
      <c r="CQ119" s="5">
        <f t="shared" si="66"/>
        <v>0</v>
      </c>
      <c r="CR119" s="5">
        <f t="shared" si="66"/>
        <v>0</v>
      </c>
      <c r="CS119" s="5">
        <f t="shared" si="66"/>
        <v>0</v>
      </c>
      <c r="CT119" s="5">
        <f t="shared" si="66"/>
        <v>0</v>
      </c>
      <c r="CU119" s="5">
        <f t="shared" si="66"/>
        <v>0</v>
      </c>
      <c r="CV119" s="5">
        <f t="shared" si="66"/>
        <v>0</v>
      </c>
      <c r="CW119" s="5">
        <f t="shared" si="66"/>
        <v>0</v>
      </c>
      <c r="CX119" s="5">
        <f t="shared" si="66"/>
        <v>0</v>
      </c>
      <c r="CY119" s="5">
        <f t="shared" si="66"/>
        <v>0</v>
      </c>
      <c r="CZ119" s="5">
        <f t="shared" si="66"/>
        <v>0</v>
      </c>
    </row>
    <row r="120" spans="1:104" ht="15.5">
      <c r="A120" s="16" t="s">
        <v>71</v>
      </c>
      <c r="B120" s="17"/>
      <c r="C120" s="6">
        <f t="shared" ref="C120:AH120" si="67">SUM(C10,C20,C24,C27,C34,C37,C40,C47,C49,C53,C59,C71,C79,C81,C88,C92,C95,C99,C110,C115,C119)/100000</f>
        <v>0</v>
      </c>
      <c r="D120" s="6">
        <f t="shared" si="67"/>
        <v>0</v>
      </c>
      <c r="E120" s="6">
        <f t="shared" si="67"/>
        <v>0</v>
      </c>
      <c r="F120" s="6">
        <f t="shared" si="67"/>
        <v>0</v>
      </c>
      <c r="G120" s="6">
        <f t="shared" si="67"/>
        <v>0</v>
      </c>
      <c r="H120" s="6">
        <f t="shared" si="67"/>
        <v>0</v>
      </c>
      <c r="I120" s="6">
        <f t="shared" si="67"/>
        <v>0</v>
      </c>
      <c r="J120" s="6">
        <f t="shared" si="67"/>
        <v>0</v>
      </c>
      <c r="K120" s="6">
        <f t="shared" si="67"/>
        <v>0</v>
      </c>
      <c r="L120" s="6">
        <f t="shared" si="67"/>
        <v>0</v>
      </c>
      <c r="M120" s="6">
        <f t="shared" si="67"/>
        <v>0</v>
      </c>
      <c r="N120" s="6">
        <f t="shared" si="67"/>
        <v>0</v>
      </c>
      <c r="O120" s="6">
        <f t="shared" si="67"/>
        <v>0</v>
      </c>
      <c r="P120" s="6">
        <f t="shared" si="67"/>
        <v>0</v>
      </c>
      <c r="Q120" s="6">
        <f t="shared" si="67"/>
        <v>0</v>
      </c>
      <c r="R120" s="6">
        <f t="shared" si="67"/>
        <v>0</v>
      </c>
      <c r="S120" s="6">
        <f t="shared" si="67"/>
        <v>0</v>
      </c>
      <c r="T120" s="6">
        <f t="shared" si="67"/>
        <v>0</v>
      </c>
      <c r="U120" s="6">
        <f t="shared" si="67"/>
        <v>0</v>
      </c>
      <c r="V120" s="6">
        <f t="shared" si="67"/>
        <v>0</v>
      </c>
      <c r="W120" s="6">
        <f t="shared" si="67"/>
        <v>0</v>
      </c>
      <c r="X120" s="6">
        <f t="shared" si="67"/>
        <v>0</v>
      </c>
      <c r="Y120" s="6">
        <f t="shared" si="67"/>
        <v>0</v>
      </c>
      <c r="Z120" s="6">
        <f t="shared" si="67"/>
        <v>0</v>
      </c>
      <c r="AA120" s="6">
        <f t="shared" si="67"/>
        <v>0</v>
      </c>
      <c r="AB120" s="6">
        <f t="shared" si="67"/>
        <v>0</v>
      </c>
      <c r="AC120" s="6">
        <f t="shared" si="67"/>
        <v>0</v>
      </c>
      <c r="AD120" s="6">
        <f t="shared" si="67"/>
        <v>0</v>
      </c>
      <c r="AE120" s="6">
        <f t="shared" si="67"/>
        <v>0</v>
      </c>
      <c r="AF120" s="6">
        <f t="shared" si="67"/>
        <v>0</v>
      </c>
      <c r="AG120" s="6">
        <f t="shared" si="67"/>
        <v>0</v>
      </c>
      <c r="AH120" s="6">
        <f t="shared" si="67"/>
        <v>0</v>
      </c>
      <c r="AI120" s="6">
        <f t="shared" ref="AI120:BN120" si="68">SUM(AI10,AI20,AI24,AI27,AI34,AI37,AI40,AI47,AI49,AI53,AI59,AI71,AI79,AI81,AI88,AI92,AI95,AI99,AI110,AI115,AI119)/100000</f>
        <v>0</v>
      </c>
      <c r="AJ120" s="6">
        <f t="shared" si="68"/>
        <v>0</v>
      </c>
      <c r="AK120" s="6">
        <f t="shared" si="68"/>
        <v>0</v>
      </c>
      <c r="AL120" s="6">
        <f t="shared" si="68"/>
        <v>0</v>
      </c>
      <c r="AM120" s="6">
        <f t="shared" si="68"/>
        <v>0</v>
      </c>
      <c r="AN120" s="6">
        <f t="shared" si="68"/>
        <v>0</v>
      </c>
      <c r="AO120" s="6">
        <f t="shared" si="68"/>
        <v>0</v>
      </c>
      <c r="AP120" s="6">
        <f t="shared" si="68"/>
        <v>0</v>
      </c>
      <c r="AQ120" s="6">
        <f t="shared" si="68"/>
        <v>0</v>
      </c>
      <c r="AR120" s="6">
        <f t="shared" si="68"/>
        <v>0</v>
      </c>
      <c r="AS120" s="6">
        <f t="shared" si="68"/>
        <v>0</v>
      </c>
      <c r="AT120" s="6">
        <f t="shared" si="68"/>
        <v>0</v>
      </c>
      <c r="AU120" s="6">
        <f t="shared" si="68"/>
        <v>0</v>
      </c>
      <c r="AV120" s="6">
        <f t="shared" si="68"/>
        <v>0</v>
      </c>
      <c r="AW120" s="6">
        <f t="shared" si="68"/>
        <v>0</v>
      </c>
      <c r="AX120" s="6">
        <f t="shared" si="68"/>
        <v>0</v>
      </c>
      <c r="AY120" s="6">
        <f t="shared" si="68"/>
        <v>0</v>
      </c>
      <c r="AZ120" s="6">
        <f t="shared" si="68"/>
        <v>0</v>
      </c>
      <c r="BA120" s="6">
        <f t="shared" si="68"/>
        <v>0</v>
      </c>
      <c r="BB120" s="6">
        <f t="shared" si="68"/>
        <v>0</v>
      </c>
      <c r="BC120" s="6">
        <f t="shared" si="68"/>
        <v>0</v>
      </c>
      <c r="BD120" s="6">
        <f t="shared" si="68"/>
        <v>0</v>
      </c>
      <c r="BE120" s="6">
        <f t="shared" si="68"/>
        <v>0</v>
      </c>
      <c r="BF120" s="6">
        <f t="shared" si="68"/>
        <v>0</v>
      </c>
      <c r="BG120" s="6">
        <f t="shared" si="68"/>
        <v>0</v>
      </c>
      <c r="BH120" s="6">
        <f t="shared" si="68"/>
        <v>0</v>
      </c>
      <c r="BI120" s="6">
        <f t="shared" si="68"/>
        <v>0</v>
      </c>
      <c r="BJ120" s="6">
        <f t="shared" si="68"/>
        <v>0</v>
      </c>
      <c r="BK120" s="6">
        <f t="shared" si="68"/>
        <v>0</v>
      </c>
      <c r="BL120" s="6">
        <f t="shared" si="68"/>
        <v>0</v>
      </c>
      <c r="BM120" s="6">
        <f t="shared" si="68"/>
        <v>0</v>
      </c>
      <c r="BN120" s="6">
        <f t="shared" si="68"/>
        <v>0</v>
      </c>
      <c r="BO120" s="6">
        <f t="shared" ref="BO120:CT120" si="69">SUM(BO10,BO20,BO24,BO27,BO34,BO37,BO40,BO47,BO49,BO53,BO59,BO71,BO79,BO81,BO88,BO92,BO95,BO99,BO110,BO115,BO119)/100000</f>
        <v>0</v>
      </c>
      <c r="BP120" s="6">
        <f t="shared" si="69"/>
        <v>0</v>
      </c>
      <c r="BQ120" s="6">
        <f t="shared" si="69"/>
        <v>0</v>
      </c>
      <c r="BR120" s="6">
        <f t="shared" si="69"/>
        <v>0</v>
      </c>
      <c r="BS120" s="6">
        <f t="shared" si="69"/>
        <v>0</v>
      </c>
      <c r="BT120" s="6">
        <f t="shared" si="69"/>
        <v>0</v>
      </c>
      <c r="BU120" s="6">
        <f t="shared" si="69"/>
        <v>0</v>
      </c>
      <c r="BV120" s="6">
        <f t="shared" si="69"/>
        <v>0</v>
      </c>
      <c r="BW120" s="6">
        <f t="shared" si="69"/>
        <v>0</v>
      </c>
      <c r="BX120" s="6">
        <f t="shared" si="69"/>
        <v>0</v>
      </c>
      <c r="BY120" s="6">
        <f t="shared" si="69"/>
        <v>0</v>
      </c>
      <c r="BZ120" s="6">
        <f t="shared" si="69"/>
        <v>0</v>
      </c>
      <c r="CA120" s="6">
        <f t="shared" si="69"/>
        <v>0</v>
      </c>
      <c r="CB120" s="6">
        <f t="shared" si="69"/>
        <v>0</v>
      </c>
      <c r="CC120" s="6">
        <f t="shared" si="69"/>
        <v>0</v>
      </c>
      <c r="CD120" s="6">
        <f t="shared" si="69"/>
        <v>0</v>
      </c>
      <c r="CE120" s="6">
        <f t="shared" si="69"/>
        <v>0</v>
      </c>
      <c r="CF120" s="6">
        <f t="shared" si="69"/>
        <v>0</v>
      </c>
      <c r="CG120" s="6">
        <f t="shared" si="69"/>
        <v>0</v>
      </c>
      <c r="CH120" s="6">
        <f t="shared" si="69"/>
        <v>0</v>
      </c>
      <c r="CI120" s="6">
        <f t="shared" si="69"/>
        <v>0</v>
      </c>
      <c r="CJ120" s="6">
        <f t="shared" si="69"/>
        <v>0</v>
      </c>
      <c r="CK120" s="6">
        <f t="shared" si="69"/>
        <v>0</v>
      </c>
      <c r="CL120" s="6">
        <f t="shared" si="69"/>
        <v>0</v>
      </c>
      <c r="CM120" s="6">
        <f t="shared" si="69"/>
        <v>0</v>
      </c>
      <c r="CN120" s="6">
        <f t="shared" si="69"/>
        <v>0</v>
      </c>
      <c r="CO120" s="6">
        <f t="shared" si="69"/>
        <v>0</v>
      </c>
      <c r="CP120" s="6">
        <f t="shared" si="69"/>
        <v>0</v>
      </c>
      <c r="CQ120" s="6">
        <f t="shared" si="69"/>
        <v>0</v>
      </c>
      <c r="CR120" s="6">
        <f t="shared" si="69"/>
        <v>0</v>
      </c>
      <c r="CS120" s="6">
        <f t="shared" si="69"/>
        <v>0</v>
      </c>
      <c r="CT120" s="6">
        <f t="shared" si="69"/>
        <v>0</v>
      </c>
      <c r="CU120" s="6">
        <f t="shared" ref="CU120:CZ120" si="70">SUM(CU10,CU20,CU24,CU27,CU34,CU37,CU40,CU47,CU49,CU53,CU59,CU71,CU79,CU81,CU88,CU92,CU95,CU99,CU110,CU115,CU119)/100000</f>
        <v>0</v>
      </c>
      <c r="CV120" s="6">
        <f t="shared" si="70"/>
        <v>0</v>
      </c>
      <c r="CW120" s="6">
        <f t="shared" si="70"/>
        <v>0</v>
      </c>
      <c r="CX120" s="6">
        <f t="shared" si="70"/>
        <v>0</v>
      </c>
      <c r="CY120" s="6">
        <f t="shared" si="70"/>
        <v>0</v>
      </c>
      <c r="CZ120" s="6">
        <f t="shared" si="70"/>
        <v>0</v>
      </c>
    </row>
  </sheetData>
  <sheetProtection formatCells="0" selectLockedCells="1" autoFilter="0"/>
  <autoFilter ref="A2:CZ110" xr:uid="{00000000-0009-0000-0000-000002000000}"/>
  <mergeCells count="52">
    <mergeCell ref="CS1:CT1"/>
    <mergeCell ref="CU1:CV1"/>
    <mergeCell ref="CW1:CX1"/>
    <mergeCell ref="CY1:CZ1"/>
    <mergeCell ref="CG1:CH1"/>
    <mergeCell ref="CI1:CJ1"/>
    <mergeCell ref="CK1:CL1"/>
    <mergeCell ref="CM1:CN1"/>
    <mergeCell ref="CO1:CP1"/>
    <mergeCell ref="CQ1:CR1"/>
    <mergeCell ref="CE1:CF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BG1:BH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AI1:AJ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K1:L1"/>
    <mergeCell ref="A1:A2"/>
    <mergeCell ref="C1:D1"/>
    <mergeCell ref="E1:F1"/>
    <mergeCell ref="G1:H1"/>
    <mergeCell ref="I1:J1"/>
  </mergeCells>
  <pageMargins left="0.69930555555555596" right="0.69930555555555596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R12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:CZ121"/>
    </sheetView>
  </sheetViews>
  <sheetFormatPr defaultColWidth="9.1796875" defaultRowHeight="14.5"/>
  <cols>
    <col min="1" max="1" width="31.54296875" style="2" customWidth="1"/>
    <col min="2" max="2" width="8.81640625" style="3" customWidth="1"/>
    <col min="3" max="3" width="10" style="3" bestFit="1" customWidth="1"/>
    <col min="4" max="41" width="9.1796875" style="3"/>
    <col min="42" max="42" width="8.54296875" style="3" customWidth="1"/>
    <col min="43" max="43" width="7.54296875" style="3" customWidth="1"/>
    <col min="44" max="44" width="8.54296875" style="3" customWidth="1"/>
    <col min="45" max="45" width="7.54296875" style="3" customWidth="1"/>
    <col min="46" max="46" width="8.54296875" style="3" customWidth="1"/>
    <col min="47" max="47" width="7.54296875" style="3" customWidth="1"/>
    <col min="48" max="48" width="8.54296875" style="3" customWidth="1"/>
    <col min="49" max="49" width="7.54296875" style="3" customWidth="1"/>
    <col min="50" max="50" width="8.54296875" style="3" customWidth="1"/>
    <col min="51" max="51" width="7.54296875" style="3" customWidth="1"/>
    <col min="52" max="52" width="8.54296875" style="3" customWidth="1"/>
    <col min="53" max="53" width="7.54296875" style="3" customWidth="1"/>
    <col min="54" max="54" width="8.54296875" style="3" customWidth="1"/>
    <col min="55" max="55" width="7.54296875" style="3" customWidth="1"/>
    <col min="56" max="56" width="8.54296875" style="3" customWidth="1"/>
    <col min="57" max="57" width="7.54296875" style="3" customWidth="1"/>
    <col min="58" max="58" width="8.54296875" style="3" customWidth="1"/>
    <col min="59" max="59" width="7.54296875" style="3" customWidth="1"/>
    <col min="60" max="60" width="8.54296875" style="3" customWidth="1"/>
    <col min="61" max="61" width="7.54296875" style="3" customWidth="1"/>
    <col min="62" max="62" width="8.54296875" style="3" customWidth="1"/>
    <col min="63" max="63" width="7.54296875" style="3" customWidth="1"/>
    <col min="64" max="64" width="8.54296875" style="3" customWidth="1"/>
    <col min="65" max="65" width="7.54296875" style="3" customWidth="1"/>
    <col min="66" max="66" width="8.54296875" style="3" customWidth="1"/>
    <col min="67" max="67" width="7.54296875" style="3" customWidth="1"/>
    <col min="68" max="68" width="8.54296875" style="3" customWidth="1"/>
    <col min="69" max="69" width="7.54296875" style="3" customWidth="1"/>
    <col min="70" max="70" width="8.54296875" style="3" customWidth="1"/>
    <col min="71" max="71" width="7.54296875" style="3" customWidth="1"/>
    <col min="72" max="72" width="8.54296875" style="3" customWidth="1"/>
    <col min="73" max="73" width="7.54296875" style="3" customWidth="1"/>
    <col min="74" max="74" width="8.54296875" style="3" customWidth="1"/>
    <col min="75" max="75" width="7.54296875" style="3" customWidth="1"/>
    <col min="76" max="76" width="8.54296875" style="3" customWidth="1"/>
    <col min="77" max="77" width="7.54296875" style="3" customWidth="1"/>
    <col min="78" max="78" width="8.54296875" style="3" customWidth="1"/>
    <col min="79" max="79" width="7.54296875" style="3" customWidth="1"/>
    <col min="80" max="80" width="8.54296875" style="3" customWidth="1"/>
    <col min="81" max="81" width="7.54296875" style="3" customWidth="1"/>
    <col min="82" max="82" width="8.54296875" style="3" customWidth="1"/>
    <col min="83" max="83" width="7.54296875" style="3" customWidth="1"/>
    <col min="84" max="84" width="8.54296875" style="3" customWidth="1"/>
    <col min="85" max="85" width="7.54296875" style="3" customWidth="1"/>
    <col min="86" max="86" width="8.54296875" style="3" customWidth="1"/>
    <col min="87" max="87" width="7.54296875" style="3" customWidth="1"/>
    <col min="88" max="88" width="8.54296875" style="3" customWidth="1"/>
    <col min="89" max="89" width="7.54296875" style="3" customWidth="1"/>
    <col min="90" max="90" width="8.54296875" style="3" customWidth="1"/>
    <col min="91" max="91" width="7.54296875" style="3" customWidth="1"/>
    <col min="92" max="92" width="8.54296875" style="3" customWidth="1"/>
    <col min="93" max="93" width="7.54296875" style="3" customWidth="1"/>
    <col min="94" max="94" width="8.54296875" style="3" customWidth="1"/>
    <col min="95" max="95" width="7.54296875" style="3" customWidth="1"/>
    <col min="96" max="96" width="8.54296875" style="3" customWidth="1"/>
    <col min="97" max="97" width="7.54296875" style="3" customWidth="1"/>
    <col min="98" max="98" width="8.54296875" style="3" customWidth="1"/>
    <col min="99" max="99" width="7.54296875" style="3" customWidth="1"/>
    <col min="100" max="100" width="8.54296875" style="3" customWidth="1"/>
    <col min="101" max="101" width="7.54296875" style="3" customWidth="1"/>
    <col min="102" max="102" width="8.54296875" style="3" customWidth="1"/>
    <col min="103" max="103" width="11.81640625" style="3" customWidth="1"/>
    <col min="104" max="104" width="12.453125" style="3" customWidth="1"/>
    <col min="105" max="107" width="9.1796875" style="2"/>
    <col min="108" max="108" width="8" style="2" customWidth="1"/>
    <col min="109" max="16384" width="9.1796875" style="2"/>
  </cols>
  <sheetData>
    <row r="1" spans="1:122" s="37" customFormat="1" ht="19.5" customHeight="1">
      <c r="A1" s="44" t="s">
        <v>0</v>
      </c>
      <c r="B1" s="12"/>
      <c r="C1" s="46" t="str">
        <f>APRIL!C1</f>
        <v>VASU PHARMA DRUGS PVT LTD</v>
      </c>
      <c r="D1" s="46"/>
      <c r="E1" s="46" t="str">
        <f>APRIL!E1</f>
        <v>PRAKASH PHARMA DISTRIBUTORS</v>
      </c>
      <c r="F1" s="46"/>
      <c r="G1" s="46" t="str">
        <f>APRIL!G1</f>
        <v>Divya Pharma</v>
      </c>
      <c r="H1" s="46"/>
      <c r="I1" s="46" t="str">
        <f>APRIL!I1</f>
        <v>KEIMED PRIVATE LIMITED</v>
      </c>
      <c r="J1" s="46"/>
      <c r="K1" s="46" t="str">
        <f>APRIL!K1</f>
        <v>SAI SRIDHAR PHARMA PVT LTD</v>
      </c>
      <c r="L1" s="46"/>
      <c r="M1" s="46" t="str">
        <f>APRIL!M1</f>
        <v>SRI VENKATARAGHAVA AGENCIES</v>
      </c>
      <c r="N1" s="46"/>
      <c r="O1" s="46" t="str">
        <f>APRIL!O1</f>
        <v>SHREEJI DIST PVT LTD</v>
      </c>
      <c r="P1" s="46"/>
      <c r="Q1" s="46" t="str">
        <f>APRIL!Q1</f>
        <v>SVS PHARMA</v>
      </c>
      <c r="R1" s="46"/>
      <c r="S1" s="46" t="str">
        <f>APRIL!S1</f>
        <v>PHARMA DISTRIBUTORS</v>
      </c>
      <c r="T1" s="46"/>
      <c r="U1" s="46" t="str">
        <f>APRIL!U1</f>
        <v>SAI PHARMA DISTRIBUTERS PVT LTD</v>
      </c>
      <c r="V1" s="46"/>
      <c r="W1" s="46" t="str">
        <f>APRIL!W1</f>
        <v>ALANKRITA AGENCIES</v>
      </c>
      <c r="X1" s="46"/>
      <c r="Y1" s="46" t="str">
        <f>APRIL!Y1</f>
        <v>JAYA SURG &amp; PHARMA PVT LTD</v>
      </c>
      <c r="Z1" s="46"/>
      <c r="AA1" s="46" t="str">
        <f>APRIL!AA1</f>
        <v>MANASA MEDICAL AGENCIES</v>
      </c>
      <c r="AB1" s="46"/>
      <c r="AC1" s="46" t="str">
        <f>APRIL!AC1</f>
        <v>KARTHICK AGENCIES</v>
      </c>
      <c r="AD1" s="46"/>
      <c r="AE1" s="46" t="str">
        <f>APRIL!AE1</f>
        <v>NIRMALA AGENCIES</v>
      </c>
      <c r="AF1" s="46"/>
      <c r="AG1" s="46" t="str">
        <f>APRIL!AG1</f>
        <v>HIMALAYA MEDICAL AGENCIES</v>
      </c>
      <c r="AH1" s="46"/>
      <c r="AI1" s="46" t="str">
        <f>APRIL!AI1</f>
        <v xml:space="preserve">Maruthi </v>
      </c>
      <c r="AJ1" s="46"/>
      <c r="AK1" s="46" t="str">
        <f>APRIL!AK1</f>
        <v>LAXMI SAI MEDICAL AGENCIES</v>
      </c>
      <c r="AL1" s="46"/>
      <c r="AM1" s="46" t="str">
        <f>APRIL!AM1</f>
        <v>Patwari Pharma</v>
      </c>
      <c r="AN1" s="46"/>
      <c r="AO1" s="46" t="str">
        <f>APRIL!AO1</f>
        <v>Vishnu &amp; Co</v>
      </c>
      <c r="AP1" s="46"/>
      <c r="AQ1" s="46" t="str">
        <f>APRIL!AQ1</f>
        <v>SUMAN AGENCIES HYD PVT LTD</v>
      </c>
      <c r="AR1" s="46"/>
      <c r="AS1" s="46" t="str">
        <f>APRIL!AS1</f>
        <v>Sri Nirmala</v>
      </c>
      <c r="AT1" s="46"/>
      <c r="AU1" s="46" t="str">
        <f>APRIL!AU1</f>
        <v>SHREE SHARADA PHARMA</v>
      </c>
      <c r="AV1" s="46"/>
      <c r="AW1" s="46" t="str">
        <f>APRIL!AW1</f>
        <v>ALLIED PHARMA</v>
      </c>
      <c r="AX1" s="46"/>
      <c r="AY1" s="46" t="str">
        <f>APRIL!AY1</f>
        <v>GOEL DISTRIBUTER</v>
      </c>
      <c r="AZ1" s="46"/>
      <c r="BA1" s="46" t="str">
        <f>APRIL!BA1</f>
        <v>KAMALESH PHARMA</v>
      </c>
      <c r="BB1" s="46"/>
      <c r="BC1" s="46" t="str">
        <f>APRIL!BC1</f>
        <v>ARVIND PHARMA DISTRIBUTER</v>
      </c>
      <c r="BD1" s="46"/>
      <c r="BE1" s="46" t="str">
        <f>APRIL!BE1</f>
        <v>GOEL PHARMA</v>
      </c>
      <c r="BF1" s="46"/>
      <c r="BG1" s="46" t="str">
        <f>APRIL!BG1</f>
        <v>KRISHNA  PHARMACEUTICALS</v>
      </c>
      <c r="BH1" s="46"/>
      <c r="BI1" s="46" t="str">
        <f>APRIL!BI1</f>
        <v>AP DRUGS</v>
      </c>
      <c r="BJ1" s="46"/>
      <c r="BK1" s="46" t="str">
        <f>APRIL!BK1</f>
        <v>MAWA PHARMACEUTICALS</v>
      </c>
      <c r="BL1" s="46"/>
      <c r="BM1" s="46" t="str">
        <f>APRIL!BM1</f>
        <v>TIRUMALA AGENCIES</v>
      </c>
      <c r="BN1" s="46"/>
      <c r="BO1" s="46" t="str">
        <f>APRIL!BO1</f>
        <v>SREE HARI MEDICALS</v>
      </c>
      <c r="BP1" s="46"/>
      <c r="BQ1" s="46" t="str">
        <f>APRIL!BQ1</f>
        <v>SREE VENKATESHWARA MEDISOLUTIONS</v>
      </c>
      <c r="BR1" s="46"/>
      <c r="BS1" s="46" t="str">
        <f>APRIL!BS1</f>
        <v>SRI BALAJI DRUGS</v>
      </c>
      <c r="BT1" s="46"/>
      <c r="BU1" s="46" t="str">
        <f>APRIL!BU1</f>
        <v>VISHNU MEDICAL HALL</v>
      </c>
      <c r="BV1" s="46"/>
      <c r="BW1" s="46" t="str">
        <f>APRIL!BW1</f>
        <v>HYDERABAD SPECIALITY DRUGS</v>
      </c>
      <c r="BX1" s="46"/>
      <c r="BY1" s="46" t="str">
        <f>APRIL!BY1</f>
        <v>LORVEN PHARMA &amp; SURGICALS (CORP)</v>
      </c>
      <c r="BZ1" s="46"/>
      <c r="CA1" s="46" t="str">
        <f>APRIL!CA1</f>
        <v>AK PHARMA</v>
      </c>
      <c r="CB1" s="46"/>
      <c r="CC1" s="46" t="str">
        <f>APRIL!CC1</f>
        <v>OPTIVAL HEALTHSOLUTIONS</v>
      </c>
      <c r="CD1" s="46"/>
      <c r="CE1" s="46" t="str">
        <f>APRIL!CE1</f>
        <v>BALAJI MEDICAL AGENCIES</v>
      </c>
      <c r="CF1" s="46"/>
      <c r="CG1" s="46" t="str">
        <f>APRIL!CG1</f>
        <v>S42</v>
      </c>
      <c r="CH1" s="46"/>
      <c r="CI1" s="46" t="str">
        <f>APRIL!CI1</f>
        <v>S43</v>
      </c>
      <c r="CJ1" s="46"/>
      <c r="CK1" s="46" t="str">
        <f>APRIL!CK1</f>
        <v>S44</v>
      </c>
      <c r="CL1" s="46"/>
      <c r="CM1" s="46" t="str">
        <f>APRIL!CM1</f>
        <v>S45</v>
      </c>
      <c r="CN1" s="46"/>
      <c r="CO1" s="46" t="str">
        <f>APRIL!CO1</f>
        <v>S46</v>
      </c>
      <c r="CP1" s="46"/>
      <c r="CQ1" s="46" t="str">
        <f>APRIL!CQ1</f>
        <v>S47</v>
      </c>
      <c r="CR1" s="46"/>
      <c r="CS1" s="46" t="str">
        <f>APRIL!CS1</f>
        <v>S48</v>
      </c>
      <c r="CT1" s="46"/>
      <c r="CU1" s="46" t="str">
        <f>APRIL!CU1</f>
        <v>S49</v>
      </c>
      <c r="CV1" s="46"/>
      <c r="CW1" s="46" t="str">
        <f>APRIL!CW1</f>
        <v>S50</v>
      </c>
      <c r="CX1" s="46"/>
      <c r="CY1" s="43" t="s">
        <v>1</v>
      </c>
      <c r="CZ1" s="43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</row>
    <row r="2" spans="1:122" ht="43.5">
      <c r="A2" s="44"/>
      <c r="B2" s="12" t="s">
        <v>2</v>
      </c>
      <c r="C2" s="7" t="s">
        <v>90</v>
      </c>
      <c r="D2" s="7" t="s">
        <v>91</v>
      </c>
      <c r="E2" s="7" t="s">
        <v>90</v>
      </c>
      <c r="F2" s="7" t="s">
        <v>91</v>
      </c>
      <c r="G2" s="7" t="s">
        <v>90</v>
      </c>
      <c r="H2" s="7" t="s">
        <v>91</v>
      </c>
      <c r="I2" s="7" t="s">
        <v>90</v>
      </c>
      <c r="J2" s="7" t="s">
        <v>91</v>
      </c>
      <c r="K2" s="7" t="s">
        <v>90</v>
      </c>
      <c r="L2" s="7" t="s">
        <v>91</v>
      </c>
      <c r="M2" s="7" t="s">
        <v>90</v>
      </c>
      <c r="N2" s="7" t="s">
        <v>91</v>
      </c>
      <c r="O2" s="7" t="s">
        <v>90</v>
      </c>
      <c r="P2" s="7" t="s">
        <v>91</v>
      </c>
      <c r="Q2" s="7" t="s">
        <v>90</v>
      </c>
      <c r="R2" s="7" t="s">
        <v>91</v>
      </c>
      <c r="S2" s="7" t="s">
        <v>90</v>
      </c>
      <c r="T2" s="7" t="s">
        <v>91</v>
      </c>
      <c r="U2" s="7" t="s">
        <v>90</v>
      </c>
      <c r="V2" s="7" t="s">
        <v>91</v>
      </c>
      <c r="W2" s="7" t="s">
        <v>90</v>
      </c>
      <c r="X2" s="7" t="s">
        <v>91</v>
      </c>
      <c r="Y2" s="7" t="s">
        <v>90</v>
      </c>
      <c r="Z2" s="7" t="s">
        <v>91</v>
      </c>
      <c r="AA2" s="7" t="s">
        <v>90</v>
      </c>
      <c r="AB2" s="7" t="s">
        <v>91</v>
      </c>
      <c r="AC2" s="7" t="s">
        <v>90</v>
      </c>
      <c r="AD2" s="7" t="s">
        <v>91</v>
      </c>
      <c r="AE2" s="7" t="s">
        <v>90</v>
      </c>
      <c r="AF2" s="7" t="s">
        <v>91</v>
      </c>
      <c r="AG2" s="7" t="s">
        <v>90</v>
      </c>
      <c r="AH2" s="7" t="s">
        <v>91</v>
      </c>
      <c r="AI2" s="7" t="s">
        <v>90</v>
      </c>
      <c r="AJ2" s="7" t="s">
        <v>91</v>
      </c>
      <c r="AK2" s="7" t="s">
        <v>90</v>
      </c>
      <c r="AL2" s="7" t="s">
        <v>91</v>
      </c>
      <c r="AM2" s="7" t="s">
        <v>90</v>
      </c>
      <c r="AN2" s="7" t="s">
        <v>91</v>
      </c>
      <c r="AO2" s="7" t="s">
        <v>90</v>
      </c>
      <c r="AP2" s="7" t="s">
        <v>91</v>
      </c>
      <c r="AQ2" s="7" t="s">
        <v>90</v>
      </c>
      <c r="AR2" s="7" t="s">
        <v>91</v>
      </c>
      <c r="AS2" s="7" t="s">
        <v>90</v>
      </c>
      <c r="AT2" s="7" t="s">
        <v>91</v>
      </c>
      <c r="AU2" s="7" t="s">
        <v>90</v>
      </c>
      <c r="AV2" s="7" t="s">
        <v>91</v>
      </c>
      <c r="AW2" s="7" t="s">
        <v>90</v>
      </c>
      <c r="AX2" s="7" t="s">
        <v>91</v>
      </c>
      <c r="AY2" s="7" t="s">
        <v>90</v>
      </c>
      <c r="AZ2" s="7" t="s">
        <v>91</v>
      </c>
      <c r="BA2" s="7" t="s">
        <v>90</v>
      </c>
      <c r="BB2" s="7" t="s">
        <v>91</v>
      </c>
      <c r="BC2" s="7" t="s">
        <v>90</v>
      </c>
      <c r="BD2" s="7" t="s">
        <v>91</v>
      </c>
      <c r="BE2" s="7" t="s">
        <v>90</v>
      </c>
      <c r="BF2" s="7" t="s">
        <v>91</v>
      </c>
      <c r="BG2" s="7" t="s">
        <v>90</v>
      </c>
      <c r="BH2" s="7" t="s">
        <v>91</v>
      </c>
      <c r="BI2" s="7" t="s">
        <v>90</v>
      </c>
      <c r="BJ2" s="7" t="s">
        <v>91</v>
      </c>
      <c r="BK2" s="7" t="s">
        <v>90</v>
      </c>
      <c r="BL2" s="7" t="s">
        <v>91</v>
      </c>
      <c r="BM2" s="7" t="s">
        <v>90</v>
      </c>
      <c r="BN2" s="7" t="s">
        <v>91</v>
      </c>
      <c r="BO2" s="7" t="s">
        <v>90</v>
      </c>
      <c r="BP2" s="7" t="s">
        <v>91</v>
      </c>
      <c r="BQ2" s="7" t="s">
        <v>90</v>
      </c>
      <c r="BR2" s="7" t="s">
        <v>91</v>
      </c>
      <c r="BS2" s="7" t="s">
        <v>90</v>
      </c>
      <c r="BT2" s="7" t="s">
        <v>91</v>
      </c>
      <c r="BU2" s="7" t="s">
        <v>90</v>
      </c>
      <c r="BV2" s="7" t="s">
        <v>91</v>
      </c>
      <c r="BW2" s="7" t="s">
        <v>90</v>
      </c>
      <c r="BX2" s="7" t="s">
        <v>91</v>
      </c>
      <c r="BY2" s="7" t="s">
        <v>90</v>
      </c>
      <c r="BZ2" s="7" t="s">
        <v>91</v>
      </c>
      <c r="CA2" s="7" t="s">
        <v>90</v>
      </c>
      <c r="CB2" s="7" t="s">
        <v>91</v>
      </c>
      <c r="CC2" s="7" t="s">
        <v>90</v>
      </c>
      <c r="CD2" s="7" t="s">
        <v>91</v>
      </c>
      <c r="CE2" s="7" t="s">
        <v>90</v>
      </c>
      <c r="CF2" s="7" t="s">
        <v>91</v>
      </c>
      <c r="CG2" s="7" t="s">
        <v>90</v>
      </c>
      <c r="CH2" s="7" t="s">
        <v>91</v>
      </c>
      <c r="CI2" s="7" t="s">
        <v>90</v>
      </c>
      <c r="CJ2" s="7" t="s">
        <v>91</v>
      </c>
      <c r="CK2" s="7" t="s">
        <v>90</v>
      </c>
      <c r="CL2" s="7" t="s">
        <v>91</v>
      </c>
      <c r="CM2" s="7" t="s">
        <v>90</v>
      </c>
      <c r="CN2" s="7" t="s">
        <v>91</v>
      </c>
      <c r="CO2" s="7" t="s">
        <v>90</v>
      </c>
      <c r="CP2" s="7" t="s">
        <v>91</v>
      </c>
      <c r="CQ2" s="7" t="s">
        <v>90</v>
      </c>
      <c r="CR2" s="7" t="s">
        <v>91</v>
      </c>
      <c r="CS2" s="7" t="s">
        <v>90</v>
      </c>
      <c r="CT2" s="7" t="s">
        <v>91</v>
      </c>
      <c r="CU2" s="7" t="s">
        <v>90</v>
      </c>
      <c r="CV2" s="7" t="s">
        <v>91</v>
      </c>
      <c r="CW2" s="7" t="s">
        <v>90</v>
      </c>
      <c r="CX2" s="7" t="s">
        <v>91</v>
      </c>
      <c r="CY2" s="7" t="s">
        <v>90</v>
      </c>
      <c r="CZ2" s="7" t="s">
        <v>91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</row>
    <row r="3" spans="1:122" ht="18" customHeight="1">
      <c r="A3" s="13" t="s">
        <v>3</v>
      </c>
      <c r="B3" s="14">
        <f>IFERROR(VLOOKUP(A3,PRICELIST!$A$3:$D$138,4,0),"-")</f>
        <v>167.79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9">
        <f>C3+E3+G3+I3+K3+M3+O3+Q3+S3+U3+W3+Y3+AA3+AC3+AE3+AG3+AI3+AK3+AM3+AO3+AQ3+AS3+AU3+AW3+AY3+BA3+BC3+BE3+BG3+BI3+BK3+BM3+BO3+BQ3+BS3+BU3+BW3+BY3+CA3+CC3+CE3+CG3+CI3+CK3+CM3+CO3+CQ3+CS3+CU3+CW3</f>
        <v>0</v>
      </c>
      <c r="CZ3" s="19">
        <f>D3+F3+H3+J3+L3+N3+P3+R3+T3+V3+X3+Z3+AB3+AD3+AF3+AH3+AJ3+AL3+AN3+AP3+AR3+AT3+AV3+AX3+AZ3+BB3+BD3+BF3+BH3+BJ3+BL3+BN3+BP3+BR3+BT3+BV3+BX3+BZ3+CB3+CD3+CF3+CH3+CJ3+CL3+CN3+CP3+CR3+CT3+CV3+CX3</f>
        <v>0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</row>
    <row r="4" spans="1:122" ht="18" customHeight="1">
      <c r="A4" s="13" t="s">
        <v>4</v>
      </c>
      <c r="B4" s="14">
        <f>IFERROR(VLOOKUP(A4,PRICELIST!$A$3:$D$138,4,0),"-")</f>
        <v>112.5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9">
        <f t="shared" ref="CY4:CZ9" si="0">C4+E4+G4+I4+K4+M4+O4+Q4+S4+U4+W4+Y4+AA4+AC4+AE4+AG4+AI4+AK4+AM4+AO4+AQ4+AS4+AU4+AW4+AY4+BA4+BC4+BE4+BG4+BI4+BK4+BM4+BO4+BQ4+BS4+BU4+BW4+BY4+CA4+CC4+CE4+CG4+CI4+CK4+CM4+CO4+CQ4+CS4+CU4+CW4</f>
        <v>0</v>
      </c>
      <c r="CZ4" s="19">
        <f t="shared" si="0"/>
        <v>0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</row>
    <row r="5" spans="1:122" ht="18" customHeight="1">
      <c r="A5" s="13" t="s">
        <v>5</v>
      </c>
      <c r="B5" s="14">
        <f>IFERROR(VLOOKUP(A5,PRICELIST!$A$3:$D$138,4,0),"-")</f>
        <v>127.87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9">
        <f t="shared" si="0"/>
        <v>0</v>
      </c>
      <c r="CZ5" s="19">
        <f t="shared" si="0"/>
        <v>0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</row>
    <row r="6" spans="1:122" ht="18" customHeight="1">
      <c r="A6" s="13" t="s">
        <v>6</v>
      </c>
      <c r="B6" s="14">
        <f>IFERROR(VLOOKUP(A6,PRICELIST!$A$3:$D$138,4,0),"-")</f>
        <v>88.7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9">
        <f t="shared" si="0"/>
        <v>0</v>
      </c>
      <c r="CZ6" s="19">
        <f t="shared" si="0"/>
        <v>0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</row>
    <row r="7" spans="1:122" ht="18" customHeight="1">
      <c r="A7" s="13" t="s">
        <v>78</v>
      </c>
      <c r="B7" s="14">
        <f>IFERROR(VLOOKUP(A7,PRICELIST!$A$3:$D$138,4,0),"-")</f>
        <v>171.64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9">
        <f t="shared" si="0"/>
        <v>0</v>
      </c>
      <c r="CZ7" s="19">
        <f t="shared" si="0"/>
        <v>0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</row>
    <row r="8" spans="1:122" ht="18" customHeight="1">
      <c r="A8" s="13" t="s">
        <v>7</v>
      </c>
      <c r="B8" s="14">
        <f>IFERROR(VLOOKUP(A8,PRICELIST!$A$3:$D$138,4,0),"-")</f>
        <v>216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9">
        <f t="shared" si="0"/>
        <v>0</v>
      </c>
      <c r="CZ8" s="19">
        <f t="shared" si="0"/>
        <v>0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</row>
    <row r="9" spans="1:122" ht="18" customHeight="1">
      <c r="A9" s="13" t="s">
        <v>8</v>
      </c>
      <c r="B9" s="14">
        <f>IFERROR(VLOOKUP(A9,PRICELIST!$A$3:$D$138,4,0),"-")</f>
        <v>163.93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9">
        <f t="shared" si="0"/>
        <v>0</v>
      </c>
      <c r="CZ9" s="19">
        <f t="shared" si="0"/>
        <v>0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</row>
    <row r="10" spans="1:122" ht="18" customHeight="1">
      <c r="A10" s="9" t="s">
        <v>9</v>
      </c>
      <c r="B10" s="10"/>
      <c r="C10" s="11">
        <f>SUMPRODUCT($B3:$B9,C3:C9)</f>
        <v>0</v>
      </c>
      <c r="D10" s="11">
        <f t="shared" ref="D10:BO10" si="1">SUMPRODUCT($B3:$B9,D3:D9)</f>
        <v>0</v>
      </c>
      <c r="E10" s="11">
        <f t="shared" si="1"/>
        <v>0</v>
      </c>
      <c r="F10" s="11">
        <f t="shared" si="1"/>
        <v>0</v>
      </c>
      <c r="G10" s="11">
        <f t="shared" si="1"/>
        <v>0</v>
      </c>
      <c r="H10" s="11">
        <f t="shared" si="1"/>
        <v>0</v>
      </c>
      <c r="I10" s="11">
        <f t="shared" si="1"/>
        <v>0</v>
      </c>
      <c r="J10" s="11">
        <f t="shared" si="1"/>
        <v>0</v>
      </c>
      <c r="K10" s="11">
        <f t="shared" si="1"/>
        <v>0</v>
      </c>
      <c r="L10" s="11">
        <f t="shared" si="1"/>
        <v>0</v>
      </c>
      <c r="M10" s="11">
        <f t="shared" si="1"/>
        <v>0</v>
      </c>
      <c r="N10" s="11">
        <f t="shared" si="1"/>
        <v>0</v>
      </c>
      <c r="O10" s="11">
        <f t="shared" si="1"/>
        <v>0</v>
      </c>
      <c r="P10" s="11">
        <f t="shared" si="1"/>
        <v>0</v>
      </c>
      <c r="Q10" s="11">
        <f t="shared" si="1"/>
        <v>0</v>
      </c>
      <c r="R10" s="11">
        <f t="shared" si="1"/>
        <v>0</v>
      </c>
      <c r="S10" s="11">
        <f t="shared" si="1"/>
        <v>0</v>
      </c>
      <c r="T10" s="11">
        <f t="shared" si="1"/>
        <v>0</v>
      </c>
      <c r="U10" s="11">
        <f t="shared" si="1"/>
        <v>0</v>
      </c>
      <c r="V10" s="11">
        <f t="shared" si="1"/>
        <v>0</v>
      </c>
      <c r="W10" s="11">
        <f t="shared" si="1"/>
        <v>0</v>
      </c>
      <c r="X10" s="11">
        <f t="shared" si="1"/>
        <v>0</v>
      </c>
      <c r="Y10" s="11">
        <f t="shared" si="1"/>
        <v>0</v>
      </c>
      <c r="Z10" s="11">
        <f t="shared" si="1"/>
        <v>0</v>
      </c>
      <c r="AA10" s="11">
        <f t="shared" si="1"/>
        <v>0</v>
      </c>
      <c r="AB10" s="11">
        <f t="shared" si="1"/>
        <v>0</v>
      </c>
      <c r="AC10" s="11">
        <f t="shared" si="1"/>
        <v>0</v>
      </c>
      <c r="AD10" s="11">
        <f t="shared" si="1"/>
        <v>0</v>
      </c>
      <c r="AE10" s="11">
        <f t="shared" si="1"/>
        <v>0</v>
      </c>
      <c r="AF10" s="11">
        <f t="shared" si="1"/>
        <v>0</v>
      </c>
      <c r="AG10" s="11">
        <f t="shared" si="1"/>
        <v>0</v>
      </c>
      <c r="AH10" s="11">
        <f t="shared" si="1"/>
        <v>0</v>
      </c>
      <c r="AI10" s="11">
        <f t="shared" si="1"/>
        <v>0</v>
      </c>
      <c r="AJ10" s="11">
        <f t="shared" si="1"/>
        <v>0</v>
      </c>
      <c r="AK10" s="11">
        <f t="shared" si="1"/>
        <v>0</v>
      </c>
      <c r="AL10" s="11">
        <f t="shared" si="1"/>
        <v>0</v>
      </c>
      <c r="AM10" s="11">
        <f t="shared" si="1"/>
        <v>0</v>
      </c>
      <c r="AN10" s="11">
        <f t="shared" si="1"/>
        <v>0</v>
      </c>
      <c r="AO10" s="11">
        <f t="shared" si="1"/>
        <v>0</v>
      </c>
      <c r="AP10" s="11">
        <f t="shared" si="1"/>
        <v>0</v>
      </c>
      <c r="AQ10" s="11">
        <f t="shared" si="1"/>
        <v>0</v>
      </c>
      <c r="AR10" s="11">
        <f t="shared" si="1"/>
        <v>0</v>
      </c>
      <c r="AS10" s="11">
        <f t="shared" si="1"/>
        <v>0</v>
      </c>
      <c r="AT10" s="11">
        <f t="shared" si="1"/>
        <v>0</v>
      </c>
      <c r="AU10" s="11">
        <f t="shared" si="1"/>
        <v>0</v>
      </c>
      <c r="AV10" s="11">
        <f t="shared" si="1"/>
        <v>0</v>
      </c>
      <c r="AW10" s="11">
        <f t="shared" si="1"/>
        <v>0</v>
      </c>
      <c r="AX10" s="11">
        <f t="shared" si="1"/>
        <v>0</v>
      </c>
      <c r="AY10" s="11">
        <f t="shared" si="1"/>
        <v>0</v>
      </c>
      <c r="AZ10" s="11">
        <f t="shared" si="1"/>
        <v>0</v>
      </c>
      <c r="BA10" s="11">
        <f t="shared" si="1"/>
        <v>0</v>
      </c>
      <c r="BB10" s="11">
        <f t="shared" si="1"/>
        <v>0</v>
      </c>
      <c r="BC10" s="11">
        <f t="shared" si="1"/>
        <v>0</v>
      </c>
      <c r="BD10" s="11">
        <f t="shared" si="1"/>
        <v>0</v>
      </c>
      <c r="BE10" s="11">
        <f t="shared" si="1"/>
        <v>0</v>
      </c>
      <c r="BF10" s="11">
        <f t="shared" si="1"/>
        <v>0</v>
      </c>
      <c r="BG10" s="11">
        <f t="shared" si="1"/>
        <v>0</v>
      </c>
      <c r="BH10" s="11">
        <f t="shared" si="1"/>
        <v>0</v>
      </c>
      <c r="BI10" s="11">
        <f t="shared" si="1"/>
        <v>0</v>
      </c>
      <c r="BJ10" s="11">
        <f t="shared" si="1"/>
        <v>0</v>
      </c>
      <c r="BK10" s="11">
        <f t="shared" si="1"/>
        <v>0</v>
      </c>
      <c r="BL10" s="11">
        <f t="shared" si="1"/>
        <v>0</v>
      </c>
      <c r="BM10" s="11">
        <f t="shared" si="1"/>
        <v>0</v>
      </c>
      <c r="BN10" s="11">
        <f t="shared" si="1"/>
        <v>0</v>
      </c>
      <c r="BO10" s="11">
        <f t="shared" si="1"/>
        <v>0</v>
      </c>
      <c r="BP10" s="11">
        <f t="shared" ref="BP10:CZ10" si="2">SUMPRODUCT($B3:$B9,BP3:BP9)</f>
        <v>0</v>
      </c>
      <c r="BQ10" s="11">
        <f t="shared" si="2"/>
        <v>0</v>
      </c>
      <c r="BR10" s="11">
        <f t="shared" si="2"/>
        <v>0</v>
      </c>
      <c r="BS10" s="11">
        <f t="shared" si="2"/>
        <v>0</v>
      </c>
      <c r="BT10" s="11">
        <f t="shared" si="2"/>
        <v>0</v>
      </c>
      <c r="BU10" s="11">
        <f t="shared" si="2"/>
        <v>0</v>
      </c>
      <c r="BV10" s="11">
        <f t="shared" si="2"/>
        <v>0</v>
      </c>
      <c r="BW10" s="11">
        <f t="shared" si="2"/>
        <v>0</v>
      </c>
      <c r="BX10" s="11">
        <f t="shared" si="2"/>
        <v>0</v>
      </c>
      <c r="BY10" s="11">
        <f t="shared" si="2"/>
        <v>0</v>
      </c>
      <c r="BZ10" s="11">
        <f t="shared" si="2"/>
        <v>0</v>
      </c>
      <c r="CA10" s="11">
        <f t="shared" si="2"/>
        <v>0</v>
      </c>
      <c r="CB10" s="11">
        <f t="shared" si="2"/>
        <v>0</v>
      </c>
      <c r="CC10" s="11">
        <f t="shared" si="2"/>
        <v>0</v>
      </c>
      <c r="CD10" s="11">
        <f t="shared" si="2"/>
        <v>0</v>
      </c>
      <c r="CE10" s="11">
        <f t="shared" si="2"/>
        <v>0</v>
      </c>
      <c r="CF10" s="11">
        <f t="shared" si="2"/>
        <v>0</v>
      </c>
      <c r="CG10" s="11">
        <f t="shared" si="2"/>
        <v>0</v>
      </c>
      <c r="CH10" s="11">
        <f t="shared" si="2"/>
        <v>0</v>
      </c>
      <c r="CI10" s="11">
        <f t="shared" si="2"/>
        <v>0</v>
      </c>
      <c r="CJ10" s="11">
        <f t="shared" si="2"/>
        <v>0</v>
      </c>
      <c r="CK10" s="11">
        <f t="shared" si="2"/>
        <v>0</v>
      </c>
      <c r="CL10" s="11">
        <f t="shared" si="2"/>
        <v>0</v>
      </c>
      <c r="CM10" s="11">
        <f t="shared" si="2"/>
        <v>0</v>
      </c>
      <c r="CN10" s="11">
        <f t="shared" si="2"/>
        <v>0</v>
      </c>
      <c r="CO10" s="11">
        <f t="shared" si="2"/>
        <v>0</v>
      </c>
      <c r="CP10" s="11">
        <f t="shared" si="2"/>
        <v>0</v>
      </c>
      <c r="CQ10" s="11">
        <f t="shared" si="2"/>
        <v>0</v>
      </c>
      <c r="CR10" s="11">
        <f t="shared" si="2"/>
        <v>0</v>
      </c>
      <c r="CS10" s="11">
        <f t="shared" si="2"/>
        <v>0</v>
      </c>
      <c r="CT10" s="11">
        <f t="shared" si="2"/>
        <v>0</v>
      </c>
      <c r="CU10" s="11">
        <f t="shared" si="2"/>
        <v>0</v>
      </c>
      <c r="CV10" s="11">
        <f t="shared" si="2"/>
        <v>0</v>
      </c>
      <c r="CW10" s="11">
        <f t="shared" si="2"/>
        <v>0</v>
      </c>
      <c r="CX10" s="11">
        <f t="shared" si="2"/>
        <v>0</v>
      </c>
      <c r="CY10" s="11">
        <f t="shared" si="2"/>
        <v>0</v>
      </c>
      <c r="CZ10" s="11">
        <f t="shared" si="2"/>
        <v>0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</row>
    <row r="11" spans="1:122" ht="18" customHeight="1">
      <c r="A11" s="4" t="s">
        <v>127</v>
      </c>
      <c r="B11" s="14">
        <f>IFERROR(VLOOKUP(A11,PRICELIST!$A$3:$D$138,4,0),"-")</f>
        <v>432.21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9">
        <f t="shared" ref="CY11:CZ19" si="3">C11+E11+G11+I11+K11+M11+O11+Q11+S11+U11+W11+Y11+AA11+AC11+AE11+AG11+AI11+AK11+AM11+AO11+AQ11+AS11+AU11+AW11+AY11+BA11+BC11+BE11+BG11+BI11+BK11+BM11+BO11+BQ11+BS11+BU11+BW11+BY11+CA11+CC11+CE11+CG11+CI11+CK11+CM11+CO11+CQ11+CS11+CU11+CW11</f>
        <v>0</v>
      </c>
      <c r="CZ11" s="19">
        <f t="shared" si="3"/>
        <v>0</v>
      </c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</row>
    <row r="12" spans="1:122" ht="18" customHeight="1">
      <c r="A12" s="4" t="s">
        <v>128</v>
      </c>
      <c r="B12" s="14">
        <f>IFERROR(VLOOKUP(A12,PRICELIST!$A$3:$D$138,4,0),"-")</f>
        <v>107.11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9">
        <f t="shared" si="3"/>
        <v>0</v>
      </c>
      <c r="CZ12" s="19">
        <f t="shared" si="3"/>
        <v>0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</row>
    <row r="13" spans="1:122" ht="18" customHeight="1">
      <c r="A13" s="4" t="s">
        <v>129</v>
      </c>
      <c r="B13" s="14">
        <f>IFERROR(VLOOKUP(A13,PRICELIST!$A$3:$D$138,4,0),"-")</f>
        <v>205.07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9">
        <f t="shared" si="3"/>
        <v>0</v>
      </c>
      <c r="CZ13" s="19">
        <f t="shared" si="3"/>
        <v>0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</row>
    <row r="14" spans="1:122" ht="18" customHeight="1">
      <c r="A14" s="4" t="s">
        <v>130</v>
      </c>
      <c r="B14" s="14">
        <f>IFERROR(VLOOKUP(A14,PRICELIST!$A$3:$D$138,4,0),"-")</f>
        <v>322.70999999999998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9">
        <f t="shared" si="3"/>
        <v>0</v>
      </c>
      <c r="CZ14" s="19">
        <f t="shared" si="3"/>
        <v>0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</row>
    <row r="15" spans="1:122" ht="18" customHeight="1">
      <c r="A15" s="4" t="s">
        <v>118</v>
      </c>
      <c r="B15" s="14">
        <f>IFERROR(VLOOKUP(A15,PRICELIST!$A$3:$D$138,4,0),"-")</f>
        <v>272.23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9">
        <f t="shared" si="3"/>
        <v>0</v>
      </c>
      <c r="CZ15" s="19">
        <f t="shared" si="3"/>
        <v>0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</row>
    <row r="16" spans="1:122" ht="18" customHeight="1">
      <c r="A16" s="4" t="s">
        <v>119</v>
      </c>
      <c r="B16" s="14">
        <f>IFERROR(VLOOKUP(A16,PRICELIST!$A$3:$D$138,4,0),"-")</f>
        <v>352.76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9">
        <f t="shared" si="3"/>
        <v>0</v>
      </c>
      <c r="CZ16" s="19">
        <f t="shared" si="3"/>
        <v>0</v>
      </c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</row>
    <row r="17" spans="1:122" ht="18" customHeight="1">
      <c r="A17" s="4" t="s">
        <v>120</v>
      </c>
      <c r="B17" s="14">
        <f>IFERROR(VLOOKUP(A17,PRICELIST!$A$3:$D$138,4,0),"-")</f>
        <v>137.57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9">
        <f t="shared" si="3"/>
        <v>0</v>
      </c>
      <c r="CZ17" s="19">
        <f t="shared" si="3"/>
        <v>0</v>
      </c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</row>
    <row r="18" spans="1:122" ht="18" customHeight="1">
      <c r="A18" s="32" t="s">
        <v>124</v>
      </c>
      <c r="B18" s="14">
        <f>IFERROR(VLOOKUP(A18,PRICELIST!$A$3:$D$138,4,0),"-")</f>
        <v>647.36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9">
        <f t="shared" si="3"/>
        <v>0</v>
      </c>
      <c r="CZ18" s="19">
        <f t="shared" si="3"/>
        <v>0</v>
      </c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</row>
    <row r="19" spans="1:122" ht="18" customHeight="1">
      <c r="A19" s="4" t="s">
        <v>79</v>
      </c>
      <c r="B19" s="14">
        <f>IFERROR(VLOOKUP(A19,PRICELIST!$A$3:$D$138,4,0),"-")</f>
        <v>110.25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9">
        <f t="shared" si="3"/>
        <v>0</v>
      </c>
      <c r="CZ19" s="19">
        <f t="shared" si="3"/>
        <v>0</v>
      </c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</row>
    <row r="20" spans="1:122" ht="18" customHeight="1">
      <c r="A20" s="33" t="s">
        <v>125</v>
      </c>
      <c r="B20" s="15"/>
      <c r="C20" s="11">
        <f t="shared" ref="C20:BN20" si="4">SUMPRODUCT($B11:$B19,C11:C19)</f>
        <v>0</v>
      </c>
      <c r="D20" s="11">
        <f t="shared" si="4"/>
        <v>0</v>
      </c>
      <c r="E20" s="11">
        <f t="shared" si="4"/>
        <v>0</v>
      </c>
      <c r="F20" s="11">
        <f t="shared" si="4"/>
        <v>0</v>
      </c>
      <c r="G20" s="11">
        <f t="shared" si="4"/>
        <v>0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0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0</v>
      </c>
      <c r="X20" s="11">
        <f t="shared" si="4"/>
        <v>0</v>
      </c>
      <c r="Y20" s="11">
        <f t="shared" si="4"/>
        <v>0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  <c r="AI20" s="11">
        <f t="shared" si="4"/>
        <v>0</v>
      </c>
      <c r="AJ20" s="11">
        <f t="shared" si="4"/>
        <v>0</v>
      </c>
      <c r="AK20" s="11">
        <f t="shared" si="4"/>
        <v>0</v>
      </c>
      <c r="AL20" s="11">
        <f t="shared" si="4"/>
        <v>0</v>
      </c>
      <c r="AM20" s="11">
        <f t="shared" si="4"/>
        <v>0</v>
      </c>
      <c r="AN20" s="11">
        <f t="shared" si="4"/>
        <v>0</v>
      </c>
      <c r="AO20" s="11">
        <f t="shared" si="4"/>
        <v>0</v>
      </c>
      <c r="AP20" s="11">
        <f t="shared" si="4"/>
        <v>0</v>
      </c>
      <c r="AQ20" s="11">
        <f t="shared" si="4"/>
        <v>0</v>
      </c>
      <c r="AR20" s="11">
        <f t="shared" si="4"/>
        <v>0</v>
      </c>
      <c r="AS20" s="11">
        <f t="shared" si="4"/>
        <v>0</v>
      </c>
      <c r="AT20" s="11">
        <f t="shared" si="4"/>
        <v>0</v>
      </c>
      <c r="AU20" s="11">
        <f t="shared" si="4"/>
        <v>0</v>
      </c>
      <c r="AV20" s="11">
        <f t="shared" si="4"/>
        <v>0</v>
      </c>
      <c r="AW20" s="11">
        <f t="shared" si="4"/>
        <v>0</v>
      </c>
      <c r="AX20" s="11">
        <f t="shared" si="4"/>
        <v>0</v>
      </c>
      <c r="AY20" s="11">
        <f t="shared" si="4"/>
        <v>0</v>
      </c>
      <c r="AZ20" s="11">
        <f t="shared" si="4"/>
        <v>0</v>
      </c>
      <c r="BA20" s="11">
        <f t="shared" si="4"/>
        <v>0</v>
      </c>
      <c r="BB20" s="11">
        <f t="shared" si="4"/>
        <v>0</v>
      </c>
      <c r="BC20" s="11">
        <f t="shared" si="4"/>
        <v>0</v>
      </c>
      <c r="BD20" s="11">
        <f t="shared" si="4"/>
        <v>0</v>
      </c>
      <c r="BE20" s="11">
        <f t="shared" si="4"/>
        <v>0</v>
      </c>
      <c r="BF20" s="11">
        <f t="shared" si="4"/>
        <v>0</v>
      </c>
      <c r="BG20" s="11">
        <f t="shared" si="4"/>
        <v>0</v>
      </c>
      <c r="BH20" s="11">
        <f t="shared" si="4"/>
        <v>0</v>
      </c>
      <c r="BI20" s="11">
        <f t="shared" si="4"/>
        <v>0</v>
      </c>
      <c r="BJ20" s="11">
        <f t="shared" si="4"/>
        <v>0</v>
      </c>
      <c r="BK20" s="11">
        <f t="shared" si="4"/>
        <v>0</v>
      </c>
      <c r="BL20" s="11">
        <f t="shared" si="4"/>
        <v>0</v>
      </c>
      <c r="BM20" s="11">
        <f t="shared" si="4"/>
        <v>0</v>
      </c>
      <c r="BN20" s="11">
        <f t="shared" si="4"/>
        <v>0</v>
      </c>
      <c r="BO20" s="11">
        <f t="shared" ref="BO20:CZ20" si="5">SUMPRODUCT($B11:$B19,BO11:BO19)</f>
        <v>0</v>
      </c>
      <c r="BP20" s="11">
        <f t="shared" si="5"/>
        <v>0</v>
      </c>
      <c r="BQ20" s="11">
        <f t="shared" si="5"/>
        <v>0</v>
      </c>
      <c r="BR20" s="11">
        <f t="shared" si="5"/>
        <v>0</v>
      </c>
      <c r="BS20" s="11">
        <f t="shared" si="5"/>
        <v>0</v>
      </c>
      <c r="BT20" s="11">
        <f t="shared" si="5"/>
        <v>0</v>
      </c>
      <c r="BU20" s="11">
        <f t="shared" si="5"/>
        <v>0</v>
      </c>
      <c r="BV20" s="11">
        <f t="shared" si="5"/>
        <v>0</v>
      </c>
      <c r="BW20" s="11">
        <f t="shared" si="5"/>
        <v>0</v>
      </c>
      <c r="BX20" s="11">
        <f t="shared" si="5"/>
        <v>0</v>
      </c>
      <c r="BY20" s="11">
        <f t="shared" si="5"/>
        <v>0</v>
      </c>
      <c r="BZ20" s="11">
        <f t="shared" si="5"/>
        <v>0</v>
      </c>
      <c r="CA20" s="11">
        <f t="shared" si="5"/>
        <v>0</v>
      </c>
      <c r="CB20" s="11">
        <f t="shared" si="5"/>
        <v>0</v>
      </c>
      <c r="CC20" s="11">
        <f t="shared" si="5"/>
        <v>0</v>
      </c>
      <c r="CD20" s="11">
        <f t="shared" si="5"/>
        <v>0</v>
      </c>
      <c r="CE20" s="11">
        <f t="shared" si="5"/>
        <v>0</v>
      </c>
      <c r="CF20" s="11">
        <f t="shared" si="5"/>
        <v>0</v>
      </c>
      <c r="CG20" s="11">
        <f t="shared" si="5"/>
        <v>0</v>
      </c>
      <c r="CH20" s="11">
        <f t="shared" si="5"/>
        <v>0</v>
      </c>
      <c r="CI20" s="11">
        <f t="shared" si="5"/>
        <v>0</v>
      </c>
      <c r="CJ20" s="11">
        <f t="shared" si="5"/>
        <v>0</v>
      </c>
      <c r="CK20" s="11">
        <f t="shared" si="5"/>
        <v>0</v>
      </c>
      <c r="CL20" s="11">
        <f t="shared" si="5"/>
        <v>0</v>
      </c>
      <c r="CM20" s="11">
        <f t="shared" si="5"/>
        <v>0</v>
      </c>
      <c r="CN20" s="11">
        <f t="shared" si="5"/>
        <v>0</v>
      </c>
      <c r="CO20" s="11">
        <f t="shared" si="5"/>
        <v>0</v>
      </c>
      <c r="CP20" s="11">
        <f t="shared" si="5"/>
        <v>0</v>
      </c>
      <c r="CQ20" s="11">
        <f t="shared" si="5"/>
        <v>0</v>
      </c>
      <c r="CR20" s="11">
        <f t="shared" si="5"/>
        <v>0</v>
      </c>
      <c r="CS20" s="11">
        <f t="shared" si="5"/>
        <v>0</v>
      </c>
      <c r="CT20" s="11">
        <f t="shared" si="5"/>
        <v>0</v>
      </c>
      <c r="CU20" s="11">
        <f t="shared" si="5"/>
        <v>0</v>
      </c>
      <c r="CV20" s="11">
        <f t="shared" si="5"/>
        <v>0</v>
      </c>
      <c r="CW20" s="11">
        <f t="shared" si="5"/>
        <v>0</v>
      </c>
      <c r="CX20" s="11">
        <f t="shared" si="5"/>
        <v>0</v>
      </c>
      <c r="CY20" s="11">
        <f t="shared" si="5"/>
        <v>0</v>
      </c>
      <c r="CZ20" s="11">
        <f t="shared" si="5"/>
        <v>0</v>
      </c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</row>
    <row r="21" spans="1:122" ht="18" customHeight="1">
      <c r="A21" s="13" t="s">
        <v>80</v>
      </c>
      <c r="B21" s="14">
        <f>IFERROR(VLOOKUP(A21,PRICELIST!$A$3:$D$138,4,0),"-")</f>
        <v>128.88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9">
        <f t="shared" ref="CY21:CZ23" si="6">C21+E21+G21+I21+K21+M21+O21+Q21+S21+U21+W21+Y21+AA21+AC21+AE21+AG21+AI21+AK21+AM21+AO21+AQ21+AS21+AU21+AW21+AY21+BA21+BC21+BE21+BG21+BI21+BK21+BM21+BO21+BQ21+BS21+BU21+BW21+BY21+CA21+CC21+CE21+CG21+CI21+CK21+CM21+CO21+CQ21+CS21+CU21+CW21</f>
        <v>0</v>
      </c>
      <c r="CZ21" s="19">
        <f t="shared" si="6"/>
        <v>0</v>
      </c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</row>
    <row r="22" spans="1:122" ht="18" customHeight="1">
      <c r="A22" s="13" t="s">
        <v>10</v>
      </c>
      <c r="B22" s="14">
        <f>IFERROR(VLOOKUP(A22,PRICELIST!$A$3:$D$138,4,0),"-")</f>
        <v>120.53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9">
        <f t="shared" si="6"/>
        <v>0</v>
      </c>
      <c r="CZ22" s="19">
        <f t="shared" si="6"/>
        <v>0</v>
      </c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</row>
    <row r="23" spans="1:122" ht="18" customHeight="1">
      <c r="A23" s="13" t="s">
        <v>11</v>
      </c>
      <c r="B23" s="14">
        <f>IFERROR(VLOOKUP(A23,PRICELIST!$A$3:$D$138,4,0),"-")</f>
        <v>144.29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9">
        <f t="shared" si="6"/>
        <v>0</v>
      </c>
      <c r="CZ23" s="19">
        <f t="shared" si="6"/>
        <v>0</v>
      </c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</row>
    <row r="24" spans="1:122" ht="18" customHeight="1">
      <c r="A24" s="9" t="s">
        <v>12</v>
      </c>
      <c r="B24" s="10"/>
      <c r="C24" s="11">
        <f>SUMPRODUCT($B21:$B23,C21:C23)</f>
        <v>0</v>
      </c>
      <c r="D24" s="11">
        <f t="shared" ref="D24:BO24" si="7">SUMPRODUCT($B21:$B23,D21:D23)</f>
        <v>0</v>
      </c>
      <c r="E24" s="11">
        <f t="shared" si="7"/>
        <v>0</v>
      </c>
      <c r="F24" s="11">
        <f t="shared" si="7"/>
        <v>0</v>
      </c>
      <c r="G24" s="11">
        <f t="shared" si="7"/>
        <v>0</v>
      </c>
      <c r="H24" s="11">
        <f t="shared" si="7"/>
        <v>0</v>
      </c>
      <c r="I24" s="11">
        <f t="shared" si="7"/>
        <v>0</v>
      </c>
      <c r="J24" s="11">
        <f t="shared" si="7"/>
        <v>0</v>
      </c>
      <c r="K24" s="11">
        <f t="shared" si="7"/>
        <v>0</v>
      </c>
      <c r="L24" s="11">
        <f t="shared" si="7"/>
        <v>0</v>
      </c>
      <c r="M24" s="11">
        <f t="shared" si="7"/>
        <v>0</v>
      </c>
      <c r="N24" s="11">
        <f t="shared" si="7"/>
        <v>0</v>
      </c>
      <c r="O24" s="11">
        <f t="shared" si="7"/>
        <v>0</v>
      </c>
      <c r="P24" s="11">
        <f t="shared" si="7"/>
        <v>0</v>
      </c>
      <c r="Q24" s="11">
        <f t="shared" si="7"/>
        <v>0</v>
      </c>
      <c r="R24" s="11">
        <f t="shared" si="7"/>
        <v>0</v>
      </c>
      <c r="S24" s="11">
        <f t="shared" si="7"/>
        <v>0</v>
      </c>
      <c r="T24" s="11">
        <f t="shared" si="7"/>
        <v>0</v>
      </c>
      <c r="U24" s="11">
        <f t="shared" si="7"/>
        <v>0</v>
      </c>
      <c r="V24" s="11">
        <f t="shared" si="7"/>
        <v>0</v>
      </c>
      <c r="W24" s="11">
        <f t="shared" si="7"/>
        <v>0</v>
      </c>
      <c r="X24" s="11">
        <f t="shared" si="7"/>
        <v>0</v>
      </c>
      <c r="Y24" s="11">
        <f t="shared" si="7"/>
        <v>0</v>
      </c>
      <c r="Z24" s="11">
        <f t="shared" si="7"/>
        <v>0</v>
      </c>
      <c r="AA24" s="11">
        <f t="shared" si="7"/>
        <v>0</v>
      </c>
      <c r="AB24" s="11">
        <f t="shared" si="7"/>
        <v>0</v>
      </c>
      <c r="AC24" s="11">
        <f t="shared" si="7"/>
        <v>0</v>
      </c>
      <c r="AD24" s="11">
        <f t="shared" si="7"/>
        <v>0</v>
      </c>
      <c r="AE24" s="11">
        <f t="shared" si="7"/>
        <v>0</v>
      </c>
      <c r="AF24" s="11">
        <f t="shared" si="7"/>
        <v>0</v>
      </c>
      <c r="AG24" s="11">
        <f t="shared" si="7"/>
        <v>0</v>
      </c>
      <c r="AH24" s="11">
        <f t="shared" si="7"/>
        <v>0</v>
      </c>
      <c r="AI24" s="11">
        <f t="shared" si="7"/>
        <v>0</v>
      </c>
      <c r="AJ24" s="11">
        <f t="shared" si="7"/>
        <v>0</v>
      </c>
      <c r="AK24" s="11">
        <f t="shared" si="7"/>
        <v>0</v>
      </c>
      <c r="AL24" s="11">
        <f t="shared" si="7"/>
        <v>0</v>
      </c>
      <c r="AM24" s="11">
        <f t="shared" si="7"/>
        <v>0</v>
      </c>
      <c r="AN24" s="11">
        <f t="shared" si="7"/>
        <v>0</v>
      </c>
      <c r="AO24" s="11">
        <f t="shared" si="7"/>
        <v>0</v>
      </c>
      <c r="AP24" s="11">
        <f t="shared" si="7"/>
        <v>0</v>
      </c>
      <c r="AQ24" s="11">
        <f t="shared" si="7"/>
        <v>0</v>
      </c>
      <c r="AR24" s="11">
        <f t="shared" si="7"/>
        <v>0</v>
      </c>
      <c r="AS24" s="11">
        <f t="shared" si="7"/>
        <v>0</v>
      </c>
      <c r="AT24" s="11">
        <f t="shared" si="7"/>
        <v>0</v>
      </c>
      <c r="AU24" s="11">
        <f t="shared" si="7"/>
        <v>0</v>
      </c>
      <c r="AV24" s="11">
        <f t="shared" si="7"/>
        <v>0</v>
      </c>
      <c r="AW24" s="11">
        <f t="shared" si="7"/>
        <v>0</v>
      </c>
      <c r="AX24" s="11">
        <f t="shared" si="7"/>
        <v>0</v>
      </c>
      <c r="AY24" s="11">
        <f t="shared" si="7"/>
        <v>0</v>
      </c>
      <c r="AZ24" s="11">
        <f t="shared" si="7"/>
        <v>0</v>
      </c>
      <c r="BA24" s="11">
        <f t="shared" si="7"/>
        <v>0</v>
      </c>
      <c r="BB24" s="11">
        <f t="shared" si="7"/>
        <v>0</v>
      </c>
      <c r="BC24" s="11">
        <f t="shared" si="7"/>
        <v>0</v>
      </c>
      <c r="BD24" s="11">
        <f t="shared" si="7"/>
        <v>0</v>
      </c>
      <c r="BE24" s="11">
        <f t="shared" si="7"/>
        <v>0</v>
      </c>
      <c r="BF24" s="11">
        <f t="shared" si="7"/>
        <v>0</v>
      </c>
      <c r="BG24" s="11">
        <f t="shared" si="7"/>
        <v>0</v>
      </c>
      <c r="BH24" s="11">
        <f t="shared" si="7"/>
        <v>0</v>
      </c>
      <c r="BI24" s="11">
        <f t="shared" si="7"/>
        <v>0</v>
      </c>
      <c r="BJ24" s="11">
        <f t="shared" si="7"/>
        <v>0</v>
      </c>
      <c r="BK24" s="11">
        <f t="shared" si="7"/>
        <v>0</v>
      </c>
      <c r="BL24" s="11">
        <f t="shared" si="7"/>
        <v>0</v>
      </c>
      <c r="BM24" s="11">
        <f t="shared" si="7"/>
        <v>0</v>
      </c>
      <c r="BN24" s="11">
        <f t="shared" si="7"/>
        <v>0</v>
      </c>
      <c r="BO24" s="11">
        <f t="shared" si="7"/>
        <v>0</v>
      </c>
      <c r="BP24" s="11">
        <f t="shared" ref="BP24:CZ24" si="8">SUMPRODUCT($B21:$B23,BP21:BP23)</f>
        <v>0</v>
      </c>
      <c r="BQ24" s="11">
        <f t="shared" si="8"/>
        <v>0</v>
      </c>
      <c r="BR24" s="11">
        <f t="shared" si="8"/>
        <v>0</v>
      </c>
      <c r="BS24" s="11">
        <f t="shared" si="8"/>
        <v>0</v>
      </c>
      <c r="BT24" s="11">
        <f t="shared" si="8"/>
        <v>0</v>
      </c>
      <c r="BU24" s="11">
        <f t="shared" si="8"/>
        <v>0</v>
      </c>
      <c r="BV24" s="11">
        <f t="shared" si="8"/>
        <v>0</v>
      </c>
      <c r="BW24" s="11">
        <f t="shared" si="8"/>
        <v>0</v>
      </c>
      <c r="BX24" s="11">
        <f t="shared" si="8"/>
        <v>0</v>
      </c>
      <c r="BY24" s="11">
        <f t="shared" si="8"/>
        <v>0</v>
      </c>
      <c r="BZ24" s="11">
        <f t="shared" si="8"/>
        <v>0</v>
      </c>
      <c r="CA24" s="11">
        <f t="shared" si="8"/>
        <v>0</v>
      </c>
      <c r="CB24" s="11">
        <f t="shared" si="8"/>
        <v>0</v>
      </c>
      <c r="CC24" s="11">
        <f t="shared" si="8"/>
        <v>0</v>
      </c>
      <c r="CD24" s="11">
        <f t="shared" si="8"/>
        <v>0</v>
      </c>
      <c r="CE24" s="11">
        <f t="shared" si="8"/>
        <v>0</v>
      </c>
      <c r="CF24" s="11">
        <f t="shared" si="8"/>
        <v>0</v>
      </c>
      <c r="CG24" s="11">
        <f t="shared" si="8"/>
        <v>0</v>
      </c>
      <c r="CH24" s="11">
        <f t="shared" si="8"/>
        <v>0</v>
      </c>
      <c r="CI24" s="11">
        <f t="shared" si="8"/>
        <v>0</v>
      </c>
      <c r="CJ24" s="11">
        <f t="shared" si="8"/>
        <v>0</v>
      </c>
      <c r="CK24" s="11">
        <f t="shared" si="8"/>
        <v>0</v>
      </c>
      <c r="CL24" s="11">
        <f t="shared" si="8"/>
        <v>0</v>
      </c>
      <c r="CM24" s="11">
        <f t="shared" si="8"/>
        <v>0</v>
      </c>
      <c r="CN24" s="11">
        <f t="shared" si="8"/>
        <v>0</v>
      </c>
      <c r="CO24" s="11">
        <f t="shared" si="8"/>
        <v>0</v>
      </c>
      <c r="CP24" s="11">
        <f t="shared" si="8"/>
        <v>0</v>
      </c>
      <c r="CQ24" s="11">
        <f t="shared" si="8"/>
        <v>0</v>
      </c>
      <c r="CR24" s="11">
        <f t="shared" si="8"/>
        <v>0</v>
      </c>
      <c r="CS24" s="11">
        <f t="shared" si="8"/>
        <v>0</v>
      </c>
      <c r="CT24" s="11">
        <f t="shared" si="8"/>
        <v>0</v>
      </c>
      <c r="CU24" s="11">
        <f t="shared" si="8"/>
        <v>0</v>
      </c>
      <c r="CV24" s="11">
        <f t="shared" si="8"/>
        <v>0</v>
      </c>
      <c r="CW24" s="11">
        <f t="shared" si="8"/>
        <v>0</v>
      </c>
      <c r="CX24" s="11">
        <f t="shared" si="8"/>
        <v>0</v>
      </c>
      <c r="CY24" s="11">
        <f t="shared" si="8"/>
        <v>0</v>
      </c>
      <c r="CZ24" s="11">
        <f t="shared" si="8"/>
        <v>0</v>
      </c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</row>
    <row r="25" spans="1:122" ht="18" customHeight="1">
      <c r="A25" s="13" t="s">
        <v>13</v>
      </c>
      <c r="B25" s="14">
        <f>IFERROR(VLOOKUP(A25,PRICELIST!$A$3:$D$138,4,0),"-")</f>
        <v>110.57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9">
        <f t="shared" ref="CY25:CZ26" si="9">C25+E25+G25+I25+K25+M25+O25+Q25+S25+U25+W25+Y25+AA25+AC25+AE25+AG25+AI25+AK25+AM25+AO25+AQ25+AS25+AU25+AW25+AY25+BA25+BC25+BE25+BG25+BI25+BK25+BM25+BO25+BQ25+BS25+BU25+BW25+BY25+CA25+CC25+CE25+CG25+CI25+CK25+CM25+CO25+CQ25+CS25+CU25+CW25</f>
        <v>0</v>
      </c>
      <c r="CZ25" s="19">
        <f t="shared" si="9"/>
        <v>0</v>
      </c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</row>
    <row r="26" spans="1:122" ht="18" customHeight="1">
      <c r="A26" s="13" t="s">
        <v>14</v>
      </c>
      <c r="B26" s="14">
        <f>IFERROR(VLOOKUP(A26,PRICELIST!$A$3:$D$138,4,0),"-")</f>
        <v>184.82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9">
        <f t="shared" si="9"/>
        <v>0</v>
      </c>
      <c r="CZ26" s="19">
        <f t="shared" si="9"/>
        <v>0</v>
      </c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</row>
    <row r="27" spans="1:122" ht="18" customHeight="1">
      <c r="A27" s="9" t="s">
        <v>15</v>
      </c>
      <c r="B27" s="10"/>
      <c r="C27" s="11">
        <f>SUMPRODUCT($B25:$B26,C25:C26)</f>
        <v>0</v>
      </c>
      <c r="D27" s="11">
        <f t="shared" ref="D27:BO27" si="10">SUMPRODUCT($B25:$B26,D25:D26)</f>
        <v>0</v>
      </c>
      <c r="E27" s="11">
        <f t="shared" si="10"/>
        <v>0</v>
      </c>
      <c r="F27" s="11">
        <f t="shared" si="10"/>
        <v>0</v>
      </c>
      <c r="G27" s="11">
        <f t="shared" si="10"/>
        <v>0</v>
      </c>
      <c r="H27" s="11">
        <f t="shared" si="10"/>
        <v>0</v>
      </c>
      <c r="I27" s="11">
        <f t="shared" si="10"/>
        <v>0</v>
      </c>
      <c r="J27" s="11">
        <f t="shared" si="10"/>
        <v>0</v>
      </c>
      <c r="K27" s="11">
        <f t="shared" si="10"/>
        <v>0</v>
      </c>
      <c r="L27" s="11">
        <f t="shared" si="10"/>
        <v>0</v>
      </c>
      <c r="M27" s="11">
        <f t="shared" si="10"/>
        <v>0</v>
      </c>
      <c r="N27" s="11">
        <f t="shared" si="10"/>
        <v>0</v>
      </c>
      <c r="O27" s="11">
        <f t="shared" si="10"/>
        <v>0</v>
      </c>
      <c r="P27" s="11">
        <f t="shared" si="10"/>
        <v>0</v>
      </c>
      <c r="Q27" s="11">
        <f t="shared" si="10"/>
        <v>0</v>
      </c>
      <c r="R27" s="11">
        <f t="shared" si="10"/>
        <v>0</v>
      </c>
      <c r="S27" s="11">
        <f t="shared" si="10"/>
        <v>0</v>
      </c>
      <c r="T27" s="11">
        <f t="shared" si="10"/>
        <v>0</v>
      </c>
      <c r="U27" s="11">
        <f t="shared" si="10"/>
        <v>0</v>
      </c>
      <c r="V27" s="11">
        <f t="shared" si="10"/>
        <v>0</v>
      </c>
      <c r="W27" s="11">
        <f t="shared" si="10"/>
        <v>0</v>
      </c>
      <c r="X27" s="11">
        <f t="shared" si="10"/>
        <v>0</v>
      </c>
      <c r="Y27" s="11">
        <f t="shared" si="10"/>
        <v>0</v>
      </c>
      <c r="Z27" s="11">
        <f t="shared" si="10"/>
        <v>0</v>
      </c>
      <c r="AA27" s="11">
        <f t="shared" si="10"/>
        <v>0</v>
      </c>
      <c r="AB27" s="11">
        <f t="shared" si="10"/>
        <v>0</v>
      </c>
      <c r="AC27" s="11">
        <f t="shared" si="10"/>
        <v>0</v>
      </c>
      <c r="AD27" s="11">
        <f t="shared" si="10"/>
        <v>0</v>
      </c>
      <c r="AE27" s="11">
        <f t="shared" si="10"/>
        <v>0</v>
      </c>
      <c r="AF27" s="11">
        <f t="shared" si="10"/>
        <v>0</v>
      </c>
      <c r="AG27" s="11">
        <f t="shared" si="10"/>
        <v>0</v>
      </c>
      <c r="AH27" s="11">
        <f t="shared" si="10"/>
        <v>0</v>
      </c>
      <c r="AI27" s="11">
        <f t="shared" si="10"/>
        <v>0</v>
      </c>
      <c r="AJ27" s="11">
        <f t="shared" si="10"/>
        <v>0</v>
      </c>
      <c r="AK27" s="11">
        <f t="shared" si="10"/>
        <v>0</v>
      </c>
      <c r="AL27" s="11">
        <f t="shared" si="10"/>
        <v>0</v>
      </c>
      <c r="AM27" s="11">
        <f t="shared" si="10"/>
        <v>0</v>
      </c>
      <c r="AN27" s="11">
        <f t="shared" si="10"/>
        <v>0</v>
      </c>
      <c r="AO27" s="11">
        <f t="shared" si="10"/>
        <v>0</v>
      </c>
      <c r="AP27" s="11">
        <f t="shared" si="10"/>
        <v>0</v>
      </c>
      <c r="AQ27" s="11">
        <f t="shared" si="10"/>
        <v>0</v>
      </c>
      <c r="AR27" s="11">
        <f t="shared" si="10"/>
        <v>0</v>
      </c>
      <c r="AS27" s="11">
        <f t="shared" si="10"/>
        <v>0</v>
      </c>
      <c r="AT27" s="11">
        <f t="shared" si="10"/>
        <v>0</v>
      </c>
      <c r="AU27" s="11">
        <f t="shared" si="10"/>
        <v>0</v>
      </c>
      <c r="AV27" s="11">
        <f t="shared" si="10"/>
        <v>0</v>
      </c>
      <c r="AW27" s="11">
        <f t="shared" si="10"/>
        <v>0</v>
      </c>
      <c r="AX27" s="11">
        <f t="shared" si="10"/>
        <v>0</v>
      </c>
      <c r="AY27" s="11">
        <f t="shared" si="10"/>
        <v>0</v>
      </c>
      <c r="AZ27" s="11">
        <f t="shared" si="10"/>
        <v>0</v>
      </c>
      <c r="BA27" s="11">
        <f t="shared" si="10"/>
        <v>0</v>
      </c>
      <c r="BB27" s="11">
        <f t="shared" si="10"/>
        <v>0</v>
      </c>
      <c r="BC27" s="11">
        <f t="shared" si="10"/>
        <v>0</v>
      </c>
      <c r="BD27" s="11">
        <f t="shared" si="10"/>
        <v>0</v>
      </c>
      <c r="BE27" s="11">
        <f t="shared" si="10"/>
        <v>0</v>
      </c>
      <c r="BF27" s="11">
        <f t="shared" si="10"/>
        <v>0</v>
      </c>
      <c r="BG27" s="11">
        <f t="shared" si="10"/>
        <v>0</v>
      </c>
      <c r="BH27" s="11">
        <f t="shared" si="10"/>
        <v>0</v>
      </c>
      <c r="BI27" s="11">
        <f t="shared" si="10"/>
        <v>0</v>
      </c>
      <c r="BJ27" s="11">
        <f t="shared" si="10"/>
        <v>0</v>
      </c>
      <c r="BK27" s="11">
        <f t="shared" si="10"/>
        <v>0</v>
      </c>
      <c r="BL27" s="11">
        <f t="shared" si="10"/>
        <v>0</v>
      </c>
      <c r="BM27" s="11">
        <f t="shared" si="10"/>
        <v>0</v>
      </c>
      <c r="BN27" s="11">
        <f t="shared" si="10"/>
        <v>0</v>
      </c>
      <c r="BO27" s="11">
        <f t="shared" si="10"/>
        <v>0</v>
      </c>
      <c r="BP27" s="11">
        <f t="shared" ref="BP27:CZ27" si="11">SUMPRODUCT($B25:$B26,BP25:BP26)</f>
        <v>0</v>
      </c>
      <c r="BQ27" s="11">
        <f t="shared" si="11"/>
        <v>0</v>
      </c>
      <c r="BR27" s="11">
        <f t="shared" si="11"/>
        <v>0</v>
      </c>
      <c r="BS27" s="11">
        <f t="shared" si="11"/>
        <v>0</v>
      </c>
      <c r="BT27" s="11">
        <f t="shared" si="11"/>
        <v>0</v>
      </c>
      <c r="BU27" s="11">
        <f t="shared" si="11"/>
        <v>0</v>
      </c>
      <c r="BV27" s="11">
        <f t="shared" si="11"/>
        <v>0</v>
      </c>
      <c r="BW27" s="11">
        <f t="shared" si="11"/>
        <v>0</v>
      </c>
      <c r="BX27" s="11">
        <f t="shared" si="11"/>
        <v>0</v>
      </c>
      <c r="BY27" s="11">
        <f t="shared" si="11"/>
        <v>0</v>
      </c>
      <c r="BZ27" s="11">
        <f t="shared" si="11"/>
        <v>0</v>
      </c>
      <c r="CA27" s="11">
        <f t="shared" si="11"/>
        <v>0</v>
      </c>
      <c r="CB27" s="11">
        <f t="shared" si="11"/>
        <v>0</v>
      </c>
      <c r="CC27" s="11">
        <f t="shared" si="11"/>
        <v>0</v>
      </c>
      <c r="CD27" s="11">
        <f t="shared" si="11"/>
        <v>0</v>
      </c>
      <c r="CE27" s="11">
        <f t="shared" si="11"/>
        <v>0</v>
      </c>
      <c r="CF27" s="11">
        <f t="shared" si="11"/>
        <v>0</v>
      </c>
      <c r="CG27" s="11">
        <f t="shared" si="11"/>
        <v>0</v>
      </c>
      <c r="CH27" s="11">
        <f t="shared" si="11"/>
        <v>0</v>
      </c>
      <c r="CI27" s="11">
        <f t="shared" si="11"/>
        <v>0</v>
      </c>
      <c r="CJ27" s="11">
        <f t="shared" si="11"/>
        <v>0</v>
      </c>
      <c r="CK27" s="11">
        <f t="shared" si="11"/>
        <v>0</v>
      </c>
      <c r="CL27" s="11">
        <f t="shared" si="11"/>
        <v>0</v>
      </c>
      <c r="CM27" s="11">
        <f t="shared" si="11"/>
        <v>0</v>
      </c>
      <c r="CN27" s="11">
        <f t="shared" si="11"/>
        <v>0</v>
      </c>
      <c r="CO27" s="11">
        <f t="shared" si="11"/>
        <v>0</v>
      </c>
      <c r="CP27" s="11">
        <f t="shared" si="11"/>
        <v>0</v>
      </c>
      <c r="CQ27" s="11">
        <f t="shared" si="11"/>
        <v>0</v>
      </c>
      <c r="CR27" s="11">
        <f t="shared" si="11"/>
        <v>0</v>
      </c>
      <c r="CS27" s="11">
        <f t="shared" si="11"/>
        <v>0</v>
      </c>
      <c r="CT27" s="11">
        <f t="shared" si="11"/>
        <v>0</v>
      </c>
      <c r="CU27" s="11">
        <f t="shared" si="11"/>
        <v>0</v>
      </c>
      <c r="CV27" s="11">
        <f t="shared" si="11"/>
        <v>0</v>
      </c>
      <c r="CW27" s="11">
        <f t="shared" si="11"/>
        <v>0</v>
      </c>
      <c r="CX27" s="11">
        <f t="shared" si="11"/>
        <v>0</v>
      </c>
      <c r="CY27" s="11">
        <f t="shared" si="11"/>
        <v>0</v>
      </c>
      <c r="CZ27" s="11">
        <f t="shared" si="11"/>
        <v>0</v>
      </c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</row>
    <row r="28" spans="1:122" ht="18" customHeight="1">
      <c r="A28" s="13" t="s">
        <v>16</v>
      </c>
      <c r="B28" s="14">
        <f>IFERROR(VLOOKUP(A28,PRICELIST!$A$3:$D$138,4,0),"-")</f>
        <v>113.79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9">
        <f t="shared" ref="CY28:CZ33" si="12">C28+E28+G28+I28+K28+M28+O28+Q28+S28+U28+W28+Y28+AA28+AC28+AE28+AG28+AI28+AK28+AM28+AO28+AQ28+AS28+AU28+AW28+AY28+BA28+BC28+BE28+BG28+BI28+BK28+BM28+BO28+BQ28+BS28+BU28+BW28+BY28+CA28+CC28+CE28+CG28+CI28+CK28+CM28+CO28+CQ28+CS28+CU28+CW28</f>
        <v>0</v>
      </c>
      <c r="CZ28" s="19">
        <f t="shared" si="12"/>
        <v>0</v>
      </c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</row>
    <row r="29" spans="1:122" ht="18" customHeight="1">
      <c r="A29" s="13" t="s">
        <v>17</v>
      </c>
      <c r="B29" s="14">
        <f>IFERROR(VLOOKUP(A29,PRICELIST!$A$3:$D$138,4,0),"-")</f>
        <v>188.04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9">
        <f t="shared" si="12"/>
        <v>0</v>
      </c>
      <c r="CZ29" s="19">
        <f t="shared" si="12"/>
        <v>0</v>
      </c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</row>
    <row r="30" spans="1:122" ht="18" customHeight="1">
      <c r="A30" s="13" t="s">
        <v>18</v>
      </c>
      <c r="B30" s="14">
        <f>IFERROR(VLOOKUP(A30,PRICELIST!$A$3:$D$138,4,0),"-")</f>
        <v>68.16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9">
        <f t="shared" si="12"/>
        <v>0</v>
      </c>
      <c r="CZ30" s="19">
        <f t="shared" si="12"/>
        <v>0</v>
      </c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</row>
    <row r="31" spans="1:122" ht="18" customHeight="1">
      <c r="A31" s="13" t="s">
        <v>19</v>
      </c>
      <c r="B31" s="14">
        <f>IFERROR(VLOOKUP(A31,PRICELIST!$A$3:$D$138,4,0),"-")</f>
        <v>101.57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9">
        <f t="shared" si="12"/>
        <v>0</v>
      </c>
      <c r="CZ31" s="19">
        <f t="shared" si="12"/>
        <v>0</v>
      </c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</row>
    <row r="32" spans="1:122" ht="18" customHeight="1">
      <c r="A32" s="13" t="s">
        <v>20</v>
      </c>
      <c r="B32" s="14">
        <f>IFERROR(VLOOKUP(A32,PRICELIST!$A$3:$D$138,4,0),"-")</f>
        <v>164.73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9">
        <f t="shared" si="12"/>
        <v>0</v>
      </c>
      <c r="CZ32" s="19">
        <f t="shared" si="12"/>
        <v>0</v>
      </c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</row>
    <row r="33" spans="1:122" ht="18" customHeight="1">
      <c r="A33" s="13" t="s">
        <v>21</v>
      </c>
      <c r="B33" s="14">
        <f>IFERROR(VLOOKUP(A33,PRICELIST!$A$3:$D$138,4,0),"-")</f>
        <v>78.099999999999994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9">
        <f t="shared" si="12"/>
        <v>0</v>
      </c>
      <c r="CZ33" s="19">
        <f t="shared" si="12"/>
        <v>0</v>
      </c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</row>
    <row r="34" spans="1:122" ht="18" customHeight="1">
      <c r="A34" s="9" t="s">
        <v>22</v>
      </c>
      <c r="B34" s="10"/>
      <c r="C34" s="11">
        <f>SUMPRODUCT($B28:$B33,C28:C33)</f>
        <v>0</v>
      </c>
      <c r="D34" s="11">
        <f t="shared" ref="D34:BO34" si="13">SUMPRODUCT($B28:$B33,D28:D33)</f>
        <v>0</v>
      </c>
      <c r="E34" s="11">
        <f t="shared" si="13"/>
        <v>0</v>
      </c>
      <c r="F34" s="11">
        <f t="shared" si="13"/>
        <v>0</v>
      </c>
      <c r="G34" s="11">
        <f t="shared" si="13"/>
        <v>0</v>
      </c>
      <c r="H34" s="11">
        <f t="shared" si="13"/>
        <v>0</v>
      </c>
      <c r="I34" s="11">
        <f t="shared" si="13"/>
        <v>0</v>
      </c>
      <c r="J34" s="11">
        <f t="shared" si="13"/>
        <v>0</v>
      </c>
      <c r="K34" s="11">
        <f t="shared" si="13"/>
        <v>0</v>
      </c>
      <c r="L34" s="11">
        <f t="shared" si="13"/>
        <v>0</v>
      </c>
      <c r="M34" s="11">
        <f t="shared" si="13"/>
        <v>0</v>
      </c>
      <c r="N34" s="11">
        <f t="shared" si="13"/>
        <v>0</v>
      </c>
      <c r="O34" s="11">
        <f t="shared" si="13"/>
        <v>0</v>
      </c>
      <c r="P34" s="11">
        <f t="shared" si="13"/>
        <v>0</v>
      </c>
      <c r="Q34" s="11">
        <f t="shared" si="13"/>
        <v>0</v>
      </c>
      <c r="R34" s="11">
        <f t="shared" si="13"/>
        <v>0</v>
      </c>
      <c r="S34" s="11">
        <f t="shared" si="13"/>
        <v>0</v>
      </c>
      <c r="T34" s="11">
        <f t="shared" si="13"/>
        <v>0</v>
      </c>
      <c r="U34" s="11">
        <f t="shared" si="13"/>
        <v>0</v>
      </c>
      <c r="V34" s="11">
        <f t="shared" si="13"/>
        <v>0</v>
      </c>
      <c r="W34" s="11">
        <f t="shared" si="13"/>
        <v>0</v>
      </c>
      <c r="X34" s="11">
        <f t="shared" si="13"/>
        <v>0</v>
      </c>
      <c r="Y34" s="11">
        <f t="shared" si="13"/>
        <v>0</v>
      </c>
      <c r="Z34" s="11">
        <f t="shared" si="13"/>
        <v>0</v>
      </c>
      <c r="AA34" s="11">
        <f t="shared" si="13"/>
        <v>0</v>
      </c>
      <c r="AB34" s="11">
        <f t="shared" si="13"/>
        <v>0</v>
      </c>
      <c r="AC34" s="11">
        <f t="shared" si="13"/>
        <v>0</v>
      </c>
      <c r="AD34" s="11">
        <f t="shared" si="13"/>
        <v>0</v>
      </c>
      <c r="AE34" s="11">
        <f t="shared" si="13"/>
        <v>0</v>
      </c>
      <c r="AF34" s="11">
        <f t="shared" si="13"/>
        <v>0</v>
      </c>
      <c r="AG34" s="11">
        <f t="shared" si="13"/>
        <v>0</v>
      </c>
      <c r="AH34" s="11">
        <f t="shared" si="13"/>
        <v>0</v>
      </c>
      <c r="AI34" s="11">
        <f t="shared" si="13"/>
        <v>0</v>
      </c>
      <c r="AJ34" s="11">
        <f t="shared" si="13"/>
        <v>0</v>
      </c>
      <c r="AK34" s="11">
        <f t="shared" si="13"/>
        <v>0</v>
      </c>
      <c r="AL34" s="11">
        <f t="shared" si="13"/>
        <v>0</v>
      </c>
      <c r="AM34" s="11">
        <f t="shared" si="13"/>
        <v>0</v>
      </c>
      <c r="AN34" s="11">
        <f t="shared" si="13"/>
        <v>0</v>
      </c>
      <c r="AO34" s="11">
        <f t="shared" si="13"/>
        <v>0</v>
      </c>
      <c r="AP34" s="11">
        <f t="shared" si="13"/>
        <v>0</v>
      </c>
      <c r="AQ34" s="11">
        <f t="shared" si="13"/>
        <v>0</v>
      </c>
      <c r="AR34" s="11">
        <f t="shared" si="13"/>
        <v>0</v>
      </c>
      <c r="AS34" s="11">
        <f t="shared" si="13"/>
        <v>0</v>
      </c>
      <c r="AT34" s="11">
        <f t="shared" si="13"/>
        <v>0</v>
      </c>
      <c r="AU34" s="11">
        <f t="shared" si="13"/>
        <v>0</v>
      </c>
      <c r="AV34" s="11">
        <f t="shared" si="13"/>
        <v>0</v>
      </c>
      <c r="AW34" s="11">
        <f t="shared" si="13"/>
        <v>0</v>
      </c>
      <c r="AX34" s="11">
        <f t="shared" si="13"/>
        <v>0</v>
      </c>
      <c r="AY34" s="11">
        <f t="shared" si="13"/>
        <v>0</v>
      </c>
      <c r="AZ34" s="11">
        <f t="shared" si="13"/>
        <v>0</v>
      </c>
      <c r="BA34" s="11">
        <f t="shared" si="13"/>
        <v>0</v>
      </c>
      <c r="BB34" s="11">
        <f t="shared" si="13"/>
        <v>0</v>
      </c>
      <c r="BC34" s="11">
        <f t="shared" si="13"/>
        <v>0</v>
      </c>
      <c r="BD34" s="11">
        <f t="shared" si="13"/>
        <v>0</v>
      </c>
      <c r="BE34" s="11">
        <f t="shared" si="13"/>
        <v>0</v>
      </c>
      <c r="BF34" s="11">
        <f t="shared" si="13"/>
        <v>0</v>
      </c>
      <c r="BG34" s="11">
        <f t="shared" si="13"/>
        <v>0</v>
      </c>
      <c r="BH34" s="11">
        <f t="shared" si="13"/>
        <v>0</v>
      </c>
      <c r="BI34" s="11">
        <f t="shared" si="13"/>
        <v>0</v>
      </c>
      <c r="BJ34" s="11">
        <f t="shared" si="13"/>
        <v>0</v>
      </c>
      <c r="BK34" s="11">
        <f t="shared" si="13"/>
        <v>0</v>
      </c>
      <c r="BL34" s="11">
        <f t="shared" si="13"/>
        <v>0</v>
      </c>
      <c r="BM34" s="11">
        <f t="shared" si="13"/>
        <v>0</v>
      </c>
      <c r="BN34" s="11">
        <f t="shared" si="13"/>
        <v>0</v>
      </c>
      <c r="BO34" s="11">
        <f t="shared" si="13"/>
        <v>0</v>
      </c>
      <c r="BP34" s="11">
        <f t="shared" ref="BP34:CZ34" si="14">SUMPRODUCT($B28:$B33,BP28:BP33)</f>
        <v>0</v>
      </c>
      <c r="BQ34" s="11">
        <f t="shared" si="14"/>
        <v>0</v>
      </c>
      <c r="BR34" s="11">
        <f t="shared" si="14"/>
        <v>0</v>
      </c>
      <c r="BS34" s="11">
        <f t="shared" si="14"/>
        <v>0</v>
      </c>
      <c r="BT34" s="11">
        <f t="shared" si="14"/>
        <v>0</v>
      </c>
      <c r="BU34" s="11">
        <f t="shared" si="14"/>
        <v>0</v>
      </c>
      <c r="BV34" s="11">
        <f t="shared" si="14"/>
        <v>0</v>
      </c>
      <c r="BW34" s="11">
        <f t="shared" si="14"/>
        <v>0</v>
      </c>
      <c r="BX34" s="11">
        <f t="shared" si="14"/>
        <v>0</v>
      </c>
      <c r="BY34" s="11">
        <f t="shared" si="14"/>
        <v>0</v>
      </c>
      <c r="BZ34" s="11">
        <f t="shared" si="14"/>
        <v>0</v>
      </c>
      <c r="CA34" s="11">
        <f t="shared" si="14"/>
        <v>0</v>
      </c>
      <c r="CB34" s="11">
        <f t="shared" si="14"/>
        <v>0</v>
      </c>
      <c r="CC34" s="11">
        <f t="shared" si="14"/>
        <v>0</v>
      </c>
      <c r="CD34" s="11">
        <f t="shared" si="14"/>
        <v>0</v>
      </c>
      <c r="CE34" s="11">
        <f t="shared" si="14"/>
        <v>0</v>
      </c>
      <c r="CF34" s="11">
        <f t="shared" si="14"/>
        <v>0</v>
      </c>
      <c r="CG34" s="11">
        <f t="shared" si="14"/>
        <v>0</v>
      </c>
      <c r="CH34" s="11">
        <f t="shared" si="14"/>
        <v>0</v>
      </c>
      <c r="CI34" s="11">
        <f t="shared" si="14"/>
        <v>0</v>
      </c>
      <c r="CJ34" s="11">
        <f t="shared" si="14"/>
        <v>0</v>
      </c>
      <c r="CK34" s="11">
        <f t="shared" si="14"/>
        <v>0</v>
      </c>
      <c r="CL34" s="11">
        <f t="shared" si="14"/>
        <v>0</v>
      </c>
      <c r="CM34" s="11">
        <f t="shared" si="14"/>
        <v>0</v>
      </c>
      <c r="CN34" s="11">
        <f t="shared" si="14"/>
        <v>0</v>
      </c>
      <c r="CO34" s="11">
        <f t="shared" si="14"/>
        <v>0</v>
      </c>
      <c r="CP34" s="11">
        <f t="shared" si="14"/>
        <v>0</v>
      </c>
      <c r="CQ34" s="11">
        <f t="shared" si="14"/>
        <v>0</v>
      </c>
      <c r="CR34" s="11">
        <f t="shared" si="14"/>
        <v>0</v>
      </c>
      <c r="CS34" s="11">
        <f t="shared" si="14"/>
        <v>0</v>
      </c>
      <c r="CT34" s="11">
        <f t="shared" si="14"/>
        <v>0</v>
      </c>
      <c r="CU34" s="11">
        <f t="shared" si="14"/>
        <v>0</v>
      </c>
      <c r="CV34" s="11">
        <f t="shared" si="14"/>
        <v>0</v>
      </c>
      <c r="CW34" s="11">
        <f t="shared" si="14"/>
        <v>0</v>
      </c>
      <c r="CX34" s="11">
        <f t="shared" si="14"/>
        <v>0</v>
      </c>
      <c r="CY34" s="11">
        <f t="shared" si="14"/>
        <v>0</v>
      </c>
      <c r="CZ34" s="11">
        <f t="shared" si="14"/>
        <v>0</v>
      </c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</row>
    <row r="35" spans="1:122" ht="18" customHeight="1">
      <c r="A35" s="13" t="s">
        <v>23</v>
      </c>
      <c r="B35" s="14">
        <f>IFERROR(VLOOKUP(A35,PRICELIST!$A$3:$D$138,4,0),"-")</f>
        <v>60.11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9">
        <f t="shared" ref="CY35:CZ36" si="15">C35+E35+G35+I35+K35+M35+O35+Q35+S35+U35+W35+Y35+AA35+AC35+AE35+AG35+AI35+AK35+AM35+AO35+AQ35+AS35+AU35+AW35+AY35+BA35+BC35+BE35+BG35+BI35+BK35+BM35+BO35+BQ35+BS35+BU35+BW35+BY35+CA35+CC35+CE35+CG35+CI35+CK35+CM35+CO35+CQ35+CS35+CU35+CW35</f>
        <v>0</v>
      </c>
      <c r="CZ35" s="19">
        <f t="shared" si="15"/>
        <v>0</v>
      </c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</row>
    <row r="36" spans="1:122" ht="18" customHeight="1">
      <c r="A36" s="13" t="s">
        <v>24</v>
      </c>
      <c r="B36" s="14">
        <f>IFERROR(VLOOKUP(A36,PRICELIST!$A$3:$D$138,4,0),"-")</f>
        <v>91.2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9">
        <f t="shared" si="15"/>
        <v>0</v>
      </c>
      <c r="CZ36" s="19">
        <f t="shared" si="15"/>
        <v>0</v>
      </c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</row>
    <row r="37" spans="1:122" ht="18" customHeight="1">
      <c r="A37" s="9" t="s">
        <v>25</v>
      </c>
      <c r="B37" s="10"/>
      <c r="C37" s="11">
        <f>SUMPRODUCT($B35:$B36,C35:C36)</f>
        <v>0</v>
      </c>
      <c r="D37" s="11">
        <f t="shared" ref="D37:BO37" si="16">SUMPRODUCT($B35:$B36,D35:D36)</f>
        <v>0</v>
      </c>
      <c r="E37" s="11">
        <f t="shared" si="16"/>
        <v>0</v>
      </c>
      <c r="F37" s="11">
        <f t="shared" si="16"/>
        <v>0</v>
      </c>
      <c r="G37" s="11">
        <f t="shared" si="16"/>
        <v>0</v>
      </c>
      <c r="H37" s="11">
        <f t="shared" si="16"/>
        <v>0</v>
      </c>
      <c r="I37" s="11">
        <f t="shared" si="16"/>
        <v>0</v>
      </c>
      <c r="J37" s="11">
        <f t="shared" si="16"/>
        <v>0</v>
      </c>
      <c r="K37" s="11">
        <f t="shared" si="16"/>
        <v>0</v>
      </c>
      <c r="L37" s="11">
        <f t="shared" si="16"/>
        <v>0</v>
      </c>
      <c r="M37" s="11">
        <f t="shared" si="16"/>
        <v>0</v>
      </c>
      <c r="N37" s="11">
        <f t="shared" si="16"/>
        <v>0</v>
      </c>
      <c r="O37" s="11">
        <f t="shared" si="16"/>
        <v>0</v>
      </c>
      <c r="P37" s="11">
        <f t="shared" si="16"/>
        <v>0</v>
      </c>
      <c r="Q37" s="11">
        <f t="shared" si="16"/>
        <v>0</v>
      </c>
      <c r="R37" s="11">
        <f t="shared" si="16"/>
        <v>0</v>
      </c>
      <c r="S37" s="11">
        <f t="shared" si="16"/>
        <v>0</v>
      </c>
      <c r="T37" s="11">
        <f t="shared" si="16"/>
        <v>0</v>
      </c>
      <c r="U37" s="11">
        <f t="shared" si="16"/>
        <v>0</v>
      </c>
      <c r="V37" s="11">
        <f t="shared" si="16"/>
        <v>0</v>
      </c>
      <c r="W37" s="11">
        <f t="shared" si="16"/>
        <v>0</v>
      </c>
      <c r="X37" s="11">
        <f t="shared" si="16"/>
        <v>0</v>
      </c>
      <c r="Y37" s="11">
        <f t="shared" si="16"/>
        <v>0</v>
      </c>
      <c r="Z37" s="11">
        <f t="shared" si="16"/>
        <v>0</v>
      </c>
      <c r="AA37" s="11">
        <f t="shared" si="16"/>
        <v>0</v>
      </c>
      <c r="AB37" s="11">
        <f t="shared" si="16"/>
        <v>0</v>
      </c>
      <c r="AC37" s="11">
        <f t="shared" si="16"/>
        <v>0</v>
      </c>
      <c r="AD37" s="11">
        <f t="shared" si="16"/>
        <v>0</v>
      </c>
      <c r="AE37" s="11">
        <f t="shared" si="16"/>
        <v>0</v>
      </c>
      <c r="AF37" s="11">
        <f t="shared" si="16"/>
        <v>0</v>
      </c>
      <c r="AG37" s="11">
        <f t="shared" si="16"/>
        <v>0</v>
      </c>
      <c r="AH37" s="11">
        <f t="shared" si="16"/>
        <v>0</v>
      </c>
      <c r="AI37" s="11">
        <f t="shared" si="16"/>
        <v>0</v>
      </c>
      <c r="AJ37" s="11">
        <f t="shared" si="16"/>
        <v>0</v>
      </c>
      <c r="AK37" s="11">
        <f t="shared" si="16"/>
        <v>0</v>
      </c>
      <c r="AL37" s="11">
        <f t="shared" si="16"/>
        <v>0</v>
      </c>
      <c r="AM37" s="11">
        <f t="shared" si="16"/>
        <v>0</v>
      </c>
      <c r="AN37" s="11">
        <f t="shared" si="16"/>
        <v>0</v>
      </c>
      <c r="AO37" s="11">
        <f t="shared" si="16"/>
        <v>0</v>
      </c>
      <c r="AP37" s="11">
        <f t="shared" si="16"/>
        <v>0</v>
      </c>
      <c r="AQ37" s="11">
        <f t="shared" si="16"/>
        <v>0</v>
      </c>
      <c r="AR37" s="11">
        <f t="shared" si="16"/>
        <v>0</v>
      </c>
      <c r="AS37" s="11">
        <f t="shared" si="16"/>
        <v>0</v>
      </c>
      <c r="AT37" s="11">
        <f t="shared" si="16"/>
        <v>0</v>
      </c>
      <c r="AU37" s="11">
        <f t="shared" si="16"/>
        <v>0</v>
      </c>
      <c r="AV37" s="11">
        <f t="shared" si="16"/>
        <v>0</v>
      </c>
      <c r="AW37" s="11">
        <f t="shared" si="16"/>
        <v>0</v>
      </c>
      <c r="AX37" s="11">
        <f t="shared" si="16"/>
        <v>0</v>
      </c>
      <c r="AY37" s="11">
        <f t="shared" si="16"/>
        <v>0</v>
      </c>
      <c r="AZ37" s="11">
        <f t="shared" si="16"/>
        <v>0</v>
      </c>
      <c r="BA37" s="11">
        <f t="shared" si="16"/>
        <v>0</v>
      </c>
      <c r="BB37" s="11">
        <f t="shared" si="16"/>
        <v>0</v>
      </c>
      <c r="BC37" s="11">
        <f t="shared" si="16"/>
        <v>0</v>
      </c>
      <c r="BD37" s="11">
        <f t="shared" si="16"/>
        <v>0</v>
      </c>
      <c r="BE37" s="11">
        <f t="shared" si="16"/>
        <v>0</v>
      </c>
      <c r="BF37" s="11">
        <f t="shared" si="16"/>
        <v>0</v>
      </c>
      <c r="BG37" s="11">
        <f t="shared" si="16"/>
        <v>0</v>
      </c>
      <c r="BH37" s="11">
        <f t="shared" si="16"/>
        <v>0</v>
      </c>
      <c r="BI37" s="11">
        <f t="shared" si="16"/>
        <v>0</v>
      </c>
      <c r="BJ37" s="11">
        <f t="shared" si="16"/>
        <v>0</v>
      </c>
      <c r="BK37" s="11">
        <f t="shared" si="16"/>
        <v>0</v>
      </c>
      <c r="BL37" s="11">
        <f t="shared" si="16"/>
        <v>0</v>
      </c>
      <c r="BM37" s="11">
        <f t="shared" si="16"/>
        <v>0</v>
      </c>
      <c r="BN37" s="11">
        <f t="shared" si="16"/>
        <v>0</v>
      </c>
      <c r="BO37" s="11">
        <f t="shared" si="16"/>
        <v>0</v>
      </c>
      <c r="BP37" s="11">
        <f t="shared" ref="BP37:CZ37" si="17">SUMPRODUCT($B35:$B36,BP35:BP36)</f>
        <v>0</v>
      </c>
      <c r="BQ37" s="11">
        <f t="shared" si="17"/>
        <v>0</v>
      </c>
      <c r="BR37" s="11">
        <f t="shared" si="17"/>
        <v>0</v>
      </c>
      <c r="BS37" s="11">
        <f t="shared" si="17"/>
        <v>0</v>
      </c>
      <c r="BT37" s="11">
        <f t="shared" si="17"/>
        <v>0</v>
      </c>
      <c r="BU37" s="11">
        <f t="shared" si="17"/>
        <v>0</v>
      </c>
      <c r="BV37" s="11">
        <f t="shared" si="17"/>
        <v>0</v>
      </c>
      <c r="BW37" s="11">
        <f t="shared" si="17"/>
        <v>0</v>
      </c>
      <c r="BX37" s="11">
        <f t="shared" si="17"/>
        <v>0</v>
      </c>
      <c r="BY37" s="11">
        <f t="shared" si="17"/>
        <v>0</v>
      </c>
      <c r="BZ37" s="11">
        <f t="shared" si="17"/>
        <v>0</v>
      </c>
      <c r="CA37" s="11">
        <f t="shared" si="17"/>
        <v>0</v>
      </c>
      <c r="CB37" s="11">
        <f t="shared" si="17"/>
        <v>0</v>
      </c>
      <c r="CC37" s="11">
        <f t="shared" si="17"/>
        <v>0</v>
      </c>
      <c r="CD37" s="11">
        <f t="shared" si="17"/>
        <v>0</v>
      </c>
      <c r="CE37" s="11">
        <f t="shared" si="17"/>
        <v>0</v>
      </c>
      <c r="CF37" s="11">
        <f t="shared" si="17"/>
        <v>0</v>
      </c>
      <c r="CG37" s="11">
        <f t="shared" si="17"/>
        <v>0</v>
      </c>
      <c r="CH37" s="11">
        <f t="shared" si="17"/>
        <v>0</v>
      </c>
      <c r="CI37" s="11">
        <f t="shared" si="17"/>
        <v>0</v>
      </c>
      <c r="CJ37" s="11">
        <f t="shared" si="17"/>
        <v>0</v>
      </c>
      <c r="CK37" s="11">
        <f t="shared" si="17"/>
        <v>0</v>
      </c>
      <c r="CL37" s="11">
        <f t="shared" si="17"/>
        <v>0</v>
      </c>
      <c r="CM37" s="11">
        <f t="shared" si="17"/>
        <v>0</v>
      </c>
      <c r="CN37" s="11">
        <f t="shared" si="17"/>
        <v>0</v>
      </c>
      <c r="CO37" s="11">
        <f t="shared" si="17"/>
        <v>0</v>
      </c>
      <c r="CP37" s="11">
        <f t="shared" si="17"/>
        <v>0</v>
      </c>
      <c r="CQ37" s="11">
        <f t="shared" si="17"/>
        <v>0</v>
      </c>
      <c r="CR37" s="11">
        <f t="shared" si="17"/>
        <v>0</v>
      </c>
      <c r="CS37" s="11">
        <f t="shared" si="17"/>
        <v>0</v>
      </c>
      <c r="CT37" s="11">
        <f t="shared" si="17"/>
        <v>0</v>
      </c>
      <c r="CU37" s="11">
        <f t="shared" si="17"/>
        <v>0</v>
      </c>
      <c r="CV37" s="11">
        <f t="shared" si="17"/>
        <v>0</v>
      </c>
      <c r="CW37" s="11">
        <f t="shared" si="17"/>
        <v>0</v>
      </c>
      <c r="CX37" s="11">
        <f t="shared" si="17"/>
        <v>0</v>
      </c>
      <c r="CY37" s="11">
        <f t="shared" si="17"/>
        <v>0</v>
      </c>
      <c r="CZ37" s="11">
        <f t="shared" si="17"/>
        <v>0</v>
      </c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</row>
    <row r="38" spans="1:122" ht="18" customHeight="1">
      <c r="A38" s="13" t="s">
        <v>26</v>
      </c>
      <c r="B38" s="14">
        <f>IFERROR(VLOOKUP(A38,PRICELIST!$A$3:$D$138,4,0),"-")</f>
        <v>159.75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9">
        <f t="shared" ref="CY38:CZ39" si="18">C38+E38+G38+I38+K38+M38+O38+Q38+S38+U38+W38+Y38+AA38+AC38+AE38+AG38+AI38+AK38+AM38+AO38+AQ38+AS38+AU38+AW38+AY38+BA38+BC38+BE38+BG38+BI38+BK38+BM38+BO38+BQ38+BS38+BU38+BW38+BY38+CA38+CC38+CE38+CG38+CI38+CK38+CM38+CO38+CQ38+CS38+CU38+CW38</f>
        <v>0</v>
      </c>
      <c r="CZ38" s="19">
        <f t="shared" si="18"/>
        <v>0</v>
      </c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</row>
    <row r="39" spans="1:122" ht="18" customHeight="1">
      <c r="A39" s="13" t="s">
        <v>27</v>
      </c>
      <c r="B39" s="14">
        <f>IFERROR(VLOOKUP(A39,PRICELIST!$A$3:$D$138,4,0),"-")</f>
        <v>83.59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9">
        <f t="shared" si="18"/>
        <v>0</v>
      </c>
      <c r="CZ39" s="19">
        <f t="shared" si="18"/>
        <v>0</v>
      </c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</row>
    <row r="40" spans="1:122" ht="18" customHeight="1">
      <c r="A40" s="9" t="s">
        <v>28</v>
      </c>
      <c r="B40" s="10"/>
      <c r="C40" s="11">
        <f>SUMPRODUCT($B38:$B39,C38:C39)</f>
        <v>0</v>
      </c>
      <c r="D40" s="11">
        <f t="shared" ref="D40:BO40" si="19">SUMPRODUCT($B38:$B39,D38:D39)</f>
        <v>0</v>
      </c>
      <c r="E40" s="11">
        <f t="shared" si="19"/>
        <v>0</v>
      </c>
      <c r="F40" s="11">
        <f t="shared" si="19"/>
        <v>0</v>
      </c>
      <c r="G40" s="11">
        <f t="shared" si="19"/>
        <v>0</v>
      </c>
      <c r="H40" s="11">
        <f t="shared" si="19"/>
        <v>0</v>
      </c>
      <c r="I40" s="11">
        <f t="shared" si="19"/>
        <v>0</v>
      </c>
      <c r="J40" s="11">
        <f t="shared" si="19"/>
        <v>0</v>
      </c>
      <c r="K40" s="11">
        <f t="shared" si="19"/>
        <v>0</v>
      </c>
      <c r="L40" s="11">
        <f t="shared" si="19"/>
        <v>0</v>
      </c>
      <c r="M40" s="11">
        <f t="shared" si="19"/>
        <v>0</v>
      </c>
      <c r="N40" s="11">
        <f t="shared" si="19"/>
        <v>0</v>
      </c>
      <c r="O40" s="11">
        <f t="shared" si="19"/>
        <v>0</v>
      </c>
      <c r="P40" s="11">
        <f t="shared" si="19"/>
        <v>0</v>
      </c>
      <c r="Q40" s="11">
        <f t="shared" si="19"/>
        <v>0</v>
      </c>
      <c r="R40" s="11">
        <f t="shared" si="19"/>
        <v>0</v>
      </c>
      <c r="S40" s="11">
        <f t="shared" si="19"/>
        <v>0</v>
      </c>
      <c r="T40" s="11">
        <f t="shared" si="19"/>
        <v>0</v>
      </c>
      <c r="U40" s="11">
        <f t="shared" si="19"/>
        <v>0</v>
      </c>
      <c r="V40" s="11">
        <f t="shared" si="19"/>
        <v>0</v>
      </c>
      <c r="W40" s="11">
        <f t="shared" si="19"/>
        <v>0</v>
      </c>
      <c r="X40" s="11">
        <f t="shared" si="19"/>
        <v>0</v>
      </c>
      <c r="Y40" s="11">
        <f t="shared" si="19"/>
        <v>0</v>
      </c>
      <c r="Z40" s="11">
        <f t="shared" si="19"/>
        <v>0</v>
      </c>
      <c r="AA40" s="11">
        <f t="shared" si="19"/>
        <v>0</v>
      </c>
      <c r="AB40" s="11">
        <f t="shared" si="19"/>
        <v>0</v>
      </c>
      <c r="AC40" s="11">
        <f t="shared" si="19"/>
        <v>0</v>
      </c>
      <c r="AD40" s="11">
        <f t="shared" si="19"/>
        <v>0</v>
      </c>
      <c r="AE40" s="11">
        <f t="shared" si="19"/>
        <v>0</v>
      </c>
      <c r="AF40" s="11">
        <f t="shared" si="19"/>
        <v>0</v>
      </c>
      <c r="AG40" s="11">
        <f t="shared" si="19"/>
        <v>0</v>
      </c>
      <c r="AH40" s="11">
        <f t="shared" si="19"/>
        <v>0</v>
      </c>
      <c r="AI40" s="11">
        <f t="shared" si="19"/>
        <v>0</v>
      </c>
      <c r="AJ40" s="11">
        <f t="shared" si="19"/>
        <v>0</v>
      </c>
      <c r="AK40" s="11">
        <f t="shared" si="19"/>
        <v>0</v>
      </c>
      <c r="AL40" s="11">
        <f t="shared" si="19"/>
        <v>0</v>
      </c>
      <c r="AM40" s="11">
        <f t="shared" si="19"/>
        <v>0</v>
      </c>
      <c r="AN40" s="11">
        <f t="shared" si="19"/>
        <v>0</v>
      </c>
      <c r="AO40" s="11">
        <f t="shared" si="19"/>
        <v>0</v>
      </c>
      <c r="AP40" s="11">
        <f t="shared" si="19"/>
        <v>0</v>
      </c>
      <c r="AQ40" s="11">
        <f t="shared" si="19"/>
        <v>0</v>
      </c>
      <c r="AR40" s="11">
        <f t="shared" si="19"/>
        <v>0</v>
      </c>
      <c r="AS40" s="11">
        <f t="shared" si="19"/>
        <v>0</v>
      </c>
      <c r="AT40" s="11">
        <f t="shared" si="19"/>
        <v>0</v>
      </c>
      <c r="AU40" s="11">
        <f t="shared" si="19"/>
        <v>0</v>
      </c>
      <c r="AV40" s="11">
        <f t="shared" si="19"/>
        <v>0</v>
      </c>
      <c r="AW40" s="11">
        <f t="shared" si="19"/>
        <v>0</v>
      </c>
      <c r="AX40" s="11">
        <f t="shared" si="19"/>
        <v>0</v>
      </c>
      <c r="AY40" s="11">
        <f t="shared" si="19"/>
        <v>0</v>
      </c>
      <c r="AZ40" s="11">
        <f t="shared" si="19"/>
        <v>0</v>
      </c>
      <c r="BA40" s="11">
        <f t="shared" si="19"/>
        <v>0</v>
      </c>
      <c r="BB40" s="11">
        <f t="shared" si="19"/>
        <v>0</v>
      </c>
      <c r="BC40" s="11">
        <f t="shared" si="19"/>
        <v>0</v>
      </c>
      <c r="BD40" s="11">
        <f t="shared" si="19"/>
        <v>0</v>
      </c>
      <c r="BE40" s="11">
        <f t="shared" si="19"/>
        <v>0</v>
      </c>
      <c r="BF40" s="11">
        <f t="shared" si="19"/>
        <v>0</v>
      </c>
      <c r="BG40" s="11">
        <f t="shared" si="19"/>
        <v>0</v>
      </c>
      <c r="BH40" s="11">
        <f t="shared" si="19"/>
        <v>0</v>
      </c>
      <c r="BI40" s="11">
        <f t="shared" si="19"/>
        <v>0</v>
      </c>
      <c r="BJ40" s="11">
        <f t="shared" si="19"/>
        <v>0</v>
      </c>
      <c r="BK40" s="11">
        <f t="shared" si="19"/>
        <v>0</v>
      </c>
      <c r="BL40" s="11">
        <f t="shared" si="19"/>
        <v>0</v>
      </c>
      <c r="BM40" s="11">
        <f t="shared" si="19"/>
        <v>0</v>
      </c>
      <c r="BN40" s="11">
        <f t="shared" si="19"/>
        <v>0</v>
      </c>
      <c r="BO40" s="11">
        <f t="shared" si="19"/>
        <v>0</v>
      </c>
      <c r="BP40" s="11">
        <f t="shared" ref="BP40:CZ40" si="20">SUMPRODUCT($B38:$B39,BP38:BP39)</f>
        <v>0</v>
      </c>
      <c r="BQ40" s="11">
        <f t="shared" si="20"/>
        <v>0</v>
      </c>
      <c r="BR40" s="11">
        <f t="shared" si="20"/>
        <v>0</v>
      </c>
      <c r="BS40" s="11">
        <f t="shared" si="20"/>
        <v>0</v>
      </c>
      <c r="BT40" s="11">
        <f t="shared" si="20"/>
        <v>0</v>
      </c>
      <c r="BU40" s="11">
        <f t="shared" si="20"/>
        <v>0</v>
      </c>
      <c r="BV40" s="11">
        <f t="shared" si="20"/>
        <v>0</v>
      </c>
      <c r="BW40" s="11">
        <f t="shared" si="20"/>
        <v>0</v>
      </c>
      <c r="BX40" s="11">
        <f t="shared" si="20"/>
        <v>0</v>
      </c>
      <c r="BY40" s="11">
        <f t="shared" si="20"/>
        <v>0</v>
      </c>
      <c r="BZ40" s="11">
        <f t="shared" si="20"/>
        <v>0</v>
      </c>
      <c r="CA40" s="11">
        <f t="shared" si="20"/>
        <v>0</v>
      </c>
      <c r="CB40" s="11">
        <f t="shared" si="20"/>
        <v>0</v>
      </c>
      <c r="CC40" s="11">
        <f t="shared" si="20"/>
        <v>0</v>
      </c>
      <c r="CD40" s="11">
        <f t="shared" si="20"/>
        <v>0</v>
      </c>
      <c r="CE40" s="11">
        <f t="shared" si="20"/>
        <v>0</v>
      </c>
      <c r="CF40" s="11">
        <f t="shared" si="20"/>
        <v>0</v>
      </c>
      <c r="CG40" s="11">
        <f t="shared" si="20"/>
        <v>0</v>
      </c>
      <c r="CH40" s="11">
        <f t="shared" si="20"/>
        <v>0</v>
      </c>
      <c r="CI40" s="11">
        <f t="shared" si="20"/>
        <v>0</v>
      </c>
      <c r="CJ40" s="11">
        <f t="shared" si="20"/>
        <v>0</v>
      </c>
      <c r="CK40" s="11">
        <f t="shared" si="20"/>
        <v>0</v>
      </c>
      <c r="CL40" s="11">
        <f t="shared" si="20"/>
        <v>0</v>
      </c>
      <c r="CM40" s="11">
        <f t="shared" si="20"/>
        <v>0</v>
      </c>
      <c r="CN40" s="11">
        <f t="shared" si="20"/>
        <v>0</v>
      </c>
      <c r="CO40" s="11">
        <f t="shared" si="20"/>
        <v>0</v>
      </c>
      <c r="CP40" s="11">
        <f t="shared" si="20"/>
        <v>0</v>
      </c>
      <c r="CQ40" s="11">
        <f t="shared" si="20"/>
        <v>0</v>
      </c>
      <c r="CR40" s="11">
        <f t="shared" si="20"/>
        <v>0</v>
      </c>
      <c r="CS40" s="11">
        <f t="shared" si="20"/>
        <v>0</v>
      </c>
      <c r="CT40" s="11">
        <f t="shared" si="20"/>
        <v>0</v>
      </c>
      <c r="CU40" s="11">
        <f t="shared" si="20"/>
        <v>0</v>
      </c>
      <c r="CV40" s="11">
        <f t="shared" si="20"/>
        <v>0</v>
      </c>
      <c r="CW40" s="11">
        <f t="shared" si="20"/>
        <v>0</v>
      </c>
      <c r="CX40" s="11">
        <f t="shared" si="20"/>
        <v>0</v>
      </c>
      <c r="CY40" s="11">
        <f t="shared" si="20"/>
        <v>0</v>
      </c>
      <c r="CZ40" s="11">
        <f t="shared" si="20"/>
        <v>0</v>
      </c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</row>
    <row r="41" spans="1:122" ht="18" customHeight="1">
      <c r="A41" s="13" t="s">
        <v>29</v>
      </c>
      <c r="B41" s="14">
        <f>IFERROR(VLOOKUP(A41,PRICELIST!$A$3:$D$138,4,0),"-")</f>
        <v>78.790000000000006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9">
        <f t="shared" ref="CY41:CZ46" si="21">C41+E41+G41+I41+K41+M41+O41+Q41+S41+U41+W41+Y41+AA41+AC41+AE41+AG41+AI41+AK41+AM41+AO41+AQ41+AS41+AU41+AW41+AY41+BA41+BC41+BE41+BG41+BI41+BK41+BM41+BO41+BQ41+BS41+BU41+BW41+BY41+CA41+CC41+CE41+CG41+CI41+CK41+CM41+CO41+CQ41+CS41+CU41+CW41</f>
        <v>0</v>
      </c>
      <c r="CZ41" s="19">
        <f t="shared" si="21"/>
        <v>0</v>
      </c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</row>
    <row r="42" spans="1:122" ht="18" customHeight="1">
      <c r="A42" s="13" t="s">
        <v>30</v>
      </c>
      <c r="B42" s="14">
        <f>IFERROR(VLOOKUP(A42,PRICELIST!$A$3:$D$138,4,0),"-")</f>
        <v>142.29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9">
        <f t="shared" si="21"/>
        <v>0</v>
      </c>
      <c r="CZ42" s="19">
        <f t="shared" si="21"/>
        <v>0</v>
      </c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</row>
    <row r="43" spans="1:122" ht="18" customHeight="1">
      <c r="A43" s="13" t="s">
        <v>31</v>
      </c>
      <c r="B43" s="14">
        <f>IFERROR(VLOOKUP(A43,PRICELIST!$A$3:$D$138,4,0),"-")</f>
        <v>35.36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9">
        <f t="shared" si="21"/>
        <v>0</v>
      </c>
      <c r="CZ43" s="19">
        <f t="shared" si="21"/>
        <v>0</v>
      </c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</row>
    <row r="44" spans="1:122" ht="18" customHeight="1">
      <c r="A44" s="13" t="s">
        <v>32</v>
      </c>
      <c r="B44" s="14">
        <f>IFERROR(VLOOKUP(A44,PRICELIST!$A$3:$D$138,4,0),"-")</f>
        <v>175.18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9">
        <f t="shared" si="21"/>
        <v>0</v>
      </c>
      <c r="CZ44" s="19">
        <f t="shared" si="21"/>
        <v>0</v>
      </c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</row>
    <row r="45" spans="1:122" ht="18" customHeight="1">
      <c r="A45" s="13" t="s">
        <v>33</v>
      </c>
      <c r="B45" s="14">
        <f>IFERROR(VLOOKUP(A45,PRICELIST!$A$3:$D$138,4,0),"-")</f>
        <v>42.72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9">
        <f t="shared" si="21"/>
        <v>0</v>
      </c>
      <c r="CZ45" s="19">
        <f t="shared" si="21"/>
        <v>0</v>
      </c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</row>
    <row r="46" spans="1:122" ht="18" customHeight="1">
      <c r="A46" s="13" t="s">
        <v>34</v>
      </c>
      <c r="B46" s="14">
        <f>IFERROR(VLOOKUP(A46,PRICELIST!$A$3:$D$138,4,0),"-")</f>
        <v>84.28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9">
        <f t="shared" si="21"/>
        <v>0</v>
      </c>
      <c r="CZ46" s="19">
        <f t="shared" si="21"/>
        <v>0</v>
      </c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</row>
    <row r="47" spans="1:122" ht="18" customHeight="1">
      <c r="A47" s="9" t="s">
        <v>35</v>
      </c>
      <c r="B47" s="10"/>
      <c r="C47" s="11">
        <f>SUMPRODUCT($B41:$B46,C41:C46)</f>
        <v>0</v>
      </c>
      <c r="D47" s="11">
        <f t="shared" ref="D47:BO47" si="22">SUMPRODUCT($B41:$B46,D41:D46)</f>
        <v>0</v>
      </c>
      <c r="E47" s="11">
        <f t="shared" si="22"/>
        <v>0</v>
      </c>
      <c r="F47" s="11">
        <f t="shared" si="22"/>
        <v>0</v>
      </c>
      <c r="G47" s="11">
        <f t="shared" si="22"/>
        <v>0</v>
      </c>
      <c r="H47" s="11">
        <f t="shared" si="22"/>
        <v>0</v>
      </c>
      <c r="I47" s="11">
        <f t="shared" si="22"/>
        <v>0</v>
      </c>
      <c r="J47" s="11">
        <f t="shared" si="22"/>
        <v>0</v>
      </c>
      <c r="K47" s="11">
        <f t="shared" si="22"/>
        <v>0</v>
      </c>
      <c r="L47" s="11">
        <f t="shared" si="22"/>
        <v>0</v>
      </c>
      <c r="M47" s="11">
        <f t="shared" si="22"/>
        <v>0</v>
      </c>
      <c r="N47" s="11">
        <f t="shared" si="22"/>
        <v>0</v>
      </c>
      <c r="O47" s="11">
        <f t="shared" si="22"/>
        <v>0</v>
      </c>
      <c r="P47" s="11">
        <f t="shared" si="22"/>
        <v>0</v>
      </c>
      <c r="Q47" s="11">
        <f t="shared" si="22"/>
        <v>0</v>
      </c>
      <c r="R47" s="11">
        <f t="shared" si="22"/>
        <v>0</v>
      </c>
      <c r="S47" s="11">
        <f t="shared" si="22"/>
        <v>0</v>
      </c>
      <c r="T47" s="11">
        <f t="shared" si="22"/>
        <v>0</v>
      </c>
      <c r="U47" s="11">
        <f t="shared" si="22"/>
        <v>0</v>
      </c>
      <c r="V47" s="11">
        <f t="shared" si="22"/>
        <v>0</v>
      </c>
      <c r="W47" s="11">
        <f t="shared" si="22"/>
        <v>0</v>
      </c>
      <c r="X47" s="11">
        <f t="shared" si="22"/>
        <v>0</v>
      </c>
      <c r="Y47" s="11">
        <f t="shared" si="22"/>
        <v>0</v>
      </c>
      <c r="Z47" s="11">
        <f t="shared" si="22"/>
        <v>0</v>
      </c>
      <c r="AA47" s="11">
        <f t="shared" si="22"/>
        <v>0</v>
      </c>
      <c r="AB47" s="11">
        <f t="shared" si="22"/>
        <v>0</v>
      </c>
      <c r="AC47" s="11">
        <f t="shared" si="22"/>
        <v>0</v>
      </c>
      <c r="AD47" s="11">
        <f t="shared" si="22"/>
        <v>0</v>
      </c>
      <c r="AE47" s="11">
        <f t="shared" si="22"/>
        <v>0</v>
      </c>
      <c r="AF47" s="11">
        <f t="shared" si="22"/>
        <v>0</v>
      </c>
      <c r="AG47" s="11">
        <f t="shared" si="22"/>
        <v>0</v>
      </c>
      <c r="AH47" s="11">
        <f t="shared" si="22"/>
        <v>0</v>
      </c>
      <c r="AI47" s="11">
        <f t="shared" si="22"/>
        <v>0</v>
      </c>
      <c r="AJ47" s="11">
        <f t="shared" si="22"/>
        <v>0</v>
      </c>
      <c r="AK47" s="11">
        <f t="shared" si="22"/>
        <v>0</v>
      </c>
      <c r="AL47" s="11">
        <f t="shared" si="22"/>
        <v>0</v>
      </c>
      <c r="AM47" s="11">
        <f t="shared" si="22"/>
        <v>0</v>
      </c>
      <c r="AN47" s="11">
        <f t="shared" si="22"/>
        <v>0</v>
      </c>
      <c r="AO47" s="11">
        <f t="shared" si="22"/>
        <v>0</v>
      </c>
      <c r="AP47" s="11">
        <f t="shared" si="22"/>
        <v>0</v>
      </c>
      <c r="AQ47" s="11">
        <f t="shared" si="22"/>
        <v>0</v>
      </c>
      <c r="AR47" s="11">
        <f t="shared" si="22"/>
        <v>0</v>
      </c>
      <c r="AS47" s="11">
        <f t="shared" si="22"/>
        <v>0</v>
      </c>
      <c r="AT47" s="11">
        <f t="shared" si="22"/>
        <v>0</v>
      </c>
      <c r="AU47" s="11">
        <f t="shared" si="22"/>
        <v>0</v>
      </c>
      <c r="AV47" s="11">
        <f t="shared" si="22"/>
        <v>0</v>
      </c>
      <c r="AW47" s="11">
        <f t="shared" si="22"/>
        <v>0</v>
      </c>
      <c r="AX47" s="11">
        <f t="shared" si="22"/>
        <v>0</v>
      </c>
      <c r="AY47" s="11">
        <f t="shared" si="22"/>
        <v>0</v>
      </c>
      <c r="AZ47" s="11">
        <f t="shared" si="22"/>
        <v>0</v>
      </c>
      <c r="BA47" s="11">
        <f t="shared" si="22"/>
        <v>0</v>
      </c>
      <c r="BB47" s="11">
        <f t="shared" si="22"/>
        <v>0</v>
      </c>
      <c r="BC47" s="11">
        <f t="shared" si="22"/>
        <v>0</v>
      </c>
      <c r="BD47" s="11">
        <f t="shared" si="22"/>
        <v>0</v>
      </c>
      <c r="BE47" s="11">
        <f t="shared" si="22"/>
        <v>0</v>
      </c>
      <c r="BF47" s="11">
        <f t="shared" si="22"/>
        <v>0</v>
      </c>
      <c r="BG47" s="11">
        <f t="shared" si="22"/>
        <v>0</v>
      </c>
      <c r="BH47" s="11">
        <f t="shared" si="22"/>
        <v>0</v>
      </c>
      <c r="BI47" s="11">
        <f t="shared" si="22"/>
        <v>0</v>
      </c>
      <c r="BJ47" s="11">
        <f t="shared" si="22"/>
        <v>0</v>
      </c>
      <c r="BK47" s="11">
        <f t="shared" si="22"/>
        <v>0</v>
      </c>
      <c r="BL47" s="11">
        <f t="shared" si="22"/>
        <v>0</v>
      </c>
      <c r="BM47" s="11">
        <f t="shared" si="22"/>
        <v>0</v>
      </c>
      <c r="BN47" s="11">
        <f t="shared" si="22"/>
        <v>0</v>
      </c>
      <c r="BO47" s="11">
        <f t="shared" si="22"/>
        <v>0</v>
      </c>
      <c r="BP47" s="11">
        <f t="shared" ref="BP47:CZ47" si="23">SUMPRODUCT($B41:$B46,BP41:BP46)</f>
        <v>0</v>
      </c>
      <c r="BQ47" s="11">
        <f t="shared" si="23"/>
        <v>0</v>
      </c>
      <c r="BR47" s="11">
        <f t="shared" si="23"/>
        <v>0</v>
      </c>
      <c r="BS47" s="11">
        <f t="shared" si="23"/>
        <v>0</v>
      </c>
      <c r="BT47" s="11">
        <f t="shared" si="23"/>
        <v>0</v>
      </c>
      <c r="BU47" s="11">
        <f t="shared" si="23"/>
        <v>0</v>
      </c>
      <c r="BV47" s="11">
        <f t="shared" si="23"/>
        <v>0</v>
      </c>
      <c r="BW47" s="11">
        <f t="shared" si="23"/>
        <v>0</v>
      </c>
      <c r="BX47" s="11">
        <f t="shared" si="23"/>
        <v>0</v>
      </c>
      <c r="BY47" s="11">
        <f t="shared" si="23"/>
        <v>0</v>
      </c>
      <c r="BZ47" s="11">
        <f t="shared" si="23"/>
        <v>0</v>
      </c>
      <c r="CA47" s="11">
        <f t="shared" si="23"/>
        <v>0</v>
      </c>
      <c r="CB47" s="11">
        <f t="shared" si="23"/>
        <v>0</v>
      </c>
      <c r="CC47" s="11">
        <f t="shared" si="23"/>
        <v>0</v>
      </c>
      <c r="CD47" s="11">
        <f t="shared" si="23"/>
        <v>0</v>
      </c>
      <c r="CE47" s="11">
        <f t="shared" si="23"/>
        <v>0</v>
      </c>
      <c r="CF47" s="11">
        <f t="shared" si="23"/>
        <v>0</v>
      </c>
      <c r="CG47" s="11">
        <f t="shared" si="23"/>
        <v>0</v>
      </c>
      <c r="CH47" s="11">
        <f t="shared" si="23"/>
        <v>0</v>
      </c>
      <c r="CI47" s="11">
        <f t="shared" si="23"/>
        <v>0</v>
      </c>
      <c r="CJ47" s="11">
        <f t="shared" si="23"/>
        <v>0</v>
      </c>
      <c r="CK47" s="11">
        <f t="shared" si="23"/>
        <v>0</v>
      </c>
      <c r="CL47" s="11">
        <f t="shared" si="23"/>
        <v>0</v>
      </c>
      <c r="CM47" s="11">
        <f t="shared" si="23"/>
        <v>0</v>
      </c>
      <c r="CN47" s="11">
        <f t="shared" si="23"/>
        <v>0</v>
      </c>
      <c r="CO47" s="11">
        <f t="shared" si="23"/>
        <v>0</v>
      </c>
      <c r="CP47" s="11">
        <f t="shared" si="23"/>
        <v>0</v>
      </c>
      <c r="CQ47" s="11">
        <f t="shared" si="23"/>
        <v>0</v>
      </c>
      <c r="CR47" s="11">
        <f t="shared" si="23"/>
        <v>0</v>
      </c>
      <c r="CS47" s="11">
        <f t="shared" si="23"/>
        <v>0</v>
      </c>
      <c r="CT47" s="11">
        <f t="shared" si="23"/>
        <v>0</v>
      </c>
      <c r="CU47" s="11">
        <f t="shared" si="23"/>
        <v>0</v>
      </c>
      <c r="CV47" s="11">
        <f t="shared" si="23"/>
        <v>0</v>
      </c>
      <c r="CW47" s="11">
        <f t="shared" si="23"/>
        <v>0</v>
      </c>
      <c r="CX47" s="11">
        <f t="shared" si="23"/>
        <v>0</v>
      </c>
      <c r="CY47" s="11">
        <f t="shared" si="23"/>
        <v>0</v>
      </c>
      <c r="CZ47" s="11">
        <f t="shared" si="23"/>
        <v>0</v>
      </c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</row>
    <row r="48" spans="1:122" ht="18" customHeight="1">
      <c r="A48" s="4" t="s">
        <v>81</v>
      </c>
      <c r="B48" s="14">
        <f>IFERROR(VLOOKUP(A48,PRICELIST!$A$3:$D$138,4,0),"-")</f>
        <v>201.26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9">
        <f t="shared" ref="CY48:CZ48" si="24">C48+E48+G48+I48+K48+M48+O48+Q48+S48+U48+W48+Y48+AA48+AC48+AE48+AG48+AI48+AK48+AM48+AO48+AQ48+AS48+AU48+AW48+AY48+BA48+BC48+BE48+BG48+BI48+BK48+BM48+BO48+BQ48+BS48+BU48+BW48+BY48+CA48+CC48+CE48+CG48+CI48+CK48+CM48+CO48+CQ48+CS48+CU48+CW48</f>
        <v>0</v>
      </c>
      <c r="CZ48" s="19">
        <f t="shared" si="24"/>
        <v>0</v>
      </c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</row>
    <row r="49" spans="1:122" ht="18" customHeight="1">
      <c r="A49" s="9" t="s">
        <v>77</v>
      </c>
      <c r="B49" s="15"/>
      <c r="C49" s="11">
        <f>SUMPRODUCT($B48*C48)</f>
        <v>0</v>
      </c>
      <c r="D49" s="11">
        <f t="shared" ref="D49:BO49" si="25">SUMPRODUCT($B48*D48)</f>
        <v>0</v>
      </c>
      <c r="E49" s="11">
        <f t="shared" si="25"/>
        <v>0</v>
      </c>
      <c r="F49" s="11">
        <f t="shared" si="25"/>
        <v>0</v>
      </c>
      <c r="G49" s="11">
        <f t="shared" si="25"/>
        <v>0</v>
      </c>
      <c r="H49" s="11">
        <f t="shared" si="25"/>
        <v>0</v>
      </c>
      <c r="I49" s="11">
        <f t="shared" si="25"/>
        <v>0</v>
      </c>
      <c r="J49" s="11">
        <f t="shared" si="25"/>
        <v>0</v>
      </c>
      <c r="K49" s="11">
        <f t="shared" si="25"/>
        <v>0</v>
      </c>
      <c r="L49" s="11">
        <f t="shared" si="25"/>
        <v>0</v>
      </c>
      <c r="M49" s="11">
        <f t="shared" si="25"/>
        <v>0</v>
      </c>
      <c r="N49" s="11">
        <f t="shared" si="25"/>
        <v>0</v>
      </c>
      <c r="O49" s="11">
        <f t="shared" si="25"/>
        <v>0</v>
      </c>
      <c r="P49" s="11">
        <f t="shared" si="25"/>
        <v>0</v>
      </c>
      <c r="Q49" s="11">
        <f t="shared" si="25"/>
        <v>0</v>
      </c>
      <c r="R49" s="11">
        <f t="shared" si="25"/>
        <v>0</v>
      </c>
      <c r="S49" s="11">
        <f t="shared" si="25"/>
        <v>0</v>
      </c>
      <c r="T49" s="11">
        <f t="shared" si="25"/>
        <v>0</v>
      </c>
      <c r="U49" s="11">
        <f t="shared" si="25"/>
        <v>0</v>
      </c>
      <c r="V49" s="11">
        <f t="shared" si="25"/>
        <v>0</v>
      </c>
      <c r="W49" s="11">
        <f t="shared" si="25"/>
        <v>0</v>
      </c>
      <c r="X49" s="11">
        <f t="shared" si="25"/>
        <v>0</v>
      </c>
      <c r="Y49" s="11">
        <f t="shared" si="25"/>
        <v>0</v>
      </c>
      <c r="Z49" s="11">
        <f t="shared" si="25"/>
        <v>0</v>
      </c>
      <c r="AA49" s="11">
        <f t="shared" si="25"/>
        <v>0</v>
      </c>
      <c r="AB49" s="11">
        <f t="shared" si="25"/>
        <v>0</v>
      </c>
      <c r="AC49" s="11">
        <f t="shared" si="25"/>
        <v>0</v>
      </c>
      <c r="AD49" s="11">
        <f t="shared" si="25"/>
        <v>0</v>
      </c>
      <c r="AE49" s="11">
        <f t="shared" si="25"/>
        <v>0</v>
      </c>
      <c r="AF49" s="11">
        <f t="shared" si="25"/>
        <v>0</v>
      </c>
      <c r="AG49" s="11">
        <f t="shared" si="25"/>
        <v>0</v>
      </c>
      <c r="AH49" s="11">
        <f t="shared" si="25"/>
        <v>0</v>
      </c>
      <c r="AI49" s="11">
        <f t="shared" si="25"/>
        <v>0</v>
      </c>
      <c r="AJ49" s="11">
        <f t="shared" si="25"/>
        <v>0</v>
      </c>
      <c r="AK49" s="11">
        <f t="shared" si="25"/>
        <v>0</v>
      </c>
      <c r="AL49" s="11">
        <f t="shared" si="25"/>
        <v>0</v>
      </c>
      <c r="AM49" s="11">
        <f t="shared" si="25"/>
        <v>0</v>
      </c>
      <c r="AN49" s="11">
        <f t="shared" si="25"/>
        <v>0</v>
      </c>
      <c r="AO49" s="11">
        <f t="shared" si="25"/>
        <v>0</v>
      </c>
      <c r="AP49" s="11">
        <f t="shared" si="25"/>
        <v>0</v>
      </c>
      <c r="AQ49" s="11">
        <f t="shared" si="25"/>
        <v>0</v>
      </c>
      <c r="AR49" s="11">
        <f t="shared" si="25"/>
        <v>0</v>
      </c>
      <c r="AS49" s="11">
        <f t="shared" si="25"/>
        <v>0</v>
      </c>
      <c r="AT49" s="11">
        <f t="shared" si="25"/>
        <v>0</v>
      </c>
      <c r="AU49" s="11">
        <f t="shared" si="25"/>
        <v>0</v>
      </c>
      <c r="AV49" s="11">
        <f t="shared" si="25"/>
        <v>0</v>
      </c>
      <c r="AW49" s="11">
        <f t="shared" si="25"/>
        <v>0</v>
      </c>
      <c r="AX49" s="11">
        <f t="shared" si="25"/>
        <v>0</v>
      </c>
      <c r="AY49" s="11">
        <f t="shared" si="25"/>
        <v>0</v>
      </c>
      <c r="AZ49" s="11">
        <f t="shared" si="25"/>
        <v>0</v>
      </c>
      <c r="BA49" s="11">
        <f t="shared" si="25"/>
        <v>0</v>
      </c>
      <c r="BB49" s="11">
        <f t="shared" si="25"/>
        <v>0</v>
      </c>
      <c r="BC49" s="11">
        <f t="shared" si="25"/>
        <v>0</v>
      </c>
      <c r="BD49" s="11">
        <f t="shared" si="25"/>
        <v>0</v>
      </c>
      <c r="BE49" s="11">
        <f t="shared" si="25"/>
        <v>0</v>
      </c>
      <c r="BF49" s="11">
        <f t="shared" si="25"/>
        <v>0</v>
      </c>
      <c r="BG49" s="11">
        <f t="shared" si="25"/>
        <v>0</v>
      </c>
      <c r="BH49" s="11">
        <f t="shared" si="25"/>
        <v>0</v>
      </c>
      <c r="BI49" s="11">
        <f t="shared" si="25"/>
        <v>0</v>
      </c>
      <c r="BJ49" s="11">
        <f t="shared" si="25"/>
        <v>0</v>
      </c>
      <c r="BK49" s="11">
        <f t="shared" si="25"/>
        <v>0</v>
      </c>
      <c r="BL49" s="11">
        <f t="shared" si="25"/>
        <v>0</v>
      </c>
      <c r="BM49" s="11">
        <f t="shared" si="25"/>
        <v>0</v>
      </c>
      <c r="BN49" s="11">
        <f t="shared" si="25"/>
        <v>0</v>
      </c>
      <c r="BO49" s="11">
        <f t="shared" si="25"/>
        <v>0</v>
      </c>
      <c r="BP49" s="11">
        <f t="shared" ref="BP49:CZ49" si="26">SUMPRODUCT($B48*BP48)</f>
        <v>0</v>
      </c>
      <c r="BQ49" s="11">
        <f t="shared" si="26"/>
        <v>0</v>
      </c>
      <c r="BR49" s="11">
        <f t="shared" si="26"/>
        <v>0</v>
      </c>
      <c r="BS49" s="11">
        <f t="shared" si="26"/>
        <v>0</v>
      </c>
      <c r="BT49" s="11">
        <f t="shared" si="26"/>
        <v>0</v>
      </c>
      <c r="BU49" s="11">
        <f t="shared" si="26"/>
        <v>0</v>
      </c>
      <c r="BV49" s="11">
        <f t="shared" si="26"/>
        <v>0</v>
      </c>
      <c r="BW49" s="11">
        <f t="shared" si="26"/>
        <v>0</v>
      </c>
      <c r="BX49" s="11">
        <f t="shared" si="26"/>
        <v>0</v>
      </c>
      <c r="BY49" s="11">
        <f t="shared" si="26"/>
        <v>0</v>
      </c>
      <c r="BZ49" s="11">
        <f t="shared" si="26"/>
        <v>0</v>
      </c>
      <c r="CA49" s="11">
        <f t="shared" si="26"/>
        <v>0</v>
      </c>
      <c r="CB49" s="11">
        <f t="shared" si="26"/>
        <v>0</v>
      </c>
      <c r="CC49" s="11">
        <f t="shared" si="26"/>
        <v>0</v>
      </c>
      <c r="CD49" s="11">
        <f t="shared" si="26"/>
        <v>0</v>
      </c>
      <c r="CE49" s="11">
        <f t="shared" si="26"/>
        <v>0</v>
      </c>
      <c r="CF49" s="11">
        <f t="shared" si="26"/>
        <v>0</v>
      </c>
      <c r="CG49" s="11">
        <f t="shared" si="26"/>
        <v>0</v>
      </c>
      <c r="CH49" s="11">
        <f t="shared" si="26"/>
        <v>0</v>
      </c>
      <c r="CI49" s="11">
        <f t="shared" si="26"/>
        <v>0</v>
      </c>
      <c r="CJ49" s="11">
        <f t="shared" si="26"/>
        <v>0</v>
      </c>
      <c r="CK49" s="11">
        <f t="shared" si="26"/>
        <v>0</v>
      </c>
      <c r="CL49" s="11">
        <f t="shared" si="26"/>
        <v>0</v>
      </c>
      <c r="CM49" s="11">
        <f t="shared" si="26"/>
        <v>0</v>
      </c>
      <c r="CN49" s="11">
        <f t="shared" si="26"/>
        <v>0</v>
      </c>
      <c r="CO49" s="11">
        <f t="shared" si="26"/>
        <v>0</v>
      </c>
      <c r="CP49" s="11">
        <f t="shared" si="26"/>
        <v>0</v>
      </c>
      <c r="CQ49" s="11">
        <f t="shared" si="26"/>
        <v>0</v>
      </c>
      <c r="CR49" s="11">
        <f t="shared" si="26"/>
        <v>0</v>
      </c>
      <c r="CS49" s="11">
        <f t="shared" si="26"/>
        <v>0</v>
      </c>
      <c r="CT49" s="11">
        <f t="shared" si="26"/>
        <v>0</v>
      </c>
      <c r="CU49" s="11">
        <f t="shared" si="26"/>
        <v>0</v>
      </c>
      <c r="CV49" s="11">
        <f t="shared" si="26"/>
        <v>0</v>
      </c>
      <c r="CW49" s="11">
        <f t="shared" si="26"/>
        <v>0</v>
      </c>
      <c r="CX49" s="11">
        <f t="shared" si="26"/>
        <v>0</v>
      </c>
      <c r="CY49" s="11">
        <f t="shared" si="26"/>
        <v>0</v>
      </c>
      <c r="CZ49" s="11">
        <f t="shared" si="26"/>
        <v>0</v>
      </c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</row>
    <row r="50" spans="1:122" ht="18" customHeight="1">
      <c r="A50" s="4" t="s">
        <v>82</v>
      </c>
      <c r="B50" s="14">
        <f>IFERROR(VLOOKUP(A50,PRICELIST!$A$3:$D$138,4,0),"-")</f>
        <v>170.19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9">
        <f t="shared" ref="CY50:CZ52" si="27">C50+E50+G50+I50+K50+M50+O50+Q50+S50+U50+W50+Y50+AA50+AC50+AE50+AG50+AI50+AK50+AM50+AO50+AQ50+AS50+AU50+AW50+AY50+BA50+BC50+BE50+BG50+BI50+BK50+BM50+BO50+BQ50+BS50+BU50+BW50+BY50+CA50+CC50+CE50+CG50+CI50+CK50+CM50+CO50+CQ50+CS50+CU50+CW50</f>
        <v>0</v>
      </c>
      <c r="CZ50" s="19">
        <f t="shared" si="27"/>
        <v>0</v>
      </c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</row>
    <row r="51" spans="1:122" ht="18" customHeight="1">
      <c r="A51" s="4" t="s">
        <v>83</v>
      </c>
      <c r="B51" s="14">
        <f>IFERROR(VLOOKUP(A51,PRICELIST!$A$3:$D$138,4,0),"-")</f>
        <v>209.89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9">
        <f t="shared" si="27"/>
        <v>0</v>
      </c>
      <c r="CZ51" s="19">
        <f t="shared" si="27"/>
        <v>0</v>
      </c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</row>
    <row r="52" spans="1:122" ht="18" customHeight="1">
      <c r="A52" s="4" t="s">
        <v>84</v>
      </c>
      <c r="B52" s="14">
        <f>IFERROR(VLOOKUP(A52,PRICELIST!$A$3:$D$138,4,0),"-")</f>
        <v>302.79000000000002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9">
        <f t="shared" si="27"/>
        <v>0</v>
      </c>
      <c r="CZ52" s="19">
        <f t="shared" si="27"/>
        <v>0</v>
      </c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</row>
    <row r="53" spans="1:122" ht="18" customHeight="1">
      <c r="A53" s="9" t="s">
        <v>89</v>
      </c>
      <c r="B53" s="15"/>
      <c r="C53" s="11">
        <f>SUMPRODUCT($B50:$B52,C50:C52)</f>
        <v>0</v>
      </c>
      <c r="D53" s="11">
        <f t="shared" ref="D53:BO53" si="28">SUMPRODUCT($B50:$B52,D50:D52)</f>
        <v>0</v>
      </c>
      <c r="E53" s="11">
        <f t="shared" si="28"/>
        <v>0</v>
      </c>
      <c r="F53" s="11">
        <f t="shared" si="28"/>
        <v>0</v>
      </c>
      <c r="G53" s="11">
        <f t="shared" si="28"/>
        <v>0</v>
      </c>
      <c r="H53" s="11">
        <f t="shared" si="28"/>
        <v>0</v>
      </c>
      <c r="I53" s="11">
        <f t="shared" si="28"/>
        <v>0</v>
      </c>
      <c r="J53" s="11">
        <f t="shared" si="28"/>
        <v>0</v>
      </c>
      <c r="K53" s="11">
        <f t="shared" si="28"/>
        <v>0</v>
      </c>
      <c r="L53" s="11">
        <f t="shared" si="28"/>
        <v>0</v>
      </c>
      <c r="M53" s="11">
        <f t="shared" si="28"/>
        <v>0</v>
      </c>
      <c r="N53" s="11">
        <f t="shared" si="28"/>
        <v>0</v>
      </c>
      <c r="O53" s="11">
        <f t="shared" si="28"/>
        <v>0</v>
      </c>
      <c r="P53" s="11">
        <f t="shared" si="28"/>
        <v>0</v>
      </c>
      <c r="Q53" s="11">
        <f t="shared" si="28"/>
        <v>0</v>
      </c>
      <c r="R53" s="11">
        <f t="shared" si="28"/>
        <v>0</v>
      </c>
      <c r="S53" s="11">
        <f t="shared" si="28"/>
        <v>0</v>
      </c>
      <c r="T53" s="11">
        <f t="shared" si="28"/>
        <v>0</v>
      </c>
      <c r="U53" s="11">
        <f t="shared" si="28"/>
        <v>0</v>
      </c>
      <c r="V53" s="11">
        <f t="shared" si="28"/>
        <v>0</v>
      </c>
      <c r="W53" s="11">
        <f t="shared" si="28"/>
        <v>0</v>
      </c>
      <c r="X53" s="11">
        <f t="shared" si="28"/>
        <v>0</v>
      </c>
      <c r="Y53" s="11">
        <f t="shared" si="28"/>
        <v>0</v>
      </c>
      <c r="Z53" s="11">
        <f t="shared" si="28"/>
        <v>0</v>
      </c>
      <c r="AA53" s="11">
        <f t="shared" si="28"/>
        <v>0</v>
      </c>
      <c r="AB53" s="11">
        <f t="shared" si="28"/>
        <v>0</v>
      </c>
      <c r="AC53" s="11">
        <f t="shared" si="28"/>
        <v>0</v>
      </c>
      <c r="AD53" s="11">
        <f t="shared" si="28"/>
        <v>0</v>
      </c>
      <c r="AE53" s="11">
        <f t="shared" si="28"/>
        <v>0</v>
      </c>
      <c r="AF53" s="11">
        <f t="shared" si="28"/>
        <v>0</v>
      </c>
      <c r="AG53" s="11">
        <f t="shared" si="28"/>
        <v>0</v>
      </c>
      <c r="AH53" s="11">
        <f t="shared" si="28"/>
        <v>0</v>
      </c>
      <c r="AI53" s="11">
        <f t="shared" si="28"/>
        <v>0</v>
      </c>
      <c r="AJ53" s="11">
        <f t="shared" si="28"/>
        <v>0</v>
      </c>
      <c r="AK53" s="11">
        <f t="shared" si="28"/>
        <v>0</v>
      </c>
      <c r="AL53" s="11">
        <f t="shared" si="28"/>
        <v>0</v>
      </c>
      <c r="AM53" s="11">
        <f t="shared" si="28"/>
        <v>0</v>
      </c>
      <c r="AN53" s="11">
        <f t="shared" si="28"/>
        <v>0</v>
      </c>
      <c r="AO53" s="11">
        <f t="shared" si="28"/>
        <v>0</v>
      </c>
      <c r="AP53" s="11">
        <f t="shared" si="28"/>
        <v>0</v>
      </c>
      <c r="AQ53" s="11">
        <f t="shared" si="28"/>
        <v>0</v>
      </c>
      <c r="AR53" s="11">
        <f t="shared" si="28"/>
        <v>0</v>
      </c>
      <c r="AS53" s="11">
        <f t="shared" si="28"/>
        <v>0</v>
      </c>
      <c r="AT53" s="11">
        <f t="shared" si="28"/>
        <v>0</v>
      </c>
      <c r="AU53" s="11">
        <f t="shared" si="28"/>
        <v>0</v>
      </c>
      <c r="AV53" s="11">
        <f t="shared" si="28"/>
        <v>0</v>
      </c>
      <c r="AW53" s="11">
        <f t="shared" si="28"/>
        <v>0</v>
      </c>
      <c r="AX53" s="11">
        <f t="shared" si="28"/>
        <v>0</v>
      </c>
      <c r="AY53" s="11">
        <f t="shared" si="28"/>
        <v>0</v>
      </c>
      <c r="AZ53" s="11">
        <f t="shared" si="28"/>
        <v>0</v>
      </c>
      <c r="BA53" s="11">
        <f t="shared" si="28"/>
        <v>0</v>
      </c>
      <c r="BB53" s="11">
        <f t="shared" si="28"/>
        <v>0</v>
      </c>
      <c r="BC53" s="11">
        <f t="shared" si="28"/>
        <v>0</v>
      </c>
      <c r="BD53" s="11">
        <f t="shared" si="28"/>
        <v>0</v>
      </c>
      <c r="BE53" s="11">
        <f t="shared" si="28"/>
        <v>0</v>
      </c>
      <c r="BF53" s="11">
        <f t="shared" si="28"/>
        <v>0</v>
      </c>
      <c r="BG53" s="11">
        <f t="shared" si="28"/>
        <v>0</v>
      </c>
      <c r="BH53" s="11">
        <f t="shared" si="28"/>
        <v>0</v>
      </c>
      <c r="BI53" s="11">
        <f t="shared" si="28"/>
        <v>0</v>
      </c>
      <c r="BJ53" s="11">
        <f t="shared" si="28"/>
        <v>0</v>
      </c>
      <c r="BK53" s="11">
        <f t="shared" si="28"/>
        <v>0</v>
      </c>
      <c r="BL53" s="11">
        <f t="shared" si="28"/>
        <v>0</v>
      </c>
      <c r="BM53" s="11">
        <f t="shared" si="28"/>
        <v>0</v>
      </c>
      <c r="BN53" s="11">
        <f t="shared" si="28"/>
        <v>0</v>
      </c>
      <c r="BO53" s="11">
        <f t="shared" si="28"/>
        <v>0</v>
      </c>
      <c r="BP53" s="11">
        <f t="shared" ref="BP53:CZ53" si="29">SUMPRODUCT($B50:$B52,BP50:BP52)</f>
        <v>0</v>
      </c>
      <c r="BQ53" s="11">
        <f t="shared" si="29"/>
        <v>0</v>
      </c>
      <c r="BR53" s="11">
        <f t="shared" si="29"/>
        <v>0</v>
      </c>
      <c r="BS53" s="11">
        <f t="shared" si="29"/>
        <v>0</v>
      </c>
      <c r="BT53" s="11">
        <f t="shared" si="29"/>
        <v>0</v>
      </c>
      <c r="BU53" s="11">
        <f t="shared" si="29"/>
        <v>0</v>
      </c>
      <c r="BV53" s="11">
        <f t="shared" si="29"/>
        <v>0</v>
      </c>
      <c r="BW53" s="11">
        <f t="shared" si="29"/>
        <v>0</v>
      </c>
      <c r="BX53" s="11">
        <f t="shared" si="29"/>
        <v>0</v>
      </c>
      <c r="BY53" s="11">
        <f t="shared" si="29"/>
        <v>0</v>
      </c>
      <c r="BZ53" s="11">
        <f t="shared" si="29"/>
        <v>0</v>
      </c>
      <c r="CA53" s="11">
        <f t="shared" si="29"/>
        <v>0</v>
      </c>
      <c r="CB53" s="11">
        <f t="shared" si="29"/>
        <v>0</v>
      </c>
      <c r="CC53" s="11">
        <f t="shared" si="29"/>
        <v>0</v>
      </c>
      <c r="CD53" s="11">
        <f t="shared" si="29"/>
        <v>0</v>
      </c>
      <c r="CE53" s="11">
        <f t="shared" si="29"/>
        <v>0</v>
      </c>
      <c r="CF53" s="11">
        <f t="shared" si="29"/>
        <v>0</v>
      </c>
      <c r="CG53" s="11">
        <f t="shared" si="29"/>
        <v>0</v>
      </c>
      <c r="CH53" s="11">
        <f t="shared" si="29"/>
        <v>0</v>
      </c>
      <c r="CI53" s="11">
        <f t="shared" si="29"/>
        <v>0</v>
      </c>
      <c r="CJ53" s="11">
        <f t="shared" si="29"/>
        <v>0</v>
      </c>
      <c r="CK53" s="11">
        <f t="shared" si="29"/>
        <v>0</v>
      </c>
      <c r="CL53" s="11">
        <f t="shared" si="29"/>
        <v>0</v>
      </c>
      <c r="CM53" s="11">
        <f t="shared" si="29"/>
        <v>0</v>
      </c>
      <c r="CN53" s="11">
        <f t="shared" si="29"/>
        <v>0</v>
      </c>
      <c r="CO53" s="11">
        <f t="shared" si="29"/>
        <v>0</v>
      </c>
      <c r="CP53" s="11">
        <f t="shared" si="29"/>
        <v>0</v>
      </c>
      <c r="CQ53" s="11">
        <f t="shared" si="29"/>
        <v>0</v>
      </c>
      <c r="CR53" s="11">
        <f t="shared" si="29"/>
        <v>0</v>
      </c>
      <c r="CS53" s="11">
        <f t="shared" si="29"/>
        <v>0</v>
      </c>
      <c r="CT53" s="11">
        <f t="shared" si="29"/>
        <v>0</v>
      </c>
      <c r="CU53" s="11">
        <f t="shared" si="29"/>
        <v>0</v>
      </c>
      <c r="CV53" s="11">
        <f t="shared" si="29"/>
        <v>0</v>
      </c>
      <c r="CW53" s="11">
        <f t="shared" si="29"/>
        <v>0</v>
      </c>
      <c r="CX53" s="11">
        <f t="shared" si="29"/>
        <v>0</v>
      </c>
      <c r="CY53" s="11">
        <f t="shared" si="29"/>
        <v>0</v>
      </c>
      <c r="CZ53" s="11">
        <f t="shared" si="29"/>
        <v>0</v>
      </c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</row>
    <row r="54" spans="1:122" ht="18" customHeight="1">
      <c r="A54" s="13" t="s">
        <v>36</v>
      </c>
      <c r="B54" s="14">
        <f>IFERROR(VLOOKUP(A54,PRICELIST!$A$3:$D$138,4,0),"-")</f>
        <v>508.18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9">
        <f t="shared" ref="CY54:CZ58" si="30">C54+E54+G54+I54+K54+M54+O54+Q54+S54+U54+W54+Y54+AA54+AC54+AE54+AG54+AI54+AK54+AM54+AO54+AQ54+AS54+AU54+AW54+AY54+BA54+BC54+BE54+BG54+BI54+BK54+BM54+BO54+BQ54+BS54+BU54+BW54+BY54+CA54+CC54+CE54+CG54+CI54+CK54+CM54+CO54+CQ54+CS54+CU54+CW54</f>
        <v>0</v>
      </c>
      <c r="CZ54" s="19">
        <f t="shared" si="30"/>
        <v>0</v>
      </c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</row>
    <row r="55" spans="1:122" ht="18" customHeight="1">
      <c r="A55" s="13" t="s">
        <v>37</v>
      </c>
      <c r="B55" s="14">
        <f>IFERROR(VLOOKUP(A55,PRICELIST!$A$3:$D$138,4,0),"-")</f>
        <v>115.71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9">
        <f t="shared" si="30"/>
        <v>0</v>
      </c>
      <c r="CZ55" s="19">
        <f t="shared" si="30"/>
        <v>0</v>
      </c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</row>
    <row r="56" spans="1:122" ht="18" customHeight="1">
      <c r="A56" s="13" t="s">
        <v>38</v>
      </c>
      <c r="B56" s="14">
        <f>IFERROR(VLOOKUP(A56,PRICELIST!$A$3:$D$138,4,0),"-")</f>
        <v>207.64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9">
        <f t="shared" si="30"/>
        <v>0</v>
      </c>
      <c r="CZ56" s="19">
        <f t="shared" si="30"/>
        <v>0</v>
      </c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</row>
    <row r="57" spans="1:122" ht="18" customHeight="1">
      <c r="A57" s="13" t="s">
        <v>39</v>
      </c>
      <c r="B57" s="14">
        <f>IFERROR(VLOOKUP(A57,PRICELIST!$A$3:$D$138,4,0),"-")</f>
        <v>576.96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9">
        <f t="shared" si="30"/>
        <v>0</v>
      </c>
      <c r="CZ57" s="19">
        <f t="shared" si="30"/>
        <v>0</v>
      </c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</row>
    <row r="58" spans="1:122" ht="18" customHeight="1">
      <c r="A58" s="13" t="s">
        <v>40</v>
      </c>
      <c r="B58" s="14">
        <f>IFERROR(VLOOKUP(A58,PRICELIST!$A$3:$D$138,4,0),"-")</f>
        <v>635.30999999999995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9">
        <f t="shared" si="30"/>
        <v>0</v>
      </c>
      <c r="CZ58" s="19">
        <f t="shared" si="30"/>
        <v>0</v>
      </c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</row>
    <row r="59" spans="1:122" ht="18" customHeight="1">
      <c r="A59" s="9" t="s">
        <v>41</v>
      </c>
      <c r="B59" s="10"/>
      <c r="C59" s="11">
        <f>SUMPRODUCT($B54:$B58,C54:C58)</f>
        <v>0</v>
      </c>
      <c r="D59" s="11">
        <f t="shared" ref="D59:BO59" si="31">SUMPRODUCT($B54:$B58,D54:D58)</f>
        <v>0</v>
      </c>
      <c r="E59" s="11">
        <f t="shared" si="31"/>
        <v>0</v>
      </c>
      <c r="F59" s="11">
        <f t="shared" si="31"/>
        <v>0</v>
      </c>
      <c r="G59" s="11">
        <f t="shared" si="31"/>
        <v>0</v>
      </c>
      <c r="H59" s="11">
        <f t="shared" si="31"/>
        <v>0</v>
      </c>
      <c r="I59" s="11">
        <f t="shared" si="31"/>
        <v>0</v>
      </c>
      <c r="J59" s="11">
        <f t="shared" si="31"/>
        <v>0</v>
      </c>
      <c r="K59" s="11">
        <f t="shared" si="31"/>
        <v>0</v>
      </c>
      <c r="L59" s="11">
        <f t="shared" si="31"/>
        <v>0</v>
      </c>
      <c r="M59" s="11">
        <f t="shared" si="31"/>
        <v>0</v>
      </c>
      <c r="N59" s="11">
        <f t="shared" si="31"/>
        <v>0</v>
      </c>
      <c r="O59" s="11">
        <f t="shared" si="31"/>
        <v>0</v>
      </c>
      <c r="P59" s="11">
        <f t="shared" si="31"/>
        <v>0</v>
      </c>
      <c r="Q59" s="11">
        <f t="shared" si="31"/>
        <v>0</v>
      </c>
      <c r="R59" s="11">
        <f t="shared" si="31"/>
        <v>0</v>
      </c>
      <c r="S59" s="11">
        <f t="shared" si="31"/>
        <v>0</v>
      </c>
      <c r="T59" s="11">
        <f t="shared" si="31"/>
        <v>0</v>
      </c>
      <c r="U59" s="11">
        <f t="shared" si="31"/>
        <v>0</v>
      </c>
      <c r="V59" s="11">
        <f t="shared" si="31"/>
        <v>0</v>
      </c>
      <c r="W59" s="11">
        <f t="shared" si="31"/>
        <v>0</v>
      </c>
      <c r="X59" s="11">
        <f t="shared" si="31"/>
        <v>0</v>
      </c>
      <c r="Y59" s="11">
        <f t="shared" si="31"/>
        <v>0</v>
      </c>
      <c r="Z59" s="11">
        <f t="shared" si="31"/>
        <v>0</v>
      </c>
      <c r="AA59" s="11">
        <f t="shared" si="31"/>
        <v>0</v>
      </c>
      <c r="AB59" s="11">
        <f t="shared" si="31"/>
        <v>0</v>
      </c>
      <c r="AC59" s="11">
        <f t="shared" si="31"/>
        <v>0</v>
      </c>
      <c r="AD59" s="11">
        <f t="shared" si="31"/>
        <v>0</v>
      </c>
      <c r="AE59" s="11">
        <f t="shared" si="31"/>
        <v>0</v>
      </c>
      <c r="AF59" s="11">
        <f t="shared" si="31"/>
        <v>0</v>
      </c>
      <c r="AG59" s="11">
        <f t="shared" si="31"/>
        <v>0</v>
      </c>
      <c r="AH59" s="11">
        <f t="shared" si="31"/>
        <v>0</v>
      </c>
      <c r="AI59" s="11">
        <f t="shared" si="31"/>
        <v>0</v>
      </c>
      <c r="AJ59" s="11">
        <f t="shared" si="31"/>
        <v>0</v>
      </c>
      <c r="AK59" s="11">
        <f t="shared" si="31"/>
        <v>0</v>
      </c>
      <c r="AL59" s="11">
        <f t="shared" si="31"/>
        <v>0</v>
      </c>
      <c r="AM59" s="11">
        <f t="shared" si="31"/>
        <v>0</v>
      </c>
      <c r="AN59" s="11">
        <f t="shared" si="31"/>
        <v>0</v>
      </c>
      <c r="AO59" s="11">
        <f t="shared" si="31"/>
        <v>0</v>
      </c>
      <c r="AP59" s="11">
        <f t="shared" si="31"/>
        <v>0</v>
      </c>
      <c r="AQ59" s="11">
        <f t="shared" si="31"/>
        <v>0</v>
      </c>
      <c r="AR59" s="11">
        <f t="shared" si="31"/>
        <v>0</v>
      </c>
      <c r="AS59" s="11">
        <f t="shared" si="31"/>
        <v>0</v>
      </c>
      <c r="AT59" s="11">
        <f t="shared" si="31"/>
        <v>0</v>
      </c>
      <c r="AU59" s="11">
        <f t="shared" si="31"/>
        <v>0</v>
      </c>
      <c r="AV59" s="11">
        <f t="shared" si="31"/>
        <v>0</v>
      </c>
      <c r="AW59" s="11">
        <f t="shared" si="31"/>
        <v>0</v>
      </c>
      <c r="AX59" s="11">
        <f t="shared" si="31"/>
        <v>0</v>
      </c>
      <c r="AY59" s="11">
        <f t="shared" si="31"/>
        <v>0</v>
      </c>
      <c r="AZ59" s="11">
        <f t="shared" si="31"/>
        <v>0</v>
      </c>
      <c r="BA59" s="11">
        <f t="shared" si="31"/>
        <v>0</v>
      </c>
      <c r="BB59" s="11">
        <f t="shared" si="31"/>
        <v>0</v>
      </c>
      <c r="BC59" s="11">
        <f t="shared" si="31"/>
        <v>0</v>
      </c>
      <c r="BD59" s="11">
        <f t="shared" si="31"/>
        <v>0</v>
      </c>
      <c r="BE59" s="11">
        <f t="shared" si="31"/>
        <v>0</v>
      </c>
      <c r="BF59" s="11">
        <f t="shared" si="31"/>
        <v>0</v>
      </c>
      <c r="BG59" s="11">
        <f t="shared" si="31"/>
        <v>0</v>
      </c>
      <c r="BH59" s="11">
        <f t="shared" si="31"/>
        <v>0</v>
      </c>
      <c r="BI59" s="11">
        <f t="shared" si="31"/>
        <v>0</v>
      </c>
      <c r="BJ59" s="11">
        <f t="shared" si="31"/>
        <v>0</v>
      </c>
      <c r="BK59" s="11">
        <f t="shared" si="31"/>
        <v>0</v>
      </c>
      <c r="BL59" s="11">
        <f t="shared" si="31"/>
        <v>0</v>
      </c>
      <c r="BM59" s="11">
        <f t="shared" si="31"/>
        <v>0</v>
      </c>
      <c r="BN59" s="11">
        <f t="shared" si="31"/>
        <v>0</v>
      </c>
      <c r="BO59" s="11">
        <f t="shared" si="31"/>
        <v>0</v>
      </c>
      <c r="BP59" s="11">
        <f t="shared" ref="BP59:CZ59" si="32">SUMPRODUCT($B54:$B58,BP54:BP58)</f>
        <v>0</v>
      </c>
      <c r="BQ59" s="11">
        <f t="shared" si="32"/>
        <v>0</v>
      </c>
      <c r="BR59" s="11">
        <f t="shared" si="32"/>
        <v>0</v>
      </c>
      <c r="BS59" s="11">
        <f t="shared" si="32"/>
        <v>0</v>
      </c>
      <c r="BT59" s="11">
        <f t="shared" si="32"/>
        <v>0</v>
      </c>
      <c r="BU59" s="11">
        <f t="shared" si="32"/>
        <v>0</v>
      </c>
      <c r="BV59" s="11">
        <f t="shared" si="32"/>
        <v>0</v>
      </c>
      <c r="BW59" s="11">
        <f t="shared" si="32"/>
        <v>0</v>
      </c>
      <c r="BX59" s="11">
        <f t="shared" si="32"/>
        <v>0</v>
      </c>
      <c r="BY59" s="11">
        <f t="shared" si="32"/>
        <v>0</v>
      </c>
      <c r="BZ59" s="11">
        <f t="shared" si="32"/>
        <v>0</v>
      </c>
      <c r="CA59" s="11">
        <f t="shared" si="32"/>
        <v>0</v>
      </c>
      <c r="CB59" s="11">
        <f t="shared" si="32"/>
        <v>0</v>
      </c>
      <c r="CC59" s="11">
        <f t="shared" si="32"/>
        <v>0</v>
      </c>
      <c r="CD59" s="11">
        <f t="shared" si="32"/>
        <v>0</v>
      </c>
      <c r="CE59" s="11">
        <f t="shared" si="32"/>
        <v>0</v>
      </c>
      <c r="CF59" s="11">
        <f t="shared" si="32"/>
        <v>0</v>
      </c>
      <c r="CG59" s="11">
        <f t="shared" si="32"/>
        <v>0</v>
      </c>
      <c r="CH59" s="11">
        <f t="shared" si="32"/>
        <v>0</v>
      </c>
      <c r="CI59" s="11">
        <f t="shared" si="32"/>
        <v>0</v>
      </c>
      <c r="CJ59" s="11">
        <f t="shared" si="32"/>
        <v>0</v>
      </c>
      <c r="CK59" s="11">
        <f t="shared" si="32"/>
        <v>0</v>
      </c>
      <c r="CL59" s="11">
        <f t="shared" si="32"/>
        <v>0</v>
      </c>
      <c r="CM59" s="11">
        <f t="shared" si="32"/>
        <v>0</v>
      </c>
      <c r="CN59" s="11">
        <f t="shared" si="32"/>
        <v>0</v>
      </c>
      <c r="CO59" s="11">
        <f t="shared" si="32"/>
        <v>0</v>
      </c>
      <c r="CP59" s="11">
        <f t="shared" si="32"/>
        <v>0</v>
      </c>
      <c r="CQ59" s="11">
        <f t="shared" si="32"/>
        <v>0</v>
      </c>
      <c r="CR59" s="11">
        <f t="shared" si="32"/>
        <v>0</v>
      </c>
      <c r="CS59" s="11">
        <f t="shared" si="32"/>
        <v>0</v>
      </c>
      <c r="CT59" s="11">
        <f t="shared" si="32"/>
        <v>0</v>
      </c>
      <c r="CU59" s="11">
        <f t="shared" si="32"/>
        <v>0</v>
      </c>
      <c r="CV59" s="11">
        <f t="shared" si="32"/>
        <v>0</v>
      </c>
      <c r="CW59" s="11">
        <f t="shared" si="32"/>
        <v>0</v>
      </c>
      <c r="CX59" s="11">
        <f t="shared" si="32"/>
        <v>0</v>
      </c>
      <c r="CY59" s="11">
        <f t="shared" si="32"/>
        <v>0</v>
      </c>
      <c r="CZ59" s="11">
        <f t="shared" si="32"/>
        <v>0</v>
      </c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</row>
    <row r="60" spans="1:122" ht="18" customHeight="1">
      <c r="A60" s="13" t="s">
        <v>133</v>
      </c>
      <c r="B60" s="14">
        <f>IFERROR(VLOOKUP(A60,PRICELIST!$A$3:$D$138,4,0),"-")</f>
        <v>23.41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9">
        <f t="shared" ref="CY60:CZ70" si="33">C60+E60+G60+I60+K60+M60+O60+Q60+S60+U60+W60+Y60+AA60+AC60+AE60+AG60+AI60+AK60+AM60+AO60+AQ60+AS60+AU60+AW60+AY60+BA60+BC60+BE60+BG60+BI60+BK60+BM60+BO60+BQ60+BS60+BU60+BW60+BY60+CA60+CC60+CE60+CG60+CI60+CK60+CM60+CO60+CQ60+CS60+CU60+CW60</f>
        <v>0</v>
      </c>
      <c r="CZ60" s="19">
        <f t="shared" si="33"/>
        <v>0</v>
      </c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</row>
    <row r="61" spans="1:122" ht="18" customHeight="1">
      <c r="A61" s="13" t="s">
        <v>42</v>
      </c>
      <c r="B61" s="14">
        <f>IFERROR(VLOOKUP(A61,PRICELIST!$A$3:$D$138,4,0),"-")</f>
        <v>23.57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9">
        <f t="shared" si="33"/>
        <v>0</v>
      </c>
      <c r="CZ61" s="19">
        <f t="shared" si="33"/>
        <v>0</v>
      </c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</row>
    <row r="62" spans="1:122" ht="18" customHeight="1">
      <c r="A62" s="13" t="s">
        <v>43</v>
      </c>
      <c r="B62" s="14">
        <f>IFERROR(VLOOKUP(A62,PRICELIST!$A$3:$D$138,4,0),"-")</f>
        <v>66.7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9">
        <f t="shared" si="33"/>
        <v>0</v>
      </c>
      <c r="CZ62" s="19">
        <f t="shared" si="33"/>
        <v>0</v>
      </c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</row>
    <row r="63" spans="1:122" ht="18" customHeight="1">
      <c r="A63" s="13" t="s">
        <v>44</v>
      </c>
      <c r="B63" s="14">
        <f>IFERROR(VLOOKUP(A63,PRICELIST!$A$3:$D$138,4,0),"-")</f>
        <v>67.819999999999993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9">
        <f t="shared" si="33"/>
        <v>0</v>
      </c>
      <c r="CZ63" s="19">
        <f t="shared" si="33"/>
        <v>0</v>
      </c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</row>
    <row r="64" spans="1:122" ht="18" customHeight="1">
      <c r="A64" s="13" t="s">
        <v>45</v>
      </c>
      <c r="B64" s="14">
        <f>IFERROR(VLOOKUP(A64,PRICELIST!$A$3:$D$138,4,0),"-")</f>
        <v>9.58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9">
        <f t="shared" si="33"/>
        <v>0</v>
      </c>
      <c r="CZ64" s="19">
        <f t="shared" si="33"/>
        <v>0</v>
      </c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</row>
    <row r="65" spans="1:122" ht="18" customHeight="1">
      <c r="A65" s="13" t="s">
        <v>46</v>
      </c>
      <c r="B65" s="14">
        <f>IFERROR(VLOOKUP(A65,PRICELIST!$A$3:$D$138,4,0),"-")</f>
        <v>23.41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9">
        <f t="shared" si="33"/>
        <v>0</v>
      </c>
      <c r="CZ65" s="19">
        <f t="shared" si="33"/>
        <v>0</v>
      </c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</row>
    <row r="66" spans="1:122" ht="18" customHeight="1">
      <c r="A66" s="13" t="s">
        <v>47</v>
      </c>
      <c r="B66" s="14">
        <f>IFERROR(VLOOKUP(A66,PRICELIST!$A$3:$D$138,4,0),"-")</f>
        <v>23.57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9">
        <f t="shared" si="33"/>
        <v>0</v>
      </c>
      <c r="CZ66" s="19">
        <f t="shared" si="33"/>
        <v>0</v>
      </c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</row>
    <row r="67" spans="1:122" ht="18" customHeight="1">
      <c r="A67" s="13" t="s">
        <v>49</v>
      </c>
      <c r="B67" s="14">
        <f>IFERROR(VLOOKUP(A67,PRICELIST!$A$3:$D$138,4,0),"-")</f>
        <v>132.43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9">
        <f t="shared" si="33"/>
        <v>0</v>
      </c>
      <c r="CZ67" s="19">
        <f t="shared" si="33"/>
        <v>0</v>
      </c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</row>
    <row r="68" spans="1:122" ht="18" customHeight="1">
      <c r="A68" s="13" t="s">
        <v>50</v>
      </c>
      <c r="B68" s="14">
        <f>IFERROR(VLOOKUP(A68,PRICELIST!$A$3:$D$138,4,0),"-")</f>
        <v>94.7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9">
        <f t="shared" si="33"/>
        <v>0</v>
      </c>
      <c r="CZ68" s="19">
        <f t="shared" si="33"/>
        <v>0</v>
      </c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</row>
    <row r="69" spans="1:122" ht="18" customHeight="1">
      <c r="A69" s="13" t="s">
        <v>51</v>
      </c>
      <c r="B69" s="14">
        <f>IFERROR(VLOOKUP(A69,PRICELIST!$A$3:$D$138,4,0),"-")</f>
        <v>58.82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9">
        <f t="shared" si="33"/>
        <v>0</v>
      </c>
      <c r="CZ69" s="19">
        <f t="shared" si="33"/>
        <v>0</v>
      </c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</row>
    <row r="70" spans="1:122" ht="18" customHeight="1">
      <c r="A70" s="13" t="s">
        <v>52</v>
      </c>
      <c r="B70" s="14">
        <f>IFERROR(VLOOKUP(A70,PRICELIST!$A$3:$D$138,4,0),"-")</f>
        <v>61.39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9">
        <f t="shared" si="33"/>
        <v>0</v>
      </c>
      <c r="CZ70" s="19">
        <f t="shared" si="33"/>
        <v>0</v>
      </c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</row>
    <row r="71" spans="1:122" ht="18" customHeight="1">
      <c r="A71" s="9" t="s">
        <v>48</v>
      </c>
      <c r="B71" s="10"/>
      <c r="C71" s="11">
        <f t="shared" ref="C71:AH71" si="34">SUMPRODUCT($B60:$B70,C60:C70)</f>
        <v>0</v>
      </c>
      <c r="D71" s="11">
        <f t="shared" si="34"/>
        <v>0</v>
      </c>
      <c r="E71" s="11">
        <f t="shared" si="34"/>
        <v>0</v>
      </c>
      <c r="F71" s="11">
        <f t="shared" si="34"/>
        <v>0</v>
      </c>
      <c r="G71" s="11">
        <f t="shared" si="34"/>
        <v>0</v>
      </c>
      <c r="H71" s="11">
        <f t="shared" si="34"/>
        <v>0</v>
      </c>
      <c r="I71" s="11">
        <f t="shared" si="34"/>
        <v>0</v>
      </c>
      <c r="J71" s="11">
        <f t="shared" si="34"/>
        <v>0</v>
      </c>
      <c r="K71" s="11">
        <f t="shared" si="34"/>
        <v>0</v>
      </c>
      <c r="L71" s="11">
        <f t="shared" si="34"/>
        <v>0</v>
      </c>
      <c r="M71" s="11">
        <f t="shared" si="34"/>
        <v>0</v>
      </c>
      <c r="N71" s="11">
        <f t="shared" si="34"/>
        <v>0</v>
      </c>
      <c r="O71" s="11">
        <f t="shared" si="34"/>
        <v>0</v>
      </c>
      <c r="P71" s="11">
        <f t="shared" si="34"/>
        <v>0</v>
      </c>
      <c r="Q71" s="11">
        <f t="shared" si="34"/>
        <v>0</v>
      </c>
      <c r="R71" s="11">
        <f t="shared" si="34"/>
        <v>0</v>
      </c>
      <c r="S71" s="11">
        <f t="shared" si="34"/>
        <v>0</v>
      </c>
      <c r="T71" s="11">
        <f t="shared" si="34"/>
        <v>0</v>
      </c>
      <c r="U71" s="11">
        <f t="shared" si="34"/>
        <v>0</v>
      </c>
      <c r="V71" s="11">
        <f t="shared" si="34"/>
        <v>0</v>
      </c>
      <c r="W71" s="11">
        <f t="shared" si="34"/>
        <v>0</v>
      </c>
      <c r="X71" s="11">
        <f t="shared" si="34"/>
        <v>0</v>
      </c>
      <c r="Y71" s="11">
        <f t="shared" si="34"/>
        <v>0</v>
      </c>
      <c r="Z71" s="11">
        <f t="shared" si="34"/>
        <v>0</v>
      </c>
      <c r="AA71" s="11">
        <f t="shared" si="34"/>
        <v>0</v>
      </c>
      <c r="AB71" s="11">
        <f t="shared" si="34"/>
        <v>0</v>
      </c>
      <c r="AC71" s="11">
        <f t="shared" si="34"/>
        <v>0</v>
      </c>
      <c r="AD71" s="11">
        <f t="shared" si="34"/>
        <v>0</v>
      </c>
      <c r="AE71" s="11">
        <f t="shared" si="34"/>
        <v>0</v>
      </c>
      <c r="AF71" s="11">
        <f t="shared" si="34"/>
        <v>0</v>
      </c>
      <c r="AG71" s="11">
        <f t="shared" si="34"/>
        <v>0</v>
      </c>
      <c r="AH71" s="11">
        <f t="shared" si="34"/>
        <v>0</v>
      </c>
      <c r="AI71" s="11">
        <f t="shared" ref="AI71:BN71" si="35">SUMPRODUCT($B60:$B70,AI60:AI70)</f>
        <v>0</v>
      </c>
      <c r="AJ71" s="11">
        <f t="shared" si="35"/>
        <v>0</v>
      </c>
      <c r="AK71" s="11">
        <f t="shared" si="35"/>
        <v>0</v>
      </c>
      <c r="AL71" s="11">
        <f t="shared" si="35"/>
        <v>0</v>
      </c>
      <c r="AM71" s="11">
        <f t="shared" si="35"/>
        <v>0</v>
      </c>
      <c r="AN71" s="11">
        <f t="shared" si="35"/>
        <v>0</v>
      </c>
      <c r="AO71" s="11">
        <f t="shared" si="35"/>
        <v>0</v>
      </c>
      <c r="AP71" s="11">
        <f t="shared" si="35"/>
        <v>0</v>
      </c>
      <c r="AQ71" s="11">
        <f t="shared" si="35"/>
        <v>0</v>
      </c>
      <c r="AR71" s="11">
        <f t="shared" si="35"/>
        <v>0</v>
      </c>
      <c r="AS71" s="11">
        <f t="shared" si="35"/>
        <v>0</v>
      </c>
      <c r="AT71" s="11">
        <f t="shared" si="35"/>
        <v>0</v>
      </c>
      <c r="AU71" s="11">
        <f t="shared" si="35"/>
        <v>0</v>
      </c>
      <c r="AV71" s="11">
        <f t="shared" si="35"/>
        <v>0</v>
      </c>
      <c r="AW71" s="11">
        <f t="shared" si="35"/>
        <v>0</v>
      </c>
      <c r="AX71" s="11">
        <f t="shared" si="35"/>
        <v>0</v>
      </c>
      <c r="AY71" s="11">
        <f t="shared" si="35"/>
        <v>0</v>
      </c>
      <c r="AZ71" s="11">
        <f t="shared" si="35"/>
        <v>0</v>
      </c>
      <c r="BA71" s="11">
        <f t="shared" si="35"/>
        <v>0</v>
      </c>
      <c r="BB71" s="11">
        <f t="shared" si="35"/>
        <v>0</v>
      </c>
      <c r="BC71" s="11">
        <f t="shared" si="35"/>
        <v>0</v>
      </c>
      <c r="BD71" s="11">
        <f t="shared" si="35"/>
        <v>0</v>
      </c>
      <c r="BE71" s="11">
        <f t="shared" si="35"/>
        <v>0</v>
      </c>
      <c r="BF71" s="11">
        <f t="shared" si="35"/>
        <v>0</v>
      </c>
      <c r="BG71" s="11">
        <f t="shared" si="35"/>
        <v>0</v>
      </c>
      <c r="BH71" s="11">
        <f t="shared" si="35"/>
        <v>0</v>
      </c>
      <c r="BI71" s="11">
        <f t="shared" si="35"/>
        <v>0</v>
      </c>
      <c r="BJ71" s="11">
        <f t="shared" si="35"/>
        <v>0</v>
      </c>
      <c r="BK71" s="11">
        <f t="shared" si="35"/>
        <v>0</v>
      </c>
      <c r="BL71" s="11">
        <f t="shared" si="35"/>
        <v>0</v>
      </c>
      <c r="BM71" s="11">
        <f t="shared" si="35"/>
        <v>0</v>
      </c>
      <c r="BN71" s="11">
        <f t="shared" si="35"/>
        <v>0</v>
      </c>
      <c r="BO71" s="11">
        <f t="shared" ref="BO71:CT71" si="36">SUMPRODUCT($B60:$B70,BO60:BO70)</f>
        <v>0</v>
      </c>
      <c r="BP71" s="11">
        <f t="shared" si="36"/>
        <v>0</v>
      </c>
      <c r="BQ71" s="11">
        <f t="shared" si="36"/>
        <v>0</v>
      </c>
      <c r="BR71" s="11">
        <f t="shared" si="36"/>
        <v>0</v>
      </c>
      <c r="BS71" s="11">
        <f t="shared" si="36"/>
        <v>0</v>
      </c>
      <c r="BT71" s="11">
        <f t="shared" si="36"/>
        <v>0</v>
      </c>
      <c r="BU71" s="11">
        <f t="shared" si="36"/>
        <v>0</v>
      </c>
      <c r="BV71" s="11">
        <f t="shared" si="36"/>
        <v>0</v>
      </c>
      <c r="BW71" s="11">
        <f t="shared" si="36"/>
        <v>0</v>
      </c>
      <c r="BX71" s="11">
        <f t="shared" si="36"/>
        <v>0</v>
      </c>
      <c r="BY71" s="11">
        <f t="shared" si="36"/>
        <v>0</v>
      </c>
      <c r="BZ71" s="11">
        <f t="shared" si="36"/>
        <v>0</v>
      </c>
      <c r="CA71" s="11">
        <f t="shared" si="36"/>
        <v>0</v>
      </c>
      <c r="CB71" s="11">
        <f t="shared" si="36"/>
        <v>0</v>
      </c>
      <c r="CC71" s="11">
        <f t="shared" si="36"/>
        <v>0</v>
      </c>
      <c r="CD71" s="11">
        <f t="shared" si="36"/>
        <v>0</v>
      </c>
      <c r="CE71" s="11">
        <f t="shared" si="36"/>
        <v>0</v>
      </c>
      <c r="CF71" s="11">
        <f t="shared" si="36"/>
        <v>0</v>
      </c>
      <c r="CG71" s="11">
        <f t="shared" si="36"/>
        <v>0</v>
      </c>
      <c r="CH71" s="11">
        <f t="shared" si="36"/>
        <v>0</v>
      </c>
      <c r="CI71" s="11">
        <f t="shared" si="36"/>
        <v>0</v>
      </c>
      <c r="CJ71" s="11">
        <f t="shared" si="36"/>
        <v>0</v>
      </c>
      <c r="CK71" s="11">
        <f t="shared" si="36"/>
        <v>0</v>
      </c>
      <c r="CL71" s="11">
        <f t="shared" si="36"/>
        <v>0</v>
      </c>
      <c r="CM71" s="11">
        <f t="shared" si="36"/>
        <v>0</v>
      </c>
      <c r="CN71" s="11">
        <f t="shared" si="36"/>
        <v>0</v>
      </c>
      <c r="CO71" s="11">
        <f t="shared" si="36"/>
        <v>0</v>
      </c>
      <c r="CP71" s="11">
        <f t="shared" si="36"/>
        <v>0</v>
      </c>
      <c r="CQ71" s="11">
        <f t="shared" si="36"/>
        <v>0</v>
      </c>
      <c r="CR71" s="11">
        <f t="shared" si="36"/>
        <v>0</v>
      </c>
      <c r="CS71" s="11">
        <f t="shared" si="36"/>
        <v>0</v>
      </c>
      <c r="CT71" s="11">
        <f t="shared" si="36"/>
        <v>0</v>
      </c>
      <c r="CU71" s="11">
        <f t="shared" ref="CU71:CZ71" si="37">SUMPRODUCT($B60:$B70,CU60:CU70)</f>
        <v>0</v>
      </c>
      <c r="CV71" s="11">
        <f t="shared" si="37"/>
        <v>0</v>
      </c>
      <c r="CW71" s="11">
        <f t="shared" si="37"/>
        <v>0</v>
      </c>
      <c r="CX71" s="11">
        <f t="shared" si="37"/>
        <v>0</v>
      </c>
      <c r="CY71" s="11">
        <f t="shared" si="37"/>
        <v>0</v>
      </c>
      <c r="CZ71" s="11">
        <f t="shared" si="37"/>
        <v>0</v>
      </c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</row>
    <row r="72" spans="1:122" ht="18" customHeight="1">
      <c r="A72" s="13" t="s">
        <v>85</v>
      </c>
      <c r="B72" s="14">
        <f>IFERROR(VLOOKUP(A72,PRICELIST!$A$3:$D$138,4,0),"-")</f>
        <v>165.86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9">
        <f t="shared" ref="CY72:CZ78" si="38">C72+E72+G72+I72+K72+M72+O72+Q72+S72+U72+W72+Y72+AA72+AC72+AE72+AG72+AI72+AK72+AM72+AO72+AQ72+AS72+AU72+AW72+AY72+BA72+BC72+BE72+BG72+BI72+BK72+BM72+BO72+BQ72+BS72+BU72+BW72+BY72+CA72+CC72+CE72+CG72+CI72+CK72+CM72+CO72+CQ72+CS72+CU72+CW72</f>
        <v>0</v>
      </c>
      <c r="CZ72" s="19">
        <f t="shared" si="38"/>
        <v>0</v>
      </c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</row>
    <row r="73" spans="1:122" ht="18" customHeight="1">
      <c r="A73" s="13" t="s">
        <v>53</v>
      </c>
      <c r="B73" s="14">
        <f>IFERROR(VLOOKUP(A73,PRICELIST!$A$3:$D$138,4,0),"-")</f>
        <v>82.93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9">
        <f t="shared" si="38"/>
        <v>0</v>
      </c>
      <c r="CZ73" s="19">
        <f t="shared" si="38"/>
        <v>0</v>
      </c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</row>
    <row r="74" spans="1:122" ht="18" customHeight="1">
      <c r="A74" s="13" t="s">
        <v>54</v>
      </c>
      <c r="B74" s="14">
        <f>IFERROR(VLOOKUP(A74,PRICELIST!$A$3:$D$138,4,0),"-")</f>
        <v>96.43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9">
        <f t="shared" si="38"/>
        <v>0</v>
      </c>
      <c r="CZ74" s="19">
        <f t="shared" si="38"/>
        <v>0</v>
      </c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</row>
    <row r="75" spans="1:122" ht="18" customHeight="1">
      <c r="A75" s="13" t="s">
        <v>55</v>
      </c>
      <c r="B75" s="14">
        <f>IFERROR(VLOOKUP(A75,PRICELIST!$A$3:$D$138,4,0),"-")</f>
        <v>47.57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9">
        <f t="shared" si="38"/>
        <v>0</v>
      </c>
      <c r="CZ75" s="19">
        <f t="shared" si="38"/>
        <v>0</v>
      </c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</row>
    <row r="76" spans="1:122" ht="18" customHeight="1">
      <c r="A76" s="13" t="s">
        <v>132</v>
      </c>
      <c r="B76" s="14">
        <f>IFERROR(VLOOKUP(A76,PRICELIST!$A$3:$D$138,4,0),"-")</f>
        <v>128.57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9">
        <f t="shared" si="38"/>
        <v>0</v>
      </c>
      <c r="CZ76" s="19">
        <f t="shared" si="38"/>
        <v>0</v>
      </c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</row>
    <row r="77" spans="1:122" ht="18" customHeight="1">
      <c r="A77" s="13" t="s">
        <v>86</v>
      </c>
      <c r="B77" s="14">
        <f>IFERROR(VLOOKUP(A77,PRICELIST!$A$3:$D$138,4,0),"-")</f>
        <v>130.5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9">
        <f t="shared" si="38"/>
        <v>0</v>
      </c>
      <c r="CZ77" s="19">
        <f t="shared" si="38"/>
        <v>0</v>
      </c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</row>
    <row r="78" spans="1:122" ht="18" customHeight="1">
      <c r="A78" s="26" t="s">
        <v>121</v>
      </c>
      <c r="B78" s="14">
        <f>IFERROR(VLOOKUP(A78,PRICELIST!$A$3:$D$138,4,0),"-")</f>
        <v>146.88999999999999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9">
        <f t="shared" si="38"/>
        <v>0</v>
      </c>
      <c r="CZ78" s="19">
        <f t="shared" si="38"/>
        <v>0</v>
      </c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</row>
    <row r="79" spans="1:122" ht="18" customHeight="1">
      <c r="A79" s="9" t="s">
        <v>56</v>
      </c>
      <c r="B79" s="10"/>
      <c r="C79" s="11">
        <f>SUMPRODUCT($B72:$B78,C72:C78)</f>
        <v>0</v>
      </c>
      <c r="D79" s="11">
        <f t="shared" ref="D79:BO79" si="39">SUMPRODUCT($B72:$B78,D72:D78)</f>
        <v>0</v>
      </c>
      <c r="E79" s="11">
        <f t="shared" si="39"/>
        <v>0</v>
      </c>
      <c r="F79" s="11">
        <f t="shared" si="39"/>
        <v>0</v>
      </c>
      <c r="G79" s="11">
        <f t="shared" si="39"/>
        <v>0</v>
      </c>
      <c r="H79" s="11">
        <f t="shared" si="39"/>
        <v>0</v>
      </c>
      <c r="I79" s="11">
        <f t="shared" si="39"/>
        <v>0</v>
      </c>
      <c r="J79" s="11">
        <f t="shared" si="39"/>
        <v>0</v>
      </c>
      <c r="K79" s="11">
        <f t="shared" si="39"/>
        <v>0</v>
      </c>
      <c r="L79" s="11">
        <f t="shared" si="39"/>
        <v>0</v>
      </c>
      <c r="M79" s="11">
        <f t="shared" si="39"/>
        <v>0</v>
      </c>
      <c r="N79" s="11">
        <f t="shared" si="39"/>
        <v>0</v>
      </c>
      <c r="O79" s="11">
        <f t="shared" si="39"/>
        <v>0</v>
      </c>
      <c r="P79" s="11">
        <f t="shared" si="39"/>
        <v>0</v>
      </c>
      <c r="Q79" s="11">
        <f t="shared" si="39"/>
        <v>0</v>
      </c>
      <c r="R79" s="11">
        <f t="shared" si="39"/>
        <v>0</v>
      </c>
      <c r="S79" s="11">
        <f t="shared" si="39"/>
        <v>0</v>
      </c>
      <c r="T79" s="11">
        <f t="shared" si="39"/>
        <v>0</v>
      </c>
      <c r="U79" s="11">
        <f t="shared" si="39"/>
        <v>0</v>
      </c>
      <c r="V79" s="11">
        <f t="shared" si="39"/>
        <v>0</v>
      </c>
      <c r="W79" s="11">
        <f t="shared" si="39"/>
        <v>0</v>
      </c>
      <c r="X79" s="11">
        <f t="shared" si="39"/>
        <v>0</v>
      </c>
      <c r="Y79" s="11">
        <f t="shared" si="39"/>
        <v>0</v>
      </c>
      <c r="Z79" s="11">
        <f t="shared" si="39"/>
        <v>0</v>
      </c>
      <c r="AA79" s="11">
        <f t="shared" si="39"/>
        <v>0</v>
      </c>
      <c r="AB79" s="11">
        <f t="shared" si="39"/>
        <v>0</v>
      </c>
      <c r="AC79" s="11">
        <f t="shared" si="39"/>
        <v>0</v>
      </c>
      <c r="AD79" s="11">
        <f t="shared" si="39"/>
        <v>0</v>
      </c>
      <c r="AE79" s="11">
        <f t="shared" si="39"/>
        <v>0</v>
      </c>
      <c r="AF79" s="11">
        <f t="shared" si="39"/>
        <v>0</v>
      </c>
      <c r="AG79" s="11">
        <f t="shared" si="39"/>
        <v>0</v>
      </c>
      <c r="AH79" s="11">
        <f t="shared" si="39"/>
        <v>0</v>
      </c>
      <c r="AI79" s="11">
        <f t="shared" si="39"/>
        <v>0</v>
      </c>
      <c r="AJ79" s="11">
        <f t="shared" si="39"/>
        <v>0</v>
      </c>
      <c r="AK79" s="11">
        <f t="shared" si="39"/>
        <v>0</v>
      </c>
      <c r="AL79" s="11">
        <f t="shared" si="39"/>
        <v>0</v>
      </c>
      <c r="AM79" s="11">
        <f t="shared" si="39"/>
        <v>0</v>
      </c>
      <c r="AN79" s="11">
        <f t="shared" si="39"/>
        <v>0</v>
      </c>
      <c r="AO79" s="11">
        <f t="shared" si="39"/>
        <v>0</v>
      </c>
      <c r="AP79" s="11">
        <f t="shared" si="39"/>
        <v>0</v>
      </c>
      <c r="AQ79" s="11">
        <f t="shared" si="39"/>
        <v>0</v>
      </c>
      <c r="AR79" s="11">
        <f t="shared" si="39"/>
        <v>0</v>
      </c>
      <c r="AS79" s="11">
        <f t="shared" si="39"/>
        <v>0</v>
      </c>
      <c r="AT79" s="11">
        <f t="shared" si="39"/>
        <v>0</v>
      </c>
      <c r="AU79" s="11">
        <f t="shared" si="39"/>
        <v>0</v>
      </c>
      <c r="AV79" s="11">
        <f t="shared" si="39"/>
        <v>0</v>
      </c>
      <c r="AW79" s="11">
        <f t="shared" si="39"/>
        <v>0</v>
      </c>
      <c r="AX79" s="11">
        <f t="shared" si="39"/>
        <v>0</v>
      </c>
      <c r="AY79" s="11">
        <f t="shared" si="39"/>
        <v>0</v>
      </c>
      <c r="AZ79" s="11">
        <f t="shared" si="39"/>
        <v>0</v>
      </c>
      <c r="BA79" s="11">
        <f t="shared" si="39"/>
        <v>0</v>
      </c>
      <c r="BB79" s="11">
        <f t="shared" si="39"/>
        <v>0</v>
      </c>
      <c r="BC79" s="11">
        <f t="shared" si="39"/>
        <v>0</v>
      </c>
      <c r="BD79" s="11">
        <f t="shared" si="39"/>
        <v>0</v>
      </c>
      <c r="BE79" s="11">
        <f t="shared" si="39"/>
        <v>0</v>
      </c>
      <c r="BF79" s="11">
        <f t="shared" si="39"/>
        <v>0</v>
      </c>
      <c r="BG79" s="11">
        <f t="shared" si="39"/>
        <v>0</v>
      </c>
      <c r="BH79" s="11">
        <f t="shared" si="39"/>
        <v>0</v>
      </c>
      <c r="BI79" s="11">
        <f t="shared" si="39"/>
        <v>0</v>
      </c>
      <c r="BJ79" s="11">
        <f t="shared" si="39"/>
        <v>0</v>
      </c>
      <c r="BK79" s="11">
        <f t="shared" si="39"/>
        <v>0</v>
      </c>
      <c r="BL79" s="11">
        <f t="shared" si="39"/>
        <v>0</v>
      </c>
      <c r="BM79" s="11">
        <f t="shared" si="39"/>
        <v>0</v>
      </c>
      <c r="BN79" s="11">
        <f t="shared" si="39"/>
        <v>0</v>
      </c>
      <c r="BO79" s="11">
        <f t="shared" si="39"/>
        <v>0</v>
      </c>
      <c r="BP79" s="11">
        <f t="shared" ref="BP79:CZ79" si="40">SUMPRODUCT($B72:$B78,BP72:BP78)</f>
        <v>0</v>
      </c>
      <c r="BQ79" s="11">
        <f t="shared" si="40"/>
        <v>0</v>
      </c>
      <c r="BR79" s="11">
        <f t="shared" si="40"/>
        <v>0</v>
      </c>
      <c r="BS79" s="11">
        <f t="shared" si="40"/>
        <v>0</v>
      </c>
      <c r="BT79" s="11">
        <f t="shared" si="40"/>
        <v>0</v>
      </c>
      <c r="BU79" s="11">
        <f t="shared" si="40"/>
        <v>0</v>
      </c>
      <c r="BV79" s="11">
        <f t="shared" si="40"/>
        <v>0</v>
      </c>
      <c r="BW79" s="11">
        <f t="shared" si="40"/>
        <v>0</v>
      </c>
      <c r="BX79" s="11">
        <f t="shared" si="40"/>
        <v>0</v>
      </c>
      <c r="BY79" s="11">
        <f t="shared" si="40"/>
        <v>0</v>
      </c>
      <c r="BZ79" s="11">
        <f t="shared" si="40"/>
        <v>0</v>
      </c>
      <c r="CA79" s="11">
        <f t="shared" si="40"/>
        <v>0</v>
      </c>
      <c r="CB79" s="11">
        <f t="shared" si="40"/>
        <v>0</v>
      </c>
      <c r="CC79" s="11">
        <f t="shared" si="40"/>
        <v>0</v>
      </c>
      <c r="CD79" s="11">
        <f t="shared" si="40"/>
        <v>0</v>
      </c>
      <c r="CE79" s="11">
        <f t="shared" si="40"/>
        <v>0</v>
      </c>
      <c r="CF79" s="11">
        <f t="shared" si="40"/>
        <v>0</v>
      </c>
      <c r="CG79" s="11">
        <f t="shared" si="40"/>
        <v>0</v>
      </c>
      <c r="CH79" s="11">
        <f t="shared" si="40"/>
        <v>0</v>
      </c>
      <c r="CI79" s="11">
        <f t="shared" si="40"/>
        <v>0</v>
      </c>
      <c r="CJ79" s="11">
        <f t="shared" si="40"/>
        <v>0</v>
      </c>
      <c r="CK79" s="11">
        <f t="shared" si="40"/>
        <v>0</v>
      </c>
      <c r="CL79" s="11">
        <f t="shared" si="40"/>
        <v>0</v>
      </c>
      <c r="CM79" s="11">
        <f t="shared" si="40"/>
        <v>0</v>
      </c>
      <c r="CN79" s="11">
        <f t="shared" si="40"/>
        <v>0</v>
      </c>
      <c r="CO79" s="11">
        <f t="shared" si="40"/>
        <v>0</v>
      </c>
      <c r="CP79" s="11">
        <f t="shared" si="40"/>
        <v>0</v>
      </c>
      <c r="CQ79" s="11">
        <f t="shared" si="40"/>
        <v>0</v>
      </c>
      <c r="CR79" s="11">
        <f t="shared" si="40"/>
        <v>0</v>
      </c>
      <c r="CS79" s="11">
        <f t="shared" si="40"/>
        <v>0</v>
      </c>
      <c r="CT79" s="11">
        <f t="shared" si="40"/>
        <v>0</v>
      </c>
      <c r="CU79" s="11">
        <f t="shared" si="40"/>
        <v>0</v>
      </c>
      <c r="CV79" s="11">
        <f t="shared" si="40"/>
        <v>0</v>
      </c>
      <c r="CW79" s="11">
        <f t="shared" si="40"/>
        <v>0</v>
      </c>
      <c r="CX79" s="11">
        <f t="shared" si="40"/>
        <v>0</v>
      </c>
      <c r="CY79" s="11">
        <f t="shared" si="40"/>
        <v>0</v>
      </c>
      <c r="CZ79" s="11">
        <f t="shared" si="40"/>
        <v>0</v>
      </c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</row>
    <row r="80" spans="1:122" ht="18" customHeight="1">
      <c r="A80" s="13" t="s">
        <v>57</v>
      </c>
      <c r="B80" s="14">
        <f>IFERROR(VLOOKUP(A80,PRICELIST!$A$3:$D$138,4,0),"-")</f>
        <v>78.75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9">
        <f>C80+E80+G80+I80+K80+M80+O80+Q80+S80+U80+W80+Y80+AA80+AC80+AE80+AG80+AI80+AK80+AM80+AO80+AQ80+AS80+AU80+AW80+AY80+BA80+BC80+BE80+BG80+BI80+BK80+BM80+BO80+BQ80+BS80+BU80+BW80+BY80+CA80+CC80+CE80+CG80+CI80+CK80+CM80+CO80+CQ80+CS80+CU80+CW80</f>
        <v>0</v>
      </c>
      <c r="CZ80" s="19">
        <f>D80+F80+H80+J80+L80+N80+P80+R80+T80+V80+X80+Z80+AB80+AD80+AF80+AH80+AJ80+AL80+AN80+AP80+AR80+AT80+AV80+AX80+AZ80+BB80+BD80+BF80+BH80+BJ80+BL80+BN80+BP80+BR80+BT80+BV80+BX80+BZ80+CB80+CD80+CF80+CH80+CJ80+CL80+CN80+CP80+CR80+CT80+CV80+CX80</f>
        <v>0</v>
      </c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</row>
    <row r="81" spans="1:122" ht="18" customHeight="1">
      <c r="A81" s="9" t="s">
        <v>58</v>
      </c>
      <c r="B81" s="10"/>
      <c r="C81" s="11">
        <f>SUMPRODUCT($B80*C80)</f>
        <v>0</v>
      </c>
      <c r="D81" s="11">
        <f t="shared" ref="D81:BO81" si="41">SUMPRODUCT($B80*D80)</f>
        <v>0</v>
      </c>
      <c r="E81" s="11">
        <f t="shared" si="41"/>
        <v>0</v>
      </c>
      <c r="F81" s="11">
        <f t="shared" si="41"/>
        <v>0</v>
      </c>
      <c r="G81" s="11">
        <f t="shared" si="41"/>
        <v>0</v>
      </c>
      <c r="H81" s="11">
        <f t="shared" si="41"/>
        <v>0</v>
      </c>
      <c r="I81" s="11">
        <f t="shared" si="41"/>
        <v>0</v>
      </c>
      <c r="J81" s="11">
        <f t="shared" si="41"/>
        <v>0</v>
      </c>
      <c r="K81" s="11">
        <f t="shared" si="41"/>
        <v>0</v>
      </c>
      <c r="L81" s="11">
        <f t="shared" si="41"/>
        <v>0</v>
      </c>
      <c r="M81" s="11">
        <f t="shared" si="41"/>
        <v>0</v>
      </c>
      <c r="N81" s="11">
        <f t="shared" si="41"/>
        <v>0</v>
      </c>
      <c r="O81" s="11">
        <f t="shared" si="41"/>
        <v>0</v>
      </c>
      <c r="P81" s="11">
        <f t="shared" si="41"/>
        <v>0</v>
      </c>
      <c r="Q81" s="11">
        <f t="shared" si="41"/>
        <v>0</v>
      </c>
      <c r="R81" s="11">
        <f t="shared" si="41"/>
        <v>0</v>
      </c>
      <c r="S81" s="11">
        <f t="shared" si="41"/>
        <v>0</v>
      </c>
      <c r="T81" s="11">
        <f t="shared" si="41"/>
        <v>0</v>
      </c>
      <c r="U81" s="11">
        <f t="shared" si="41"/>
        <v>0</v>
      </c>
      <c r="V81" s="11">
        <f t="shared" si="41"/>
        <v>0</v>
      </c>
      <c r="W81" s="11">
        <f t="shared" si="41"/>
        <v>0</v>
      </c>
      <c r="X81" s="11">
        <f t="shared" si="41"/>
        <v>0</v>
      </c>
      <c r="Y81" s="11">
        <f t="shared" si="41"/>
        <v>0</v>
      </c>
      <c r="Z81" s="11">
        <f t="shared" si="41"/>
        <v>0</v>
      </c>
      <c r="AA81" s="11">
        <f t="shared" si="41"/>
        <v>0</v>
      </c>
      <c r="AB81" s="11">
        <f t="shared" si="41"/>
        <v>0</v>
      </c>
      <c r="AC81" s="11">
        <f t="shared" si="41"/>
        <v>0</v>
      </c>
      <c r="AD81" s="11">
        <f t="shared" si="41"/>
        <v>0</v>
      </c>
      <c r="AE81" s="11">
        <f t="shared" si="41"/>
        <v>0</v>
      </c>
      <c r="AF81" s="11">
        <f t="shared" si="41"/>
        <v>0</v>
      </c>
      <c r="AG81" s="11">
        <f t="shared" si="41"/>
        <v>0</v>
      </c>
      <c r="AH81" s="11">
        <f t="shared" si="41"/>
        <v>0</v>
      </c>
      <c r="AI81" s="11">
        <f t="shared" si="41"/>
        <v>0</v>
      </c>
      <c r="AJ81" s="11">
        <f t="shared" si="41"/>
        <v>0</v>
      </c>
      <c r="AK81" s="11">
        <f t="shared" si="41"/>
        <v>0</v>
      </c>
      <c r="AL81" s="11">
        <f t="shared" si="41"/>
        <v>0</v>
      </c>
      <c r="AM81" s="11">
        <f t="shared" si="41"/>
        <v>0</v>
      </c>
      <c r="AN81" s="11">
        <f t="shared" si="41"/>
        <v>0</v>
      </c>
      <c r="AO81" s="11">
        <f t="shared" si="41"/>
        <v>0</v>
      </c>
      <c r="AP81" s="11">
        <f t="shared" si="41"/>
        <v>0</v>
      </c>
      <c r="AQ81" s="11">
        <f t="shared" si="41"/>
        <v>0</v>
      </c>
      <c r="AR81" s="11">
        <f t="shared" si="41"/>
        <v>0</v>
      </c>
      <c r="AS81" s="11">
        <f t="shared" si="41"/>
        <v>0</v>
      </c>
      <c r="AT81" s="11">
        <f t="shared" si="41"/>
        <v>0</v>
      </c>
      <c r="AU81" s="11">
        <f t="shared" si="41"/>
        <v>0</v>
      </c>
      <c r="AV81" s="11">
        <f t="shared" si="41"/>
        <v>0</v>
      </c>
      <c r="AW81" s="11">
        <f t="shared" si="41"/>
        <v>0</v>
      </c>
      <c r="AX81" s="11">
        <f t="shared" si="41"/>
        <v>0</v>
      </c>
      <c r="AY81" s="11">
        <f t="shared" si="41"/>
        <v>0</v>
      </c>
      <c r="AZ81" s="11">
        <f t="shared" si="41"/>
        <v>0</v>
      </c>
      <c r="BA81" s="11">
        <f t="shared" si="41"/>
        <v>0</v>
      </c>
      <c r="BB81" s="11">
        <f t="shared" si="41"/>
        <v>0</v>
      </c>
      <c r="BC81" s="11">
        <f t="shared" si="41"/>
        <v>0</v>
      </c>
      <c r="BD81" s="11">
        <f t="shared" si="41"/>
        <v>0</v>
      </c>
      <c r="BE81" s="11">
        <f t="shared" si="41"/>
        <v>0</v>
      </c>
      <c r="BF81" s="11">
        <f t="shared" si="41"/>
        <v>0</v>
      </c>
      <c r="BG81" s="11">
        <f t="shared" si="41"/>
        <v>0</v>
      </c>
      <c r="BH81" s="11">
        <f t="shared" si="41"/>
        <v>0</v>
      </c>
      <c r="BI81" s="11">
        <f t="shared" si="41"/>
        <v>0</v>
      </c>
      <c r="BJ81" s="11">
        <f t="shared" si="41"/>
        <v>0</v>
      </c>
      <c r="BK81" s="11">
        <f t="shared" si="41"/>
        <v>0</v>
      </c>
      <c r="BL81" s="11">
        <f t="shared" si="41"/>
        <v>0</v>
      </c>
      <c r="BM81" s="11">
        <f t="shared" si="41"/>
        <v>0</v>
      </c>
      <c r="BN81" s="11">
        <f t="shared" si="41"/>
        <v>0</v>
      </c>
      <c r="BO81" s="11">
        <f t="shared" si="41"/>
        <v>0</v>
      </c>
      <c r="BP81" s="11">
        <f t="shared" ref="BP81:CZ81" si="42">SUMPRODUCT($B80*BP80)</f>
        <v>0</v>
      </c>
      <c r="BQ81" s="11">
        <f t="shared" si="42"/>
        <v>0</v>
      </c>
      <c r="BR81" s="11">
        <f t="shared" si="42"/>
        <v>0</v>
      </c>
      <c r="BS81" s="11">
        <f t="shared" si="42"/>
        <v>0</v>
      </c>
      <c r="BT81" s="11">
        <f t="shared" si="42"/>
        <v>0</v>
      </c>
      <c r="BU81" s="11">
        <f t="shared" si="42"/>
        <v>0</v>
      </c>
      <c r="BV81" s="11">
        <f t="shared" si="42"/>
        <v>0</v>
      </c>
      <c r="BW81" s="11">
        <f t="shared" si="42"/>
        <v>0</v>
      </c>
      <c r="BX81" s="11">
        <f t="shared" si="42"/>
        <v>0</v>
      </c>
      <c r="BY81" s="11">
        <f t="shared" si="42"/>
        <v>0</v>
      </c>
      <c r="BZ81" s="11">
        <f t="shared" si="42"/>
        <v>0</v>
      </c>
      <c r="CA81" s="11">
        <f t="shared" si="42"/>
        <v>0</v>
      </c>
      <c r="CB81" s="11">
        <f t="shared" si="42"/>
        <v>0</v>
      </c>
      <c r="CC81" s="11">
        <f t="shared" si="42"/>
        <v>0</v>
      </c>
      <c r="CD81" s="11">
        <f t="shared" si="42"/>
        <v>0</v>
      </c>
      <c r="CE81" s="11">
        <f t="shared" si="42"/>
        <v>0</v>
      </c>
      <c r="CF81" s="11">
        <f t="shared" si="42"/>
        <v>0</v>
      </c>
      <c r="CG81" s="11">
        <f t="shared" si="42"/>
        <v>0</v>
      </c>
      <c r="CH81" s="11">
        <f t="shared" si="42"/>
        <v>0</v>
      </c>
      <c r="CI81" s="11">
        <f t="shared" si="42"/>
        <v>0</v>
      </c>
      <c r="CJ81" s="11">
        <f t="shared" si="42"/>
        <v>0</v>
      </c>
      <c r="CK81" s="11">
        <f t="shared" si="42"/>
        <v>0</v>
      </c>
      <c r="CL81" s="11">
        <f t="shared" si="42"/>
        <v>0</v>
      </c>
      <c r="CM81" s="11">
        <f t="shared" si="42"/>
        <v>0</v>
      </c>
      <c r="CN81" s="11">
        <f t="shared" si="42"/>
        <v>0</v>
      </c>
      <c r="CO81" s="11">
        <f t="shared" si="42"/>
        <v>0</v>
      </c>
      <c r="CP81" s="11">
        <f t="shared" si="42"/>
        <v>0</v>
      </c>
      <c r="CQ81" s="11">
        <f t="shared" si="42"/>
        <v>0</v>
      </c>
      <c r="CR81" s="11">
        <f t="shared" si="42"/>
        <v>0</v>
      </c>
      <c r="CS81" s="11">
        <f t="shared" si="42"/>
        <v>0</v>
      </c>
      <c r="CT81" s="11">
        <f t="shared" si="42"/>
        <v>0</v>
      </c>
      <c r="CU81" s="11">
        <f t="shared" si="42"/>
        <v>0</v>
      </c>
      <c r="CV81" s="11">
        <f t="shared" si="42"/>
        <v>0</v>
      </c>
      <c r="CW81" s="11">
        <f t="shared" si="42"/>
        <v>0</v>
      </c>
      <c r="CX81" s="11">
        <f t="shared" si="42"/>
        <v>0</v>
      </c>
      <c r="CY81" s="11">
        <f t="shared" si="42"/>
        <v>0</v>
      </c>
      <c r="CZ81" s="11">
        <f t="shared" si="42"/>
        <v>0</v>
      </c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</row>
    <row r="82" spans="1:122" ht="18" customHeight="1">
      <c r="A82" s="13" t="s">
        <v>59</v>
      </c>
      <c r="B82" s="14">
        <f>IFERROR(VLOOKUP(A82,PRICELIST!$A$3:$D$138,4,0),"-")</f>
        <v>276.11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9">
        <f t="shared" ref="CY82:CZ84" si="43">C82+E82+G82+I82+K82+M82+O82+Q82+S82+U82+W82+Y82+AA82+AC82+AE82+AG82+AI82+AK82+AM82+AO82+AQ82+AS82+AU82+AW82+AY82+BA82+BC82+BE82+BG82+BI82+BK82+BM82+BO82+BQ82+BS82+BU82+BW82+BY82+CA82+CC82+CE82+CG82+CI82+CK82+CM82+CO82+CQ82+CS82+CU82+CW82</f>
        <v>0</v>
      </c>
      <c r="CZ82" s="19">
        <f t="shared" si="43"/>
        <v>0</v>
      </c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</row>
    <row r="83" spans="1:122" ht="18" customHeight="1">
      <c r="A83" s="13" t="s">
        <v>60</v>
      </c>
      <c r="B83" s="14">
        <f>IFERROR(VLOOKUP(A83,PRICELIST!$A$3:$D$138,4,0),"-")</f>
        <v>75.540000000000006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9">
        <f t="shared" si="43"/>
        <v>0</v>
      </c>
      <c r="CZ83" s="19">
        <f t="shared" si="43"/>
        <v>0</v>
      </c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</row>
    <row r="84" spans="1:122" ht="18" customHeight="1">
      <c r="A84" s="13" t="s">
        <v>61</v>
      </c>
      <c r="B84" s="14">
        <f>IFERROR(VLOOKUP(A84,PRICELIST!$A$3:$D$138,4,0),"-")</f>
        <v>145.93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9">
        <f t="shared" si="43"/>
        <v>0</v>
      </c>
      <c r="CZ84" s="19">
        <f t="shared" si="43"/>
        <v>0</v>
      </c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</row>
    <row r="85" spans="1:122" ht="18" customHeight="1">
      <c r="A85" s="13" t="s">
        <v>62</v>
      </c>
      <c r="B85" s="14">
        <f>IFERROR(VLOOKUP(A85,PRICELIST!$A$3:$D$138,4,0),"-")</f>
        <v>149.79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9">
        <f>C85+E85+G85+I85+K85+M85+O85+Q85+S85+U85+W85+Y85+AA85+AC85+AE85+AG85+AI85+AK85+AM85+AO85+AQ85+AS85+AU85+AW85+AY85+BA85+BC85+BE85+BG85+BI85+BK85+BM85+BO85+BQ85+BS85+BU85+BW85+BY85+CA85+CC85+CE85+CG85+CI85+CK85+CM85+CO85+CQ85+CS85+CU85+CW85</f>
        <v>0</v>
      </c>
      <c r="CZ85" s="19">
        <f>D85+F85+H85+J85+L85+N85+P85+R85+T85+V85+X85+Z85+AB85+AD85+AF85+AH85+AJ85+AL85+AN85+AP85+AR85+AT85+AV85+AX85+AZ85+BB85+BD85+BF85+BH85+BJ85+BL85+BN85+BP85+BR85+BT85+BV85+BX85+BZ85+CB85+CD85+CF85+CH85+CJ85+CL85+CN85+CP85+CR85+CT85+CV85+CX85</f>
        <v>0</v>
      </c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</row>
    <row r="86" spans="1:122" ht="18" customHeight="1">
      <c r="A86" s="13" t="s">
        <v>87</v>
      </c>
      <c r="B86" s="14">
        <f>IFERROR(VLOOKUP(A86,PRICELIST!$A$3:$D$138,4,0),"-")</f>
        <v>192.86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9">
        <f>C86+E86+G86+I86+K86+M86+O86+Q86+S86+U86+W86+Y86+AA86+AC86+AE86+AG86+AI86+AK86+AM86+AO86+AQ86+AS86+AU86+AW86+AY86+BA86+BC86+BE86+BG86+BI86+BK86+BM86+BO86+BQ86+BS86+BU86+BW86+BY86+CA86+CC86+CE86+CG86+CI86+CK86+CM86+CO86+CQ86+CS86+CU86+CW86</f>
        <v>0</v>
      </c>
      <c r="CZ86" s="19">
        <f>D86+F86+H86+J86+L86+N86+P86+R86+T86+V86+X86+Z86+AB86+AD86+AF86+AH86+AJ86+AL86+AN86+AP86+AR86+AT86+AV86+AX86+AZ86+BB86+BD86+BF86+BH86+BJ86+BL86+BN86+BP86+BR86+BT86+BV86+BX86+BZ86+CB86+CD86+CF86+CH86+CJ86+CL86+CN86+CP86+CR86+CT86+CV86+CX86</f>
        <v>0</v>
      </c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</row>
    <row r="87" spans="1:122" ht="18" customHeight="1">
      <c r="A87" s="13" t="s">
        <v>122</v>
      </c>
      <c r="B87" s="14">
        <f>IFERROR(VLOOKUP(A87,PRICELIST!$A$3:$D$138,4,0),"-")</f>
        <v>104.79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9">
        <f t="shared" ref="CY87:CZ87" si="44">C87+E87+G87+I87+K87+M87+O87+Q87+S87+U87+W87+Y87+AA87+AC87+AE87+AG87+AI87+AK87+AM87+AO87+AQ87+AS87+AU87+AW87+AY87+BA87+BC87+BE87+BG87+BI87+BK87+BM87+BO87+BQ87+BS87+BU87+BW87+BY87+CA87+CC87+CE87+CG87+CI87+CK87+CM87+CO87+CQ87+CS87+CU87+CW87</f>
        <v>0</v>
      </c>
      <c r="CZ87" s="19">
        <f t="shared" si="44"/>
        <v>0</v>
      </c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</row>
    <row r="88" spans="1:122" ht="18" customHeight="1">
      <c r="A88" s="9" t="s">
        <v>88</v>
      </c>
      <c r="B88" s="10"/>
      <c r="C88" s="11">
        <f>SUMPRODUCT($B82:$B87,C82:C87)</f>
        <v>0</v>
      </c>
      <c r="D88" s="11">
        <f t="shared" ref="D88:BO88" si="45">SUMPRODUCT($B82:$B87,D82:D87)</f>
        <v>0</v>
      </c>
      <c r="E88" s="11">
        <f t="shared" si="45"/>
        <v>0</v>
      </c>
      <c r="F88" s="11">
        <f t="shared" si="45"/>
        <v>0</v>
      </c>
      <c r="G88" s="11">
        <f t="shared" si="45"/>
        <v>0</v>
      </c>
      <c r="H88" s="11">
        <f t="shared" si="45"/>
        <v>0</v>
      </c>
      <c r="I88" s="11">
        <f t="shared" si="45"/>
        <v>0</v>
      </c>
      <c r="J88" s="11">
        <f t="shared" si="45"/>
        <v>0</v>
      </c>
      <c r="K88" s="11">
        <f t="shared" si="45"/>
        <v>0</v>
      </c>
      <c r="L88" s="11">
        <f t="shared" si="45"/>
        <v>0</v>
      </c>
      <c r="M88" s="11">
        <f t="shared" si="45"/>
        <v>0</v>
      </c>
      <c r="N88" s="11">
        <f t="shared" si="45"/>
        <v>0</v>
      </c>
      <c r="O88" s="11">
        <f t="shared" si="45"/>
        <v>0</v>
      </c>
      <c r="P88" s="11">
        <f t="shared" si="45"/>
        <v>0</v>
      </c>
      <c r="Q88" s="11">
        <f t="shared" si="45"/>
        <v>0</v>
      </c>
      <c r="R88" s="11">
        <f t="shared" si="45"/>
        <v>0</v>
      </c>
      <c r="S88" s="11">
        <f t="shared" si="45"/>
        <v>0</v>
      </c>
      <c r="T88" s="11">
        <f t="shared" si="45"/>
        <v>0</v>
      </c>
      <c r="U88" s="11">
        <f t="shared" si="45"/>
        <v>0</v>
      </c>
      <c r="V88" s="11">
        <f t="shared" si="45"/>
        <v>0</v>
      </c>
      <c r="W88" s="11">
        <f t="shared" si="45"/>
        <v>0</v>
      </c>
      <c r="X88" s="11">
        <f t="shared" si="45"/>
        <v>0</v>
      </c>
      <c r="Y88" s="11">
        <f t="shared" si="45"/>
        <v>0</v>
      </c>
      <c r="Z88" s="11">
        <f t="shared" si="45"/>
        <v>0</v>
      </c>
      <c r="AA88" s="11">
        <f t="shared" si="45"/>
        <v>0</v>
      </c>
      <c r="AB88" s="11">
        <f t="shared" si="45"/>
        <v>0</v>
      </c>
      <c r="AC88" s="11">
        <f t="shared" si="45"/>
        <v>0</v>
      </c>
      <c r="AD88" s="11">
        <f t="shared" si="45"/>
        <v>0</v>
      </c>
      <c r="AE88" s="11">
        <f t="shared" si="45"/>
        <v>0</v>
      </c>
      <c r="AF88" s="11">
        <f t="shared" si="45"/>
        <v>0</v>
      </c>
      <c r="AG88" s="11">
        <f t="shared" si="45"/>
        <v>0</v>
      </c>
      <c r="AH88" s="11">
        <f t="shared" si="45"/>
        <v>0</v>
      </c>
      <c r="AI88" s="11">
        <f t="shared" si="45"/>
        <v>0</v>
      </c>
      <c r="AJ88" s="11">
        <f t="shared" si="45"/>
        <v>0</v>
      </c>
      <c r="AK88" s="11">
        <f t="shared" si="45"/>
        <v>0</v>
      </c>
      <c r="AL88" s="11">
        <f t="shared" si="45"/>
        <v>0</v>
      </c>
      <c r="AM88" s="11">
        <f t="shared" si="45"/>
        <v>0</v>
      </c>
      <c r="AN88" s="11">
        <f t="shared" si="45"/>
        <v>0</v>
      </c>
      <c r="AO88" s="11">
        <f t="shared" si="45"/>
        <v>0</v>
      </c>
      <c r="AP88" s="11">
        <f t="shared" si="45"/>
        <v>0</v>
      </c>
      <c r="AQ88" s="11">
        <f t="shared" si="45"/>
        <v>0</v>
      </c>
      <c r="AR88" s="11">
        <f t="shared" si="45"/>
        <v>0</v>
      </c>
      <c r="AS88" s="11">
        <f t="shared" si="45"/>
        <v>0</v>
      </c>
      <c r="AT88" s="11">
        <f t="shared" si="45"/>
        <v>0</v>
      </c>
      <c r="AU88" s="11">
        <f t="shared" si="45"/>
        <v>0</v>
      </c>
      <c r="AV88" s="11">
        <f t="shared" si="45"/>
        <v>0</v>
      </c>
      <c r="AW88" s="11">
        <f t="shared" si="45"/>
        <v>0</v>
      </c>
      <c r="AX88" s="11">
        <f t="shared" si="45"/>
        <v>0</v>
      </c>
      <c r="AY88" s="11">
        <f t="shared" si="45"/>
        <v>0</v>
      </c>
      <c r="AZ88" s="11">
        <f t="shared" si="45"/>
        <v>0</v>
      </c>
      <c r="BA88" s="11">
        <f t="shared" si="45"/>
        <v>0</v>
      </c>
      <c r="BB88" s="11">
        <f t="shared" si="45"/>
        <v>0</v>
      </c>
      <c r="BC88" s="11">
        <f t="shared" si="45"/>
        <v>0</v>
      </c>
      <c r="BD88" s="11">
        <f t="shared" si="45"/>
        <v>0</v>
      </c>
      <c r="BE88" s="11">
        <f t="shared" si="45"/>
        <v>0</v>
      </c>
      <c r="BF88" s="11">
        <f t="shared" si="45"/>
        <v>0</v>
      </c>
      <c r="BG88" s="11">
        <f t="shared" si="45"/>
        <v>0</v>
      </c>
      <c r="BH88" s="11">
        <f t="shared" si="45"/>
        <v>0</v>
      </c>
      <c r="BI88" s="11">
        <f t="shared" si="45"/>
        <v>0</v>
      </c>
      <c r="BJ88" s="11">
        <f t="shared" si="45"/>
        <v>0</v>
      </c>
      <c r="BK88" s="11">
        <f t="shared" si="45"/>
        <v>0</v>
      </c>
      <c r="BL88" s="11">
        <f t="shared" si="45"/>
        <v>0</v>
      </c>
      <c r="BM88" s="11">
        <f t="shared" si="45"/>
        <v>0</v>
      </c>
      <c r="BN88" s="11">
        <f t="shared" si="45"/>
        <v>0</v>
      </c>
      <c r="BO88" s="11">
        <f t="shared" si="45"/>
        <v>0</v>
      </c>
      <c r="BP88" s="11">
        <f t="shared" ref="BP88:CZ88" si="46">SUMPRODUCT($B82:$B87,BP82:BP87)</f>
        <v>0</v>
      </c>
      <c r="BQ88" s="11">
        <f t="shared" si="46"/>
        <v>0</v>
      </c>
      <c r="BR88" s="11">
        <f t="shared" si="46"/>
        <v>0</v>
      </c>
      <c r="BS88" s="11">
        <f t="shared" si="46"/>
        <v>0</v>
      </c>
      <c r="BT88" s="11">
        <f t="shared" si="46"/>
        <v>0</v>
      </c>
      <c r="BU88" s="11">
        <f t="shared" si="46"/>
        <v>0</v>
      </c>
      <c r="BV88" s="11">
        <f t="shared" si="46"/>
        <v>0</v>
      </c>
      <c r="BW88" s="11">
        <f t="shared" si="46"/>
        <v>0</v>
      </c>
      <c r="BX88" s="11">
        <f t="shared" si="46"/>
        <v>0</v>
      </c>
      <c r="BY88" s="11">
        <f t="shared" si="46"/>
        <v>0</v>
      </c>
      <c r="BZ88" s="11">
        <f t="shared" si="46"/>
        <v>0</v>
      </c>
      <c r="CA88" s="11">
        <f t="shared" si="46"/>
        <v>0</v>
      </c>
      <c r="CB88" s="11">
        <f t="shared" si="46"/>
        <v>0</v>
      </c>
      <c r="CC88" s="11">
        <f t="shared" si="46"/>
        <v>0</v>
      </c>
      <c r="CD88" s="11">
        <f t="shared" si="46"/>
        <v>0</v>
      </c>
      <c r="CE88" s="11">
        <f t="shared" si="46"/>
        <v>0</v>
      </c>
      <c r="CF88" s="11">
        <f t="shared" si="46"/>
        <v>0</v>
      </c>
      <c r="CG88" s="11">
        <f t="shared" si="46"/>
        <v>0</v>
      </c>
      <c r="CH88" s="11">
        <f t="shared" si="46"/>
        <v>0</v>
      </c>
      <c r="CI88" s="11">
        <f t="shared" si="46"/>
        <v>0</v>
      </c>
      <c r="CJ88" s="11">
        <f t="shared" si="46"/>
        <v>0</v>
      </c>
      <c r="CK88" s="11">
        <f t="shared" si="46"/>
        <v>0</v>
      </c>
      <c r="CL88" s="11">
        <f t="shared" si="46"/>
        <v>0</v>
      </c>
      <c r="CM88" s="11">
        <f t="shared" si="46"/>
        <v>0</v>
      </c>
      <c r="CN88" s="11">
        <f t="shared" si="46"/>
        <v>0</v>
      </c>
      <c r="CO88" s="11">
        <f t="shared" si="46"/>
        <v>0</v>
      </c>
      <c r="CP88" s="11">
        <f t="shared" si="46"/>
        <v>0</v>
      </c>
      <c r="CQ88" s="11">
        <f t="shared" si="46"/>
        <v>0</v>
      </c>
      <c r="CR88" s="11">
        <f t="shared" si="46"/>
        <v>0</v>
      </c>
      <c r="CS88" s="11">
        <f t="shared" si="46"/>
        <v>0</v>
      </c>
      <c r="CT88" s="11">
        <f t="shared" si="46"/>
        <v>0</v>
      </c>
      <c r="CU88" s="11">
        <f t="shared" si="46"/>
        <v>0</v>
      </c>
      <c r="CV88" s="11">
        <f t="shared" si="46"/>
        <v>0</v>
      </c>
      <c r="CW88" s="11">
        <f t="shared" si="46"/>
        <v>0</v>
      </c>
      <c r="CX88" s="11">
        <f t="shared" si="46"/>
        <v>0</v>
      </c>
      <c r="CY88" s="11">
        <f t="shared" si="46"/>
        <v>0</v>
      </c>
      <c r="CZ88" s="11">
        <f t="shared" si="46"/>
        <v>0</v>
      </c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</row>
    <row r="89" spans="1:122" ht="18" customHeight="1">
      <c r="A89" s="13" t="s">
        <v>63</v>
      </c>
      <c r="B89" s="14">
        <f>IFERROR(VLOOKUP(A89,PRICELIST!$A$3:$D$138,4,0),"-")</f>
        <v>172.53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9">
        <f t="shared" ref="CY89:CZ91" si="47">C89+E89+G89+I89+K89+M89+O89+Q89+S89+U89+W89+Y89+AA89+AC89+AE89+AG89+AI89+AK89+AM89+AO89+AQ89+AS89+AU89+AW89+AY89+BA89+BC89+BE89+BG89+BI89+BK89+BM89+BO89+BQ89+BS89+BU89+BW89+BY89+CA89+CC89+CE89+CG89+CI89+CK89+CM89+CO89+CQ89+CS89+CU89+CW89</f>
        <v>0</v>
      </c>
      <c r="CZ89" s="19">
        <f t="shared" si="47"/>
        <v>0</v>
      </c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</row>
    <row r="90" spans="1:122" ht="18" customHeight="1">
      <c r="A90" s="13" t="s">
        <v>64</v>
      </c>
      <c r="B90" s="14">
        <f>IFERROR(VLOOKUP(A90,PRICELIST!$A$3:$D$138,4,0),"-")</f>
        <v>50.46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9">
        <f t="shared" si="47"/>
        <v>0</v>
      </c>
      <c r="CZ90" s="19">
        <f t="shared" si="47"/>
        <v>0</v>
      </c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</row>
    <row r="91" spans="1:122" ht="18" customHeight="1">
      <c r="A91" s="13" t="s">
        <v>65</v>
      </c>
      <c r="B91" s="14">
        <f>IFERROR(VLOOKUP(A91,PRICELIST!$A$3:$D$138,4,0),"-")</f>
        <v>99.64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9">
        <f t="shared" si="47"/>
        <v>0</v>
      </c>
      <c r="CZ91" s="19">
        <f t="shared" si="47"/>
        <v>0</v>
      </c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</row>
    <row r="92" spans="1:122" ht="18" customHeight="1">
      <c r="A92" s="9" t="s">
        <v>66</v>
      </c>
      <c r="B92" s="10"/>
      <c r="C92" s="11">
        <f>SUMPRODUCT($B89:$B91,C89:C91)</f>
        <v>0</v>
      </c>
      <c r="D92" s="11">
        <f t="shared" ref="D92:BO92" si="48">SUMPRODUCT($B89:$B91,D89:D91)</f>
        <v>0</v>
      </c>
      <c r="E92" s="11">
        <f t="shared" si="48"/>
        <v>0</v>
      </c>
      <c r="F92" s="11">
        <f t="shared" si="48"/>
        <v>0</v>
      </c>
      <c r="G92" s="11">
        <f t="shared" si="48"/>
        <v>0</v>
      </c>
      <c r="H92" s="11">
        <f t="shared" si="48"/>
        <v>0</v>
      </c>
      <c r="I92" s="11">
        <f t="shared" si="48"/>
        <v>0</v>
      </c>
      <c r="J92" s="11">
        <f t="shared" si="48"/>
        <v>0</v>
      </c>
      <c r="K92" s="11">
        <f t="shared" si="48"/>
        <v>0</v>
      </c>
      <c r="L92" s="11">
        <f t="shared" si="48"/>
        <v>0</v>
      </c>
      <c r="M92" s="11">
        <f t="shared" si="48"/>
        <v>0</v>
      </c>
      <c r="N92" s="11">
        <f t="shared" si="48"/>
        <v>0</v>
      </c>
      <c r="O92" s="11">
        <f t="shared" si="48"/>
        <v>0</v>
      </c>
      <c r="P92" s="11">
        <f t="shared" si="48"/>
        <v>0</v>
      </c>
      <c r="Q92" s="11">
        <f t="shared" si="48"/>
        <v>0</v>
      </c>
      <c r="R92" s="11">
        <f t="shared" si="48"/>
        <v>0</v>
      </c>
      <c r="S92" s="11">
        <f t="shared" si="48"/>
        <v>0</v>
      </c>
      <c r="T92" s="11">
        <f t="shared" si="48"/>
        <v>0</v>
      </c>
      <c r="U92" s="11">
        <f t="shared" si="48"/>
        <v>0</v>
      </c>
      <c r="V92" s="11">
        <f t="shared" si="48"/>
        <v>0</v>
      </c>
      <c r="W92" s="11">
        <f t="shared" si="48"/>
        <v>0</v>
      </c>
      <c r="X92" s="11">
        <f t="shared" si="48"/>
        <v>0</v>
      </c>
      <c r="Y92" s="11">
        <f t="shared" si="48"/>
        <v>0</v>
      </c>
      <c r="Z92" s="11">
        <f t="shared" si="48"/>
        <v>0</v>
      </c>
      <c r="AA92" s="11">
        <f t="shared" si="48"/>
        <v>0</v>
      </c>
      <c r="AB92" s="11">
        <f t="shared" si="48"/>
        <v>0</v>
      </c>
      <c r="AC92" s="11">
        <f t="shared" si="48"/>
        <v>0</v>
      </c>
      <c r="AD92" s="11">
        <f t="shared" si="48"/>
        <v>0</v>
      </c>
      <c r="AE92" s="11">
        <f t="shared" si="48"/>
        <v>0</v>
      </c>
      <c r="AF92" s="11">
        <f t="shared" si="48"/>
        <v>0</v>
      </c>
      <c r="AG92" s="11">
        <f t="shared" si="48"/>
        <v>0</v>
      </c>
      <c r="AH92" s="11">
        <f t="shared" si="48"/>
        <v>0</v>
      </c>
      <c r="AI92" s="11">
        <f t="shared" si="48"/>
        <v>0</v>
      </c>
      <c r="AJ92" s="11">
        <f t="shared" si="48"/>
        <v>0</v>
      </c>
      <c r="AK92" s="11">
        <f t="shared" si="48"/>
        <v>0</v>
      </c>
      <c r="AL92" s="11">
        <f t="shared" si="48"/>
        <v>0</v>
      </c>
      <c r="AM92" s="11">
        <f t="shared" si="48"/>
        <v>0</v>
      </c>
      <c r="AN92" s="11">
        <f t="shared" si="48"/>
        <v>0</v>
      </c>
      <c r="AO92" s="11">
        <f t="shared" si="48"/>
        <v>0</v>
      </c>
      <c r="AP92" s="11">
        <f t="shared" si="48"/>
        <v>0</v>
      </c>
      <c r="AQ92" s="11">
        <f t="shared" si="48"/>
        <v>0</v>
      </c>
      <c r="AR92" s="11">
        <f t="shared" si="48"/>
        <v>0</v>
      </c>
      <c r="AS92" s="11">
        <f t="shared" si="48"/>
        <v>0</v>
      </c>
      <c r="AT92" s="11">
        <f t="shared" si="48"/>
        <v>0</v>
      </c>
      <c r="AU92" s="11">
        <f t="shared" si="48"/>
        <v>0</v>
      </c>
      <c r="AV92" s="11">
        <f t="shared" si="48"/>
        <v>0</v>
      </c>
      <c r="AW92" s="11">
        <f t="shared" si="48"/>
        <v>0</v>
      </c>
      <c r="AX92" s="11">
        <f t="shared" si="48"/>
        <v>0</v>
      </c>
      <c r="AY92" s="11">
        <f t="shared" si="48"/>
        <v>0</v>
      </c>
      <c r="AZ92" s="11">
        <f t="shared" si="48"/>
        <v>0</v>
      </c>
      <c r="BA92" s="11">
        <f t="shared" si="48"/>
        <v>0</v>
      </c>
      <c r="BB92" s="11">
        <f t="shared" si="48"/>
        <v>0</v>
      </c>
      <c r="BC92" s="11">
        <f t="shared" si="48"/>
        <v>0</v>
      </c>
      <c r="BD92" s="11">
        <f t="shared" si="48"/>
        <v>0</v>
      </c>
      <c r="BE92" s="11">
        <f t="shared" si="48"/>
        <v>0</v>
      </c>
      <c r="BF92" s="11">
        <f t="shared" si="48"/>
        <v>0</v>
      </c>
      <c r="BG92" s="11">
        <f t="shared" si="48"/>
        <v>0</v>
      </c>
      <c r="BH92" s="11">
        <f t="shared" si="48"/>
        <v>0</v>
      </c>
      <c r="BI92" s="11">
        <f t="shared" si="48"/>
        <v>0</v>
      </c>
      <c r="BJ92" s="11">
        <f t="shared" si="48"/>
        <v>0</v>
      </c>
      <c r="BK92" s="11">
        <f t="shared" si="48"/>
        <v>0</v>
      </c>
      <c r="BL92" s="11">
        <f t="shared" si="48"/>
        <v>0</v>
      </c>
      <c r="BM92" s="11">
        <f t="shared" si="48"/>
        <v>0</v>
      </c>
      <c r="BN92" s="11">
        <f t="shared" si="48"/>
        <v>0</v>
      </c>
      <c r="BO92" s="11">
        <f t="shared" si="48"/>
        <v>0</v>
      </c>
      <c r="BP92" s="11">
        <f t="shared" ref="BP92:CZ92" si="49">SUMPRODUCT($B89:$B91,BP89:BP91)</f>
        <v>0</v>
      </c>
      <c r="BQ92" s="11">
        <f t="shared" si="49"/>
        <v>0</v>
      </c>
      <c r="BR92" s="11">
        <f t="shared" si="49"/>
        <v>0</v>
      </c>
      <c r="BS92" s="11">
        <f t="shared" si="49"/>
        <v>0</v>
      </c>
      <c r="BT92" s="11">
        <f t="shared" si="49"/>
        <v>0</v>
      </c>
      <c r="BU92" s="11">
        <f t="shared" si="49"/>
        <v>0</v>
      </c>
      <c r="BV92" s="11">
        <f t="shared" si="49"/>
        <v>0</v>
      </c>
      <c r="BW92" s="11">
        <f t="shared" si="49"/>
        <v>0</v>
      </c>
      <c r="BX92" s="11">
        <f t="shared" si="49"/>
        <v>0</v>
      </c>
      <c r="BY92" s="11">
        <f t="shared" si="49"/>
        <v>0</v>
      </c>
      <c r="BZ92" s="11">
        <f t="shared" si="49"/>
        <v>0</v>
      </c>
      <c r="CA92" s="11">
        <f t="shared" si="49"/>
        <v>0</v>
      </c>
      <c r="CB92" s="11">
        <f t="shared" si="49"/>
        <v>0</v>
      </c>
      <c r="CC92" s="11">
        <f t="shared" si="49"/>
        <v>0</v>
      </c>
      <c r="CD92" s="11">
        <f t="shared" si="49"/>
        <v>0</v>
      </c>
      <c r="CE92" s="11">
        <f t="shared" si="49"/>
        <v>0</v>
      </c>
      <c r="CF92" s="11">
        <f t="shared" si="49"/>
        <v>0</v>
      </c>
      <c r="CG92" s="11">
        <f t="shared" si="49"/>
        <v>0</v>
      </c>
      <c r="CH92" s="11">
        <f t="shared" si="49"/>
        <v>0</v>
      </c>
      <c r="CI92" s="11">
        <f t="shared" si="49"/>
        <v>0</v>
      </c>
      <c r="CJ92" s="11">
        <f t="shared" si="49"/>
        <v>0</v>
      </c>
      <c r="CK92" s="11">
        <f t="shared" si="49"/>
        <v>0</v>
      </c>
      <c r="CL92" s="11">
        <f t="shared" si="49"/>
        <v>0</v>
      </c>
      <c r="CM92" s="11">
        <f t="shared" si="49"/>
        <v>0</v>
      </c>
      <c r="CN92" s="11">
        <f t="shared" si="49"/>
        <v>0</v>
      </c>
      <c r="CO92" s="11">
        <f t="shared" si="49"/>
        <v>0</v>
      </c>
      <c r="CP92" s="11">
        <f t="shared" si="49"/>
        <v>0</v>
      </c>
      <c r="CQ92" s="11">
        <f t="shared" si="49"/>
        <v>0</v>
      </c>
      <c r="CR92" s="11">
        <f t="shared" si="49"/>
        <v>0</v>
      </c>
      <c r="CS92" s="11">
        <f t="shared" si="49"/>
        <v>0</v>
      </c>
      <c r="CT92" s="11">
        <f t="shared" si="49"/>
        <v>0</v>
      </c>
      <c r="CU92" s="11">
        <f t="shared" si="49"/>
        <v>0</v>
      </c>
      <c r="CV92" s="11">
        <f t="shared" si="49"/>
        <v>0</v>
      </c>
      <c r="CW92" s="11">
        <f t="shared" si="49"/>
        <v>0</v>
      </c>
      <c r="CX92" s="11">
        <f t="shared" si="49"/>
        <v>0</v>
      </c>
      <c r="CY92" s="11">
        <f t="shared" si="49"/>
        <v>0</v>
      </c>
      <c r="CZ92" s="11">
        <f t="shared" si="49"/>
        <v>0</v>
      </c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</row>
    <row r="93" spans="1:122" ht="18" customHeight="1">
      <c r="A93" s="13" t="s">
        <v>67</v>
      </c>
      <c r="B93" s="14">
        <f>IFERROR(VLOOKUP(A93,PRICELIST!$A$3:$D$138,4,0),"-")</f>
        <v>140.13999999999999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9">
        <f t="shared" ref="CY93:CZ94" si="50">C93+E93+G93+I93+K93+M93+O93+Q93+S93+U93+W93+Y93+AA93+AC93+AE93+AG93+AI93+AK93+AM93+AO93+AQ93+AS93+AU93+AW93+AY93+BA93+BC93+BE93+BG93+BI93+BK93+BM93+BO93+BQ93+BS93+BU93+BW93+BY93+CA93+CC93+CE93+CG93+CI93+CK93+CM93+CO93+CQ93+CS93+CU93+CW93</f>
        <v>0</v>
      </c>
      <c r="CZ93" s="19">
        <f t="shared" si="50"/>
        <v>0</v>
      </c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</row>
    <row r="94" spans="1:122" ht="18" customHeight="1">
      <c r="A94" s="13" t="s">
        <v>68</v>
      </c>
      <c r="B94" s="14">
        <f>IFERROR(VLOOKUP(A94,PRICELIST!$A$3:$D$138,4,0),"-")</f>
        <v>203.14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9">
        <f t="shared" si="50"/>
        <v>0</v>
      </c>
      <c r="CZ94" s="19">
        <f t="shared" si="50"/>
        <v>0</v>
      </c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</row>
    <row r="95" spans="1:122" ht="18" customHeight="1">
      <c r="A95" s="9" t="s">
        <v>69</v>
      </c>
      <c r="B95" s="10"/>
      <c r="C95" s="11">
        <f>SUMPRODUCT($B93:$B94,C93:C94)</f>
        <v>0</v>
      </c>
      <c r="D95" s="11">
        <f t="shared" ref="D95:BO95" si="51">SUMPRODUCT($B93:$B94,D93:D94)</f>
        <v>0</v>
      </c>
      <c r="E95" s="11">
        <f t="shared" si="51"/>
        <v>0</v>
      </c>
      <c r="F95" s="11">
        <f t="shared" si="51"/>
        <v>0</v>
      </c>
      <c r="G95" s="11">
        <f t="shared" si="51"/>
        <v>0</v>
      </c>
      <c r="H95" s="11">
        <f t="shared" si="51"/>
        <v>0</v>
      </c>
      <c r="I95" s="11">
        <f t="shared" si="51"/>
        <v>0</v>
      </c>
      <c r="J95" s="11">
        <f t="shared" si="51"/>
        <v>0</v>
      </c>
      <c r="K95" s="11">
        <f t="shared" si="51"/>
        <v>0</v>
      </c>
      <c r="L95" s="11">
        <f t="shared" si="51"/>
        <v>0</v>
      </c>
      <c r="M95" s="11">
        <f t="shared" si="51"/>
        <v>0</v>
      </c>
      <c r="N95" s="11">
        <f t="shared" si="51"/>
        <v>0</v>
      </c>
      <c r="O95" s="11">
        <f t="shared" si="51"/>
        <v>0</v>
      </c>
      <c r="P95" s="11">
        <f t="shared" si="51"/>
        <v>0</v>
      </c>
      <c r="Q95" s="11">
        <f t="shared" si="51"/>
        <v>0</v>
      </c>
      <c r="R95" s="11">
        <f t="shared" si="51"/>
        <v>0</v>
      </c>
      <c r="S95" s="11">
        <f t="shared" si="51"/>
        <v>0</v>
      </c>
      <c r="T95" s="11">
        <f t="shared" si="51"/>
        <v>0</v>
      </c>
      <c r="U95" s="11">
        <f t="shared" si="51"/>
        <v>0</v>
      </c>
      <c r="V95" s="11">
        <f t="shared" si="51"/>
        <v>0</v>
      </c>
      <c r="W95" s="11">
        <f t="shared" si="51"/>
        <v>0</v>
      </c>
      <c r="X95" s="11">
        <f t="shared" si="51"/>
        <v>0</v>
      </c>
      <c r="Y95" s="11">
        <f t="shared" si="51"/>
        <v>0</v>
      </c>
      <c r="Z95" s="11">
        <f t="shared" si="51"/>
        <v>0</v>
      </c>
      <c r="AA95" s="11">
        <f t="shared" si="51"/>
        <v>0</v>
      </c>
      <c r="AB95" s="11">
        <f t="shared" si="51"/>
        <v>0</v>
      </c>
      <c r="AC95" s="11">
        <f t="shared" si="51"/>
        <v>0</v>
      </c>
      <c r="AD95" s="11">
        <f t="shared" si="51"/>
        <v>0</v>
      </c>
      <c r="AE95" s="11">
        <f t="shared" si="51"/>
        <v>0</v>
      </c>
      <c r="AF95" s="11">
        <f t="shared" si="51"/>
        <v>0</v>
      </c>
      <c r="AG95" s="11">
        <f t="shared" si="51"/>
        <v>0</v>
      </c>
      <c r="AH95" s="11">
        <f t="shared" si="51"/>
        <v>0</v>
      </c>
      <c r="AI95" s="11">
        <f t="shared" si="51"/>
        <v>0</v>
      </c>
      <c r="AJ95" s="11">
        <f t="shared" si="51"/>
        <v>0</v>
      </c>
      <c r="AK95" s="11">
        <f t="shared" si="51"/>
        <v>0</v>
      </c>
      <c r="AL95" s="11">
        <f t="shared" si="51"/>
        <v>0</v>
      </c>
      <c r="AM95" s="11">
        <f t="shared" si="51"/>
        <v>0</v>
      </c>
      <c r="AN95" s="11">
        <f t="shared" si="51"/>
        <v>0</v>
      </c>
      <c r="AO95" s="11">
        <f t="shared" si="51"/>
        <v>0</v>
      </c>
      <c r="AP95" s="11">
        <f t="shared" si="51"/>
        <v>0</v>
      </c>
      <c r="AQ95" s="11">
        <f t="shared" si="51"/>
        <v>0</v>
      </c>
      <c r="AR95" s="11">
        <f t="shared" si="51"/>
        <v>0</v>
      </c>
      <c r="AS95" s="11">
        <f t="shared" si="51"/>
        <v>0</v>
      </c>
      <c r="AT95" s="11">
        <f t="shared" si="51"/>
        <v>0</v>
      </c>
      <c r="AU95" s="11">
        <f t="shared" si="51"/>
        <v>0</v>
      </c>
      <c r="AV95" s="11">
        <f t="shared" si="51"/>
        <v>0</v>
      </c>
      <c r="AW95" s="11">
        <f t="shared" si="51"/>
        <v>0</v>
      </c>
      <c r="AX95" s="11">
        <f t="shared" si="51"/>
        <v>0</v>
      </c>
      <c r="AY95" s="11">
        <f t="shared" si="51"/>
        <v>0</v>
      </c>
      <c r="AZ95" s="11">
        <f t="shared" si="51"/>
        <v>0</v>
      </c>
      <c r="BA95" s="11">
        <f t="shared" si="51"/>
        <v>0</v>
      </c>
      <c r="BB95" s="11">
        <f t="shared" si="51"/>
        <v>0</v>
      </c>
      <c r="BC95" s="11">
        <f t="shared" si="51"/>
        <v>0</v>
      </c>
      <c r="BD95" s="11">
        <f t="shared" si="51"/>
        <v>0</v>
      </c>
      <c r="BE95" s="11">
        <f t="shared" si="51"/>
        <v>0</v>
      </c>
      <c r="BF95" s="11">
        <f t="shared" si="51"/>
        <v>0</v>
      </c>
      <c r="BG95" s="11">
        <f t="shared" si="51"/>
        <v>0</v>
      </c>
      <c r="BH95" s="11">
        <f t="shared" si="51"/>
        <v>0</v>
      </c>
      <c r="BI95" s="11">
        <f t="shared" si="51"/>
        <v>0</v>
      </c>
      <c r="BJ95" s="11">
        <f t="shared" si="51"/>
        <v>0</v>
      </c>
      <c r="BK95" s="11">
        <f t="shared" si="51"/>
        <v>0</v>
      </c>
      <c r="BL95" s="11">
        <f t="shared" si="51"/>
        <v>0</v>
      </c>
      <c r="BM95" s="11">
        <f t="shared" si="51"/>
        <v>0</v>
      </c>
      <c r="BN95" s="11">
        <f t="shared" si="51"/>
        <v>0</v>
      </c>
      <c r="BO95" s="11">
        <f t="shared" si="51"/>
        <v>0</v>
      </c>
      <c r="BP95" s="11">
        <f t="shared" ref="BP95:CZ95" si="52">SUMPRODUCT($B93:$B94,BP93:BP94)</f>
        <v>0</v>
      </c>
      <c r="BQ95" s="11">
        <f t="shared" si="52"/>
        <v>0</v>
      </c>
      <c r="BR95" s="11">
        <f t="shared" si="52"/>
        <v>0</v>
      </c>
      <c r="BS95" s="11">
        <f t="shared" si="52"/>
        <v>0</v>
      </c>
      <c r="BT95" s="11">
        <f t="shared" si="52"/>
        <v>0</v>
      </c>
      <c r="BU95" s="11">
        <f t="shared" si="52"/>
        <v>0</v>
      </c>
      <c r="BV95" s="11">
        <f t="shared" si="52"/>
        <v>0</v>
      </c>
      <c r="BW95" s="11">
        <f t="shared" si="52"/>
        <v>0</v>
      </c>
      <c r="BX95" s="11">
        <f t="shared" si="52"/>
        <v>0</v>
      </c>
      <c r="BY95" s="11">
        <f t="shared" si="52"/>
        <v>0</v>
      </c>
      <c r="BZ95" s="11">
        <f t="shared" si="52"/>
        <v>0</v>
      </c>
      <c r="CA95" s="11">
        <f t="shared" si="52"/>
        <v>0</v>
      </c>
      <c r="CB95" s="11">
        <f t="shared" si="52"/>
        <v>0</v>
      </c>
      <c r="CC95" s="11">
        <f t="shared" si="52"/>
        <v>0</v>
      </c>
      <c r="CD95" s="11">
        <f t="shared" si="52"/>
        <v>0</v>
      </c>
      <c r="CE95" s="11">
        <f t="shared" si="52"/>
        <v>0</v>
      </c>
      <c r="CF95" s="11">
        <f t="shared" si="52"/>
        <v>0</v>
      </c>
      <c r="CG95" s="11">
        <f t="shared" si="52"/>
        <v>0</v>
      </c>
      <c r="CH95" s="11">
        <f t="shared" si="52"/>
        <v>0</v>
      </c>
      <c r="CI95" s="11">
        <f t="shared" si="52"/>
        <v>0</v>
      </c>
      <c r="CJ95" s="11">
        <f t="shared" si="52"/>
        <v>0</v>
      </c>
      <c r="CK95" s="11">
        <f t="shared" si="52"/>
        <v>0</v>
      </c>
      <c r="CL95" s="11">
        <f t="shared" si="52"/>
        <v>0</v>
      </c>
      <c r="CM95" s="11">
        <f t="shared" si="52"/>
        <v>0</v>
      </c>
      <c r="CN95" s="11">
        <f t="shared" si="52"/>
        <v>0</v>
      </c>
      <c r="CO95" s="11">
        <f t="shared" si="52"/>
        <v>0</v>
      </c>
      <c r="CP95" s="11">
        <f t="shared" si="52"/>
        <v>0</v>
      </c>
      <c r="CQ95" s="11">
        <f t="shared" si="52"/>
        <v>0</v>
      </c>
      <c r="CR95" s="11">
        <f t="shared" si="52"/>
        <v>0</v>
      </c>
      <c r="CS95" s="11">
        <f t="shared" si="52"/>
        <v>0</v>
      </c>
      <c r="CT95" s="11">
        <f t="shared" si="52"/>
        <v>0</v>
      </c>
      <c r="CU95" s="11">
        <f t="shared" si="52"/>
        <v>0</v>
      </c>
      <c r="CV95" s="11">
        <f t="shared" si="52"/>
        <v>0</v>
      </c>
      <c r="CW95" s="11">
        <f t="shared" si="52"/>
        <v>0</v>
      </c>
      <c r="CX95" s="11">
        <f t="shared" si="52"/>
        <v>0</v>
      </c>
      <c r="CY95" s="11">
        <f t="shared" si="52"/>
        <v>0</v>
      </c>
      <c r="CZ95" s="11">
        <f t="shared" si="52"/>
        <v>0</v>
      </c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</row>
    <row r="96" spans="1:122" ht="18" customHeight="1">
      <c r="A96" s="34" t="s">
        <v>126</v>
      </c>
      <c r="B96" s="14">
        <f>IFERROR(VLOOKUP(A96,PRICELIST!$A$3:$D$138,4,0),"-")</f>
        <v>201.54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9">
        <f t="shared" ref="CY96:CZ98" si="53">C96+E96+G96+I96+K96+M96+O96+Q96+S96+U96+W96+Y96+AA96+AC96+AE96+AG96+AI96+AK96+AM96+AO96+AQ96+AS96+AU96+AW96+AY96+BA96+BC96+BE96+BG96+BI96+BK96+BM96+BO96+BQ96+BS96+BU96+BW96+BY96+CA96+CC96+CE96+CG96+CI96+CK96+CM96+CO96+CQ96+CS96+CU96+CW96</f>
        <v>0</v>
      </c>
      <c r="CZ96" s="19">
        <f t="shared" si="53"/>
        <v>0</v>
      </c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</row>
    <row r="97" spans="1:122" ht="18" customHeight="1">
      <c r="A97" s="13" t="s">
        <v>123</v>
      </c>
      <c r="B97" s="14">
        <f>IFERROR(VLOOKUP(A97,PRICELIST!$A$3:$D$138,4,0),"-")</f>
        <v>225.64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9">
        <f t="shared" si="53"/>
        <v>0</v>
      </c>
      <c r="CZ97" s="19">
        <f t="shared" si="53"/>
        <v>0</v>
      </c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</row>
    <row r="98" spans="1:122" ht="18" customHeight="1">
      <c r="A98" s="13" t="s">
        <v>131</v>
      </c>
      <c r="B98" s="14">
        <f>IFERROR(VLOOKUP(A98,PRICELIST!$A$3:$D$138,4,0),"-")</f>
        <v>198.64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9">
        <f t="shared" si="53"/>
        <v>0</v>
      </c>
      <c r="CZ98" s="19">
        <f t="shared" si="53"/>
        <v>0</v>
      </c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</row>
    <row r="99" spans="1:122" ht="18" customHeight="1">
      <c r="A99" s="9" t="s">
        <v>70</v>
      </c>
      <c r="B99" s="10"/>
      <c r="C99" s="11">
        <f t="shared" ref="C99:BN99" si="54">SUMPRODUCT($B96:$B98,C96:C98)</f>
        <v>0</v>
      </c>
      <c r="D99" s="11">
        <f t="shared" si="54"/>
        <v>0</v>
      </c>
      <c r="E99" s="11">
        <f t="shared" si="54"/>
        <v>0</v>
      </c>
      <c r="F99" s="11">
        <f t="shared" si="54"/>
        <v>0</v>
      </c>
      <c r="G99" s="11">
        <f t="shared" si="54"/>
        <v>0</v>
      </c>
      <c r="H99" s="11">
        <f t="shared" si="54"/>
        <v>0</v>
      </c>
      <c r="I99" s="11">
        <f t="shared" si="54"/>
        <v>0</v>
      </c>
      <c r="J99" s="11">
        <f t="shared" si="54"/>
        <v>0</v>
      </c>
      <c r="K99" s="11">
        <f t="shared" si="54"/>
        <v>0</v>
      </c>
      <c r="L99" s="11">
        <f t="shared" si="54"/>
        <v>0</v>
      </c>
      <c r="M99" s="11">
        <f t="shared" si="54"/>
        <v>0</v>
      </c>
      <c r="N99" s="11">
        <f t="shared" si="54"/>
        <v>0</v>
      </c>
      <c r="O99" s="11">
        <f t="shared" si="54"/>
        <v>0</v>
      </c>
      <c r="P99" s="11">
        <f t="shared" si="54"/>
        <v>0</v>
      </c>
      <c r="Q99" s="11">
        <f t="shared" si="54"/>
        <v>0</v>
      </c>
      <c r="R99" s="11">
        <f t="shared" si="54"/>
        <v>0</v>
      </c>
      <c r="S99" s="11">
        <f t="shared" si="54"/>
        <v>0</v>
      </c>
      <c r="T99" s="11">
        <f t="shared" si="54"/>
        <v>0</v>
      </c>
      <c r="U99" s="11">
        <f t="shared" si="54"/>
        <v>0</v>
      </c>
      <c r="V99" s="11">
        <f t="shared" si="54"/>
        <v>0</v>
      </c>
      <c r="W99" s="11">
        <f t="shared" si="54"/>
        <v>0</v>
      </c>
      <c r="X99" s="11">
        <f t="shared" si="54"/>
        <v>0</v>
      </c>
      <c r="Y99" s="11">
        <f t="shared" si="54"/>
        <v>0</v>
      </c>
      <c r="Z99" s="11">
        <f t="shared" si="54"/>
        <v>0</v>
      </c>
      <c r="AA99" s="11">
        <f t="shared" si="54"/>
        <v>0</v>
      </c>
      <c r="AB99" s="11">
        <f t="shared" si="54"/>
        <v>0</v>
      </c>
      <c r="AC99" s="11">
        <f t="shared" si="54"/>
        <v>0</v>
      </c>
      <c r="AD99" s="11">
        <f t="shared" si="54"/>
        <v>0</v>
      </c>
      <c r="AE99" s="11">
        <f t="shared" si="54"/>
        <v>0</v>
      </c>
      <c r="AF99" s="11">
        <f t="shared" si="54"/>
        <v>0</v>
      </c>
      <c r="AG99" s="11">
        <f t="shared" si="54"/>
        <v>0</v>
      </c>
      <c r="AH99" s="11">
        <f t="shared" si="54"/>
        <v>0</v>
      </c>
      <c r="AI99" s="11">
        <f t="shared" si="54"/>
        <v>0</v>
      </c>
      <c r="AJ99" s="11">
        <f t="shared" si="54"/>
        <v>0</v>
      </c>
      <c r="AK99" s="11">
        <f t="shared" si="54"/>
        <v>0</v>
      </c>
      <c r="AL99" s="11">
        <f t="shared" si="54"/>
        <v>0</v>
      </c>
      <c r="AM99" s="11">
        <f t="shared" si="54"/>
        <v>0</v>
      </c>
      <c r="AN99" s="11">
        <f t="shared" si="54"/>
        <v>0</v>
      </c>
      <c r="AO99" s="11">
        <f t="shared" si="54"/>
        <v>0</v>
      </c>
      <c r="AP99" s="11">
        <f t="shared" si="54"/>
        <v>0</v>
      </c>
      <c r="AQ99" s="11">
        <f t="shared" si="54"/>
        <v>0</v>
      </c>
      <c r="AR99" s="11">
        <f t="shared" si="54"/>
        <v>0</v>
      </c>
      <c r="AS99" s="11">
        <f t="shared" si="54"/>
        <v>0</v>
      </c>
      <c r="AT99" s="11">
        <f t="shared" si="54"/>
        <v>0</v>
      </c>
      <c r="AU99" s="11">
        <f t="shared" si="54"/>
        <v>0</v>
      </c>
      <c r="AV99" s="11">
        <f t="shared" si="54"/>
        <v>0</v>
      </c>
      <c r="AW99" s="11">
        <f t="shared" si="54"/>
        <v>0</v>
      </c>
      <c r="AX99" s="11">
        <f t="shared" si="54"/>
        <v>0</v>
      </c>
      <c r="AY99" s="11">
        <f t="shared" si="54"/>
        <v>0</v>
      </c>
      <c r="AZ99" s="11">
        <f t="shared" si="54"/>
        <v>0</v>
      </c>
      <c r="BA99" s="11">
        <f t="shared" si="54"/>
        <v>0</v>
      </c>
      <c r="BB99" s="11">
        <f t="shared" si="54"/>
        <v>0</v>
      </c>
      <c r="BC99" s="11">
        <f t="shared" si="54"/>
        <v>0</v>
      </c>
      <c r="BD99" s="11">
        <f t="shared" si="54"/>
        <v>0</v>
      </c>
      <c r="BE99" s="11">
        <f t="shared" si="54"/>
        <v>0</v>
      </c>
      <c r="BF99" s="11">
        <f t="shared" si="54"/>
        <v>0</v>
      </c>
      <c r="BG99" s="11">
        <f t="shared" si="54"/>
        <v>0</v>
      </c>
      <c r="BH99" s="11">
        <f t="shared" si="54"/>
        <v>0</v>
      </c>
      <c r="BI99" s="11">
        <f t="shared" si="54"/>
        <v>0</v>
      </c>
      <c r="BJ99" s="11">
        <f t="shared" si="54"/>
        <v>0</v>
      </c>
      <c r="BK99" s="11">
        <f t="shared" si="54"/>
        <v>0</v>
      </c>
      <c r="BL99" s="11">
        <f t="shared" si="54"/>
        <v>0</v>
      </c>
      <c r="BM99" s="11">
        <f t="shared" si="54"/>
        <v>0</v>
      </c>
      <c r="BN99" s="11">
        <f t="shared" si="54"/>
        <v>0</v>
      </c>
      <c r="BO99" s="11">
        <f t="shared" ref="BO99:CZ99" si="55">SUMPRODUCT($B96:$B98,BO96:BO98)</f>
        <v>0</v>
      </c>
      <c r="BP99" s="11">
        <f t="shared" si="55"/>
        <v>0</v>
      </c>
      <c r="BQ99" s="11">
        <f t="shared" si="55"/>
        <v>0</v>
      </c>
      <c r="BR99" s="11">
        <f t="shared" si="55"/>
        <v>0</v>
      </c>
      <c r="BS99" s="11">
        <f t="shared" si="55"/>
        <v>0</v>
      </c>
      <c r="BT99" s="11">
        <f t="shared" si="55"/>
        <v>0</v>
      </c>
      <c r="BU99" s="11">
        <f t="shared" si="55"/>
        <v>0</v>
      </c>
      <c r="BV99" s="11">
        <f t="shared" si="55"/>
        <v>0</v>
      </c>
      <c r="BW99" s="11">
        <f t="shared" si="55"/>
        <v>0</v>
      </c>
      <c r="BX99" s="11">
        <f t="shared" si="55"/>
        <v>0</v>
      </c>
      <c r="BY99" s="11">
        <f t="shared" si="55"/>
        <v>0</v>
      </c>
      <c r="BZ99" s="11">
        <f t="shared" si="55"/>
        <v>0</v>
      </c>
      <c r="CA99" s="11">
        <f t="shared" si="55"/>
        <v>0</v>
      </c>
      <c r="CB99" s="11">
        <f t="shared" si="55"/>
        <v>0</v>
      </c>
      <c r="CC99" s="11">
        <f t="shared" si="55"/>
        <v>0</v>
      </c>
      <c r="CD99" s="11">
        <f t="shared" si="55"/>
        <v>0</v>
      </c>
      <c r="CE99" s="11">
        <f t="shared" si="55"/>
        <v>0</v>
      </c>
      <c r="CF99" s="11">
        <f t="shared" si="55"/>
        <v>0</v>
      </c>
      <c r="CG99" s="11">
        <f t="shared" si="55"/>
        <v>0</v>
      </c>
      <c r="CH99" s="11">
        <f t="shared" si="55"/>
        <v>0</v>
      </c>
      <c r="CI99" s="11">
        <f t="shared" si="55"/>
        <v>0</v>
      </c>
      <c r="CJ99" s="11">
        <f t="shared" si="55"/>
        <v>0</v>
      </c>
      <c r="CK99" s="11">
        <f t="shared" si="55"/>
        <v>0</v>
      </c>
      <c r="CL99" s="11">
        <f t="shared" si="55"/>
        <v>0</v>
      </c>
      <c r="CM99" s="11">
        <f t="shared" si="55"/>
        <v>0</v>
      </c>
      <c r="CN99" s="11">
        <f t="shared" si="55"/>
        <v>0</v>
      </c>
      <c r="CO99" s="11">
        <f t="shared" si="55"/>
        <v>0</v>
      </c>
      <c r="CP99" s="11">
        <f t="shared" si="55"/>
        <v>0</v>
      </c>
      <c r="CQ99" s="11">
        <f t="shared" si="55"/>
        <v>0</v>
      </c>
      <c r="CR99" s="11">
        <f t="shared" si="55"/>
        <v>0</v>
      </c>
      <c r="CS99" s="11">
        <f t="shared" si="55"/>
        <v>0</v>
      </c>
      <c r="CT99" s="11">
        <f t="shared" si="55"/>
        <v>0</v>
      </c>
      <c r="CU99" s="11">
        <f t="shared" si="55"/>
        <v>0</v>
      </c>
      <c r="CV99" s="11">
        <f t="shared" si="55"/>
        <v>0</v>
      </c>
      <c r="CW99" s="11">
        <f t="shared" si="55"/>
        <v>0</v>
      </c>
      <c r="CX99" s="11">
        <f t="shared" si="55"/>
        <v>0</v>
      </c>
      <c r="CY99" s="11">
        <f t="shared" si="55"/>
        <v>0</v>
      </c>
      <c r="CZ99" s="11">
        <f t="shared" si="55"/>
        <v>0</v>
      </c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</row>
    <row r="100" spans="1:122" ht="18" customHeight="1">
      <c r="A100" s="13" t="s">
        <v>134</v>
      </c>
      <c r="B100" s="14">
        <f>IFERROR(VLOOKUP(A100,PRICELIST!$A$3:$D$138,4,0),"-")</f>
        <v>52.46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9">
        <f t="shared" ref="CY100:CZ109" si="56">C100+E100+G100+I100+K100+M100+O100+Q100+S100+U100+W100+Y100+AA100+AC100+AE100+AG100+AI100+AK100+AM100+AO100+AQ100+AS100+AU100+AW100+AY100+BA100+BC100+BE100+BG100+BI100+BK100+BM100+BO100+BQ100+BS100+BU100+BW100+BY100+CA100+CC100+CE100+CG100+CI100+CK100+CM100+CO100+CQ100+CS100+CU100+CW100</f>
        <v>0</v>
      </c>
      <c r="CZ100" s="19">
        <f t="shared" si="56"/>
        <v>0</v>
      </c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</row>
    <row r="101" spans="1:122" ht="18" customHeight="1">
      <c r="A101" s="13" t="s">
        <v>135</v>
      </c>
      <c r="B101" s="14">
        <f>IFERROR(VLOOKUP(A101,PRICELIST!$A$3:$D$138,4,0),"-")</f>
        <v>89.62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9">
        <f t="shared" si="56"/>
        <v>0</v>
      </c>
      <c r="CZ101" s="19">
        <f t="shared" si="56"/>
        <v>0</v>
      </c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</row>
    <row r="102" spans="1:122" ht="18" customHeight="1">
      <c r="A102" s="13" t="s">
        <v>136</v>
      </c>
      <c r="B102" s="14">
        <f>IFERROR(VLOOKUP(A102,PRICELIST!$A$3:$D$138,4,0),"-")</f>
        <v>83.41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9">
        <f t="shared" si="56"/>
        <v>0</v>
      </c>
      <c r="CZ102" s="19">
        <f t="shared" si="56"/>
        <v>0</v>
      </c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</row>
    <row r="103" spans="1:122" ht="18" customHeight="1">
      <c r="A103" s="13" t="s">
        <v>137</v>
      </c>
      <c r="B103" s="14">
        <f>IFERROR(VLOOKUP(A103,PRICELIST!$A$3:$D$138,4,0),"-")</f>
        <v>109.58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9">
        <f t="shared" si="56"/>
        <v>0</v>
      </c>
      <c r="CZ103" s="19">
        <f t="shared" si="56"/>
        <v>0</v>
      </c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</row>
    <row r="104" spans="1:122" ht="18" customHeight="1">
      <c r="A104" s="13" t="s">
        <v>140</v>
      </c>
      <c r="B104" s="14">
        <f>IFERROR(VLOOKUP(A104,PRICELIST!$A$3:$D$138,4,0),"-")</f>
        <v>28.8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9">
        <f>C104+E104+G104+I104+K104+M104+O104+Q104+S104+U104+W104+Y104+AA104+AC104+AE104+AG104+AI104+AK104+AM104+AO104+AQ104+AS104+AU104+AW104+AY104+BA104+BC104+BE104+BG104+BI104+BK104+BM104+BO104+BQ104+BS104+BU104+BW104+BY104+CA104+CC104+CE104+CG104+CI104+CK104+CM104+CO104+CQ104+CS104+CU104+CW104</f>
        <v>0</v>
      </c>
      <c r="CZ104" s="19">
        <f>D104+F104+H104+J104+L104+N104+P104+R104+T104+V104+X104+Z104+AB104+AD104+AF104+AH104+AJ104+AL104+AN104+AP104+AR104+AT104+AV104+AX104+AZ104+BB104+BD104+BF104+BH104+BJ104+BL104+BN104+BP104+BR104+BT104+BV104+BX104+BZ104+CB104+CD104+CF104+CH104+CJ104+CL104+CN104+CP104+CR104+CT104+CV104+CX104</f>
        <v>0</v>
      </c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</row>
    <row r="105" spans="1:122" ht="18" customHeight="1">
      <c r="A105" s="13" t="s">
        <v>141</v>
      </c>
      <c r="B105" s="14">
        <f>IFERROR(VLOOKUP(A105,PRICELIST!$A$3:$D$138,4,0),"-")</f>
        <v>60.43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9">
        <f>C105+E105+G105+I105+K105+M105+O105+Q105+S105+U105+W105+Y105+AA105+AC105+AE105+AG105+AI105+AK105+AM105+AO105+AQ105+AS105+AU105+AW105+AY105+BA105+BC105+BE105+BG105+BI105+BK105+BM105+BO105+BQ105+BS105+BU105+BW105+BY105+CA105+CC105+CE105+CG105+CI105+CK105+CM105+CO105+CQ105+CS105+CU105+CW105</f>
        <v>0</v>
      </c>
      <c r="CZ105" s="19">
        <f>D105+F105+H105+J105+L105+N105+P105+R105+T105+V105+X105+Z105+AB105+AD105+AF105+AH105+AJ105+AL105+AN105+AP105+AR105+AT105+AV105+AX105+AZ105+BB105+BD105+BF105+BH105+BJ105+BL105+BN105+BP105+BR105+BT105+BV105+BX105+BZ105+CB105+CD105+CF105+CH105+CJ105+CL105+CN105+CP105+CR105+CT105+CV105+CX105</f>
        <v>0</v>
      </c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</row>
    <row r="106" spans="1:122" ht="18" customHeight="1">
      <c r="A106" s="13" t="s">
        <v>138</v>
      </c>
      <c r="B106" s="14">
        <f>IFERROR(VLOOKUP(A106,PRICELIST!$A$3:$D$138,4,0),"-")</f>
        <v>96.43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9">
        <f t="shared" si="56"/>
        <v>0</v>
      </c>
      <c r="CZ106" s="19">
        <f t="shared" si="56"/>
        <v>0</v>
      </c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</row>
    <row r="107" spans="1:122" ht="18" customHeight="1">
      <c r="A107" s="13" t="s">
        <v>139</v>
      </c>
      <c r="B107" s="14">
        <f>IFERROR(VLOOKUP(A107,PRICELIST!$A$3:$D$138,4,0),"-")</f>
        <v>123.43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9">
        <f t="shared" si="56"/>
        <v>0</v>
      </c>
      <c r="CZ107" s="19">
        <f t="shared" si="56"/>
        <v>0</v>
      </c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</row>
    <row r="108" spans="1:122" ht="18" customHeight="1">
      <c r="A108" s="13" t="s">
        <v>142</v>
      </c>
      <c r="B108" s="14">
        <f>IFERROR(VLOOKUP(A108,PRICELIST!$A$3:$D$138,4,0),"-")</f>
        <v>121.5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9">
        <f t="shared" si="56"/>
        <v>0</v>
      </c>
      <c r="CZ108" s="19">
        <f t="shared" si="56"/>
        <v>0</v>
      </c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</row>
    <row r="109" spans="1:122" ht="18" customHeight="1">
      <c r="A109" s="13" t="s">
        <v>143</v>
      </c>
      <c r="B109" s="14">
        <f>IFERROR(VLOOKUP(A109,PRICELIST!$A$3:$D$138,4,0),"-")</f>
        <v>109.23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9">
        <f t="shared" si="56"/>
        <v>0</v>
      </c>
      <c r="CZ109" s="19">
        <f t="shared" si="56"/>
        <v>0</v>
      </c>
    </row>
    <row r="110" spans="1:122" ht="18" customHeight="1">
      <c r="A110" s="9" t="s">
        <v>144</v>
      </c>
      <c r="B110" s="10"/>
      <c r="C110" s="11">
        <f t="shared" ref="C110:AH110" si="57">SUMPRODUCT($B100:$B109,C100:C109)</f>
        <v>0</v>
      </c>
      <c r="D110" s="11">
        <f t="shared" si="57"/>
        <v>0</v>
      </c>
      <c r="E110" s="11">
        <f t="shared" si="57"/>
        <v>0</v>
      </c>
      <c r="F110" s="11">
        <f t="shared" si="57"/>
        <v>0</v>
      </c>
      <c r="G110" s="11">
        <f t="shared" si="57"/>
        <v>0</v>
      </c>
      <c r="H110" s="11">
        <f t="shared" si="57"/>
        <v>0</v>
      </c>
      <c r="I110" s="11">
        <f t="shared" si="57"/>
        <v>0</v>
      </c>
      <c r="J110" s="11">
        <f t="shared" si="57"/>
        <v>0</v>
      </c>
      <c r="K110" s="11">
        <f t="shared" si="57"/>
        <v>0</v>
      </c>
      <c r="L110" s="11">
        <f t="shared" si="57"/>
        <v>0</v>
      </c>
      <c r="M110" s="11">
        <f t="shared" si="57"/>
        <v>0</v>
      </c>
      <c r="N110" s="11">
        <f t="shared" si="57"/>
        <v>0</v>
      </c>
      <c r="O110" s="11">
        <f t="shared" si="57"/>
        <v>0</v>
      </c>
      <c r="P110" s="11">
        <f t="shared" si="57"/>
        <v>0</v>
      </c>
      <c r="Q110" s="11">
        <f t="shared" si="57"/>
        <v>0</v>
      </c>
      <c r="R110" s="11">
        <f t="shared" si="57"/>
        <v>0</v>
      </c>
      <c r="S110" s="11">
        <f t="shared" si="57"/>
        <v>0</v>
      </c>
      <c r="T110" s="11">
        <f t="shared" si="57"/>
        <v>0</v>
      </c>
      <c r="U110" s="11">
        <f t="shared" si="57"/>
        <v>0</v>
      </c>
      <c r="V110" s="11">
        <f t="shared" si="57"/>
        <v>0</v>
      </c>
      <c r="W110" s="11">
        <f t="shared" si="57"/>
        <v>0</v>
      </c>
      <c r="X110" s="11">
        <f t="shared" si="57"/>
        <v>0</v>
      </c>
      <c r="Y110" s="11">
        <f t="shared" si="57"/>
        <v>0</v>
      </c>
      <c r="Z110" s="11">
        <f t="shared" si="57"/>
        <v>0</v>
      </c>
      <c r="AA110" s="11">
        <f t="shared" si="57"/>
        <v>0</v>
      </c>
      <c r="AB110" s="11">
        <f t="shared" si="57"/>
        <v>0</v>
      </c>
      <c r="AC110" s="11">
        <f t="shared" si="57"/>
        <v>0</v>
      </c>
      <c r="AD110" s="11">
        <f t="shared" si="57"/>
        <v>0</v>
      </c>
      <c r="AE110" s="11">
        <f t="shared" si="57"/>
        <v>0</v>
      </c>
      <c r="AF110" s="11">
        <f t="shared" si="57"/>
        <v>0</v>
      </c>
      <c r="AG110" s="11">
        <f t="shared" si="57"/>
        <v>0</v>
      </c>
      <c r="AH110" s="11">
        <f t="shared" si="57"/>
        <v>0</v>
      </c>
      <c r="AI110" s="11">
        <f t="shared" ref="AI110:BN110" si="58">SUMPRODUCT($B100:$B109,AI100:AI109)</f>
        <v>0</v>
      </c>
      <c r="AJ110" s="11">
        <f t="shared" si="58"/>
        <v>0</v>
      </c>
      <c r="AK110" s="11">
        <f t="shared" si="58"/>
        <v>0</v>
      </c>
      <c r="AL110" s="11">
        <f t="shared" si="58"/>
        <v>0</v>
      </c>
      <c r="AM110" s="11">
        <f t="shared" si="58"/>
        <v>0</v>
      </c>
      <c r="AN110" s="11">
        <f t="shared" si="58"/>
        <v>0</v>
      </c>
      <c r="AO110" s="11">
        <f t="shared" si="58"/>
        <v>0</v>
      </c>
      <c r="AP110" s="11">
        <f t="shared" si="58"/>
        <v>0</v>
      </c>
      <c r="AQ110" s="11">
        <f t="shared" si="58"/>
        <v>0</v>
      </c>
      <c r="AR110" s="11">
        <f t="shared" si="58"/>
        <v>0</v>
      </c>
      <c r="AS110" s="11">
        <f t="shared" si="58"/>
        <v>0</v>
      </c>
      <c r="AT110" s="11">
        <f t="shared" si="58"/>
        <v>0</v>
      </c>
      <c r="AU110" s="11">
        <f t="shared" si="58"/>
        <v>0</v>
      </c>
      <c r="AV110" s="11">
        <f t="shared" si="58"/>
        <v>0</v>
      </c>
      <c r="AW110" s="11">
        <f t="shared" si="58"/>
        <v>0</v>
      </c>
      <c r="AX110" s="11">
        <f t="shared" si="58"/>
        <v>0</v>
      </c>
      <c r="AY110" s="11">
        <f t="shared" si="58"/>
        <v>0</v>
      </c>
      <c r="AZ110" s="11">
        <f t="shared" si="58"/>
        <v>0</v>
      </c>
      <c r="BA110" s="11">
        <f t="shared" si="58"/>
        <v>0</v>
      </c>
      <c r="BB110" s="11">
        <f t="shared" si="58"/>
        <v>0</v>
      </c>
      <c r="BC110" s="11">
        <f t="shared" si="58"/>
        <v>0</v>
      </c>
      <c r="BD110" s="11">
        <f t="shared" si="58"/>
        <v>0</v>
      </c>
      <c r="BE110" s="11">
        <f t="shared" si="58"/>
        <v>0</v>
      </c>
      <c r="BF110" s="11">
        <f t="shared" si="58"/>
        <v>0</v>
      </c>
      <c r="BG110" s="11">
        <f t="shared" si="58"/>
        <v>0</v>
      </c>
      <c r="BH110" s="11">
        <f t="shared" si="58"/>
        <v>0</v>
      </c>
      <c r="BI110" s="11">
        <f t="shared" si="58"/>
        <v>0</v>
      </c>
      <c r="BJ110" s="11">
        <f t="shared" si="58"/>
        <v>0</v>
      </c>
      <c r="BK110" s="11">
        <f t="shared" si="58"/>
        <v>0</v>
      </c>
      <c r="BL110" s="11">
        <f t="shared" si="58"/>
        <v>0</v>
      </c>
      <c r="BM110" s="11">
        <f t="shared" si="58"/>
        <v>0</v>
      </c>
      <c r="BN110" s="11">
        <f t="shared" si="58"/>
        <v>0</v>
      </c>
      <c r="BO110" s="11">
        <f t="shared" ref="BO110:CT110" si="59">SUMPRODUCT($B100:$B109,BO100:BO109)</f>
        <v>0</v>
      </c>
      <c r="BP110" s="11">
        <f t="shared" si="59"/>
        <v>0</v>
      </c>
      <c r="BQ110" s="11">
        <f t="shared" si="59"/>
        <v>0</v>
      </c>
      <c r="BR110" s="11">
        <f t="shared" si="59"/>
        <v>0</v>
      </c>
      <c r="BS110" s="11">
        <f t="shared" si="59"/>
        <v>0</v>
      </c>
      <c r="BT110" s="11">
        <f t="shared" si="59"/>
        <v>0</v>
      </c>
      <c r="BU110" s="11">
        <f t="shared" si="59"/>
        <v>0</v>
      </c>
      <c r="BV110" s="11">
        <f t="shared" si="59"/>
        <v>0</v>
      </c>
      <c r="BW110" s="11">
        <f t="shared" si="59"/>
        <v>0</v>
      </c>
      <c r="BX110" s="11">
        <f t="shared" si="59"/>
        <v>0</v>
      </c>
      <c r="BY110" s="11">
        <f t="shared" si="59"/>
        <v>0</v>
      </c>
      <c r="BZ110" s="11">
        <f t="shared" si="59"/>
        <v>0</v>
      </c>
      <c r="CA110" s="11">
        <f t="shared" si="59"/>
        <v>0</v>
      </c>
      <c r="CB110" s="11">
        <f t="shared" si="59"/>
        <v>0</v>
      </c>
      <c r="CC110" s="11">
        <f t="shared" si="59"/>
        <v>0</v>
      </c>
      <c r="CD110" s="11">
        <f t="shared" si="59"/>
        <v>0</v>
      </c>
      <c r="CE110" s="11">
        <f t="shared" si="59"/>
        <v>0</v>
      </c>
      <c r="CF110" s="11">
        <f t="shared" si="59"/>
        <v>0</v>
      </c>
      <c r="CG110" s="11">
        <f t="shared" si="59"/>
        <v>0</v>
      </c>
      <c r="CH110" s="11">
        <f t="shared" si="59"/>
        <v>0</v>
      </c>
      <c r="CI110" s="11">
        <f t="shared" si="59"/>
        <v>0</v>
      </c>
      <c r="CJ110" s="11">
        <f t="shared" si="59"/>
        <v>0</v>
      </c>
      <c r="CK110" s="11">
        <f t="shared" si="59"/>
        <v>0</v>
      </c>
      <c r="CL110" s="11">
        <f t="shared" si="59"/>
        <v>0</v>
      </c>
      <c r="CM110" s="11">
        <f t="shared" si="59"/>
        <v>0</v>
      </c>
      <c r="CN110" s="11">
        <f t="shared" si="59"/>
        <v>0</v>
      </c>
      <c r="CO110" s="11">
        <f t="shared" si="59"/>
        <v>0</v>
      </c>
      <c r="CP110" s="11">
        <f t="shared" si="59"/>
        <v>0</v>
      </c>
      <c r="CQ110" s="11">
        <f t="shared" si="59"/>
        <v>0</v>
      </c>
      <c r="CR110" s="11">
        <f t="shared" si="59"/>
        <v>0</v>
      </c>
      <c r="CS110" s="11">
        <f t="shared" si="59"/>
        <v>0</v>
      </c>
      <c r="CT110" s="11">
        <f t="shared" si="59"/>
        <v>0</v>
      </c>
      <c r="CU110" s="11">
        <f t="shared" ref="CU110:CZ110" si="60">SUMPRODUCT($B100:$B109,CU100:CU109)</f>
        <v>0</v>
      </c>
      <c r="CV110" s="11">
        <f t="shared" si="60"/>
        <v>0</v>
      </c>
      <c r="CW110" s="11">
        <f t="shared" si="60"/>
        <v>0</v>
      </c>
      <c r="CX110" s="11">
        <f t="shared" si="60"/>
        <v>0</v>
      </c>
      <c r="CY110" s="11">
        <f t="shared" si="60"/>
        <v>0</v>
      </c>
      <c r="CZ110" s="11">
        <f t="shared" si="60"/>
        <v>0</v>
      </c>
    </row>
    <row r="111" spans="1:122">
      <c r="A111" s="13" t="s">
        <v>146</v>
      </c>
      <c r="B111" s="14">
        <f>IFERROR(VLOOKUP(A111,PRICELIST!$A$3:$D$138,4,0),"-")</f>
        <v>31.29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9">
        <f t="shared" ref="CY111:CZ114" si="61">C111+E111+G111+I111+K111+M111+O111+Q111+S111+U111+W111+Y111+AA111+AC111+AE111+AG111+AI111+AK111+AM111+AO111+AQ111+AS111+AU111+AW111+AY111+BA111+BC111+BE111+BG111+BI111+BK111+BM111+BO111+BQ111+BS111+BU111+BW111+BY111+CA111+CC111+CE111+CG111+CI111+CK111+CM111+CO111+CQ111+CS111+CU111+CW111</f>
        <v>0</v>
      </c>
      <c r="CZ111" s="19">
        <f t="shared" si="61"/>
        <v>0</v>
      </c>
    </row>
    <row r="112" spans="1:122">
      <c r="A112" s="13" t="s">
        <v>147</v>
      </c>
      <c r="B112" s="14">
        <f>IFERROR(VLOOKUP(A112,PRICELIST!$A$3:$D$138,4,0),"-")</f>
        <v>68.36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9">
        <f t="shared" si="61"/>
        <v>0</v>
      </c>
      <c r="CZ112" s="19">
        <f t="shared" si="61"/>
        <v>0</v>
      </c>
    </row>
    <row r="113" spans="1:104">
      <c r="A113" s="13" t="s">
        <v>148</v>
      </c>
      <c r="B113" s="14">
        <f>IFERROR(VLOOKUP(A113,PRICELIST!$A$3:$D$138,4,0),"-")</f>
        <v>210.72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9">
        <f t="shared" si="61"/>
        <v>0</v>
      </c>
      <c r="CZ113" s="19">
        <f t="shared" si="61"/>
        <v>0</v>
      </c>
    </row>
    <row r="114" spans="1:104">
      <c r="A114" s="13" t="s">
        <v>149</v>
      </c>
      <c r="B114" s="14">
        <f>IFERROR(VLOOKUP(A114,PRICELIST!$A$3:$D$138,4,0),"-")</f>
        <v>180.9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9">
        <f t="shared" si="61"/>
        <v>0</v>
      </c>
      <c r="CZ114" s="19">
        <f t="shared" si="61"/>
        <v>0</v>
      </c>
    </row>
    <row r="115" spans="1:104">
      <c r="A115" s="9" t="s">
        <v>145</v>
      </c>
      <c r="B115" s="10"/>
      <c r="C115" s="11">
        <f>SUMPRODUCT($B111:$B114,C111:C114)</f>
        <v>0</v>
      </c>
      <c r="D115" s="11">
        <f t="shared" ref="D115:BO115" si="62">SUMPRODUCT($B111:$B114,D111:D114)</f>
        <v>0</v>
      </c>
      <c r="E115" s="11">
        <f t="shared" si="62"/>
        <v>0</v>
      </c>
      <c r="F115" s="11">
        <f t="shared" si="62"/>
        <v>0</v>
      </c>
      <c r="G115" s="11">
        <f t="shared" si="62"/>
        <v>0</v>
      </c>
      <c r="H115" s="11">
        <f t="shared" si="62"/>
        <v>0</v>
      </c>
      <c r="I115" s="11">
        <f t="shared" si="62"/>
        <v>0</v>
      </c>
      <c r="J115" s="11">
        <f t="shared" si="62"/>
        <v>0</v>
      </c>
      <c r="K115" s="11">
        <f t="shared" si="62"/>
        <v>0</v>
      </c>
      <c r="L115" s="11">
        <f t="shared" si="62"/>
        <v>0</v>
      </c>
      <c r="M115" s="11">
        <f t="shared" si="62"/>
        <v>0</v>
      </c>
      <c r="N115" s="11">
        <f t="shared" si="62"/>
        <v>0</v>
      </c>
      <c r="O115" s="11">
        <f t="shared" si="62"/>
        <v>0</v>
      </c>
      <c r="P115" s="11">
        <f t="shared" si="62"/>
        <v>0</v>
      </c>
      <c r="Q115" s="11">
        <f t="shared" si="62"/>
        <v>0</v>
      </c>
      <c r="R115" s="11">
        <f t="shared" si="62"/>
        <v>0</v>
      </c>
      <c r="S115" s="11">
        <f t="shared" si="62"/>
        <v>0</v>
      </c>
      <c r="T115" s="11">
        <f t="shared" si="62"/>
        <v>0</v>
      </c>
      <c r="U115" s="11">
        <f t="shared" si="62"/>
        <v>0</v>
      </c>
      <c r="V115" s="11">
        <f t="shared" si="62"/>
        <v>0</v>
      </c>
      <c r="W115" s="11">
        <f t="shared" si="62"/>
        <v>0</v>
      </c>
      <c r="X115" s="11">
        <f t="shared" si="62"/>
        <v>0</v>
      </c>
      <c r="Y115" s="11">
        <f t="shared" si="62"/>
        <v>0</v>
      </c>
      <c r="Z115" s="11">
        <f t="shared" si="62"/>
        <v>0</v>
      </c>
      <c r="AA115" s="11">
        <f t="shared" si="62"/>
        <v>0</v>
      </c>
      <c r="AB115" s="11">
        <f t="shared" si="62"/>
        <v>0</v>
      </c>
      <c r="AC115" s="11">
        <f t="shared" si="62"/>
        <v>0</v>
      </c>
      <c r="AD115" s="11">
        <f t="shared" si="62"/>
        <v>0</v>
      </c>
      <c r="AE115" s="11">
        <f t="shared" si="62"/>
        <v>0</v>
      </c>
      <c r="AF115" s="11">
        <f t="shared" si="62"/>
        <v>0</v>
      </c>
      <c r="AG115" s="11">
        <f t="shared" si="62"/>
        <v>0</v>
      </c>
      <c r="AH115" s="11">
        <f t="shared" si="62"/>
        <v>0</v>
      </c>
      <c r="AI115" s="11">
        <f t="shared" si="62"/>
        <v>0</v>
      </c>
      <c r="AJ115" s="11">
        <f t="shared" si="62"/>
        <v>0</v>
      </c>
      <c r="AK115" s="11">
        <f t="shared" si="62"/>
        <v>0</v>
      </c>
      <c r="AL115" s="11">
        <f t="shared" si="62"/>
        <v>0</v>
      </c>
      <c r="AM115" s="11">
        <f t="shared" si="62"/>
        <v>0</v>
      </c>
      <c r="AN115" s="11">
        <f t="shared" si="62"/>
        <v>0</v>
      </c>
      <c r="AO115" s="11">
        <f t="shared" si="62"/>
        <v>0</v>
      </c>
      <c r="AP115" s="11">
        <f t="shared" si="62"/>
        <v>0</v>
      </c>
      <c r="AQ115" s="11">
        <f t="shared" si="62"/>
        <v>0</v>
      </c>
      <c r="AR115" s="11">
        <f t="shared" si="62"/>
        <v>0</v>
      </c>
      <c r="AS115" s="11">
        <f t="shared" si="62"/>
        <v>0</v>
      </c>
      <c r="AT115" s="11">
        <f t="shared" si="62"/>
        <v>0</v>
      </c>
      <c r="AU115" s="11">
        <f t="shared" si="62"/>
        <v>0</v>
      </c>
      <c r="AV115" s="11">
        <f t="shared" si="62"/>
        <v>0</v>
      </c>
      <c r="AW115" s="11">
        <f t="shared" si="62"/>
        <v>0</v>
      </c>
      <c r="AX115" s="11">
        <f t="shared" si="62"/>
        <v>0</v>
      </c>
      <c r="AY115" s="11">
        <f t="shared" si="62"/>
        <v>0</v>
      </c>
      <c r="AZ115" s="11">
        <f t="shared" si="62"/>
        <v>0</v>
      </c>
      <c r="BA115" s="11">
        <f t="shared" si="62"/>
        <v>0</v>
      </c>
      <c r="BB115" s="11">
        <f t="shared" si="62"/>
        <v>0</v>
      </c>
      <c r="BC115" s="11">
        <f t="shared" si="62"/>
        <v>0</v>
      </c>
      <c r="BD115" s="11">
        <f t="shared" si="62"/>
        <v>0</v>
      </c>
      <c r="BE115" s="11">
        <f t="shared" si="62"/>
        <v>0</v>
      </c>
      <c r="BF115" s="11">
        <f t="shared" si="62"/>
        <v>0</v>
      </c>
      <c r="BG115" s="11">
        <f t="shared" si="62"/>
        <v>0</v>
      </c>
      <c r="BH115" s="11">
        <f t="shared" si="62"/>
        <v>0</v>
      </c>
      <c r="BI115" s="11">
        <f t="shared" si="62"/>
        <v>0</v>
      </c>
      <c r="BJ115" s="11">
        <f t="shared" si="62"/>
        <v>0</v>
      </c>
      <c r="BK115" s="11">
        <f t="shared" si="62"/>
        <v>0</v>
      </c>
      <c r="BL115" s="11">
        <f t="shared" si="62"/>
        <v>0</v>
      </c>
      <c r="BM115" s="11">
        <f t="shared" si="62"/>
        <v>0</v>
      </c>
      <c r="BN115" s="11">
        <f t="shared" si="62"/>
        <v>0</v>
      </c>
      <c r="BO115" s="11">
        <f t="shared" si="62"/>
        <v>0</v>
      </c>
      <c r="BP115" s="11">
        <f t="shared" ref="BP115:CZ115" si="63">SUMPRODUCT($B111:$B114,BP111:BP114)</f>
        <v>0</v>
      </c>
      <c r="BQ115" s="11">
        <f t="shared" si="63"/>
        <v>0</v>
      </c>
      <c r="BR115" s="11">
        <f t="shared" si="63"/>
        <v>0</v>
      </c>
      <c r="BS115" s="11">
        <f t="shared" si="63"/>
        <v>0</v>
      </c>
      <c r="BT115" s="11">
        <f t="shared" si="63"/>
        <v>0</v>
      </c>
      <c r="BU115" s="11">
        <f t="shared" si="63"/>
        <v>0</v>
      </c>
      <c r="BV115" s="11">
        <f t="shared" si="63"/>
        <v>0</v>
      </c>
      <c r="BW115" s="11">
        <f t="shared" si="63"/>
        <v>0</v>
      </c>
      <c r="BX115" s="11">
        <f t="shared" si="63"/>
        <v>0</v>
      </c>
      <c r="BY115" s="11">
        <f t="shared" si="63"/>
        <v>0</v>
      </c>
      <c r="BZ115" s="11">
        <f t="shared" si="63"/>
        <v>0</v>
      </c>
      <c r="CA115" s="11">
        <f t="shared" si="63"/>
        <v>0</v>
      </c>
      <c r="CB115" s="11">
        <f t="shared" si="63"/>
        <v>0</v>
      </c>
      <c r="CC115" s="11">
        <f t="shared" si="63"/>
        <v>0</v>
      </c>
      <c r="CD115" s="11">
        <f t="shared" si="63"/>
        <v>0</v>
      </c>
      <c r="CE115" s="11">
        <f t="shared" si="63"/>
        <v>0</v>
      </c>
      <c r="CF115" s="11">
        <f t="shared" si="63"/>
        <v>0</v>
      </c>
      <c r="CG115" s="11">
        <f t="shared" si="63"/>
        <v>0</v>
      </c>
      <c r="CH115" s="11">
        <f t="shared" si="63"/>
        <v>0</v>
      </c>
      <c r="CI115" s="11">
        <f t="shared" si="63"/>
        <v>0</v>
      </c>
      <c r="CJ115" s="11">
        <f t="shared" si="63"/>
        <v>0</v>
      </c>
      <c r="CK115" s="11">
        <f t="shared" si="63"/>
        <v>0</v>
      </c>
      <c r="CL115" s="11">
        <f t="shared" si="63"/>
        <v>0</v>
      </c>
      <c r="CM115" s="11">
        <f t="shared" si="63"/>
        <v>0</v>
      </c>
      <c r="CN115" s="11">
        <f t="shared" si="63"/>
        <v>0</v>
      </c>
      <c r="CO115" s="11">
        <f t="shared" si="63"/>
        <v>0</v>
      </c>
      <c r="CP115" s="11">
        <f t="shared" si="63"/>
        <v>0</v>
      </c>
      <c r="CQ115" s="11">
        <f t="shared" si="63"/>
        <v>0</v>
      </c>
      <c r="CR115" s="11">
        <f t="shared" si="63"/>
        <v>0</v>
      </c>
      <c r="CS115" s="11">
        <f t="shared" si="63"/>
        <v>0</v>
      </c>
      <c r="CT115" s="11">
        <f t="shared" si="63"/>
        <v>0</v>
      </c>
      <c r="CU115" s="11">
        <f t="shared" si="63"/>
        <v>0</v>
      </c>
      <c r="CV115" s="11">
        <f t="shared" si="63"/>
        <v>0</v>
      </c>
      <c r="CW115" s="11">
        <f t="shared" si="63"/>
        <v>0</v>
      </c>
      <c r="CX115" s="11">
        <f t="shared" si="63"/>
        <v>0</v>
      </c>
      <c r="CY115" s="11">
        <f t="shared" si="63"/>
        <v>0</v>
      </c>
      <c r="CZ115" s="11">
        <f t="shared" si="63"/>
        <v>0</v>
      </c>
    </row>
    <row r="116" spans="1:104">
      <c r="A116" s="4"/>
      <c r="B116" s="14" t="str">
        <f>IFERROR(VLOOKUP(A116,PRICELIST!$A$3:$D$138,4,0),"-")</f>
        <v>-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9">
        <f t="shared" ref="CY116:CZ118" si="64">C116+E116+G116+I116+K116+M116+O116+Q116+S116+U116+W116+Y116+AA116+AC116+AE116+AG116+AI116+AK116+AM116+AO116+AQ116+AS116+AU116+AW116+AY116+BA116+BC116+BE116+BG116+BI116+BK116+BM116+BO116+BQ116+BS116+BU116+BW116+BY116+CA116+CC116+CE116+CG116+CI116+CK116+CM116+CO116+CQ116+CS116+CU116+CW116</f>
        <v>0</v>
      </c>
      <c r="CZ116" s="19">
        <f t="shared" si="64"/>
        <v>0</v>
      </c>
    </row>
    <row r="117" spans="1:104">
      <c r="A117" s="4"/>
      <c r="B117" s="14" t="str">
        <f>IFERROR(VLOOKUP(A117,PRICELIST!$A$3:$D$138,4,0),"-")</f>
        <v>-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9">
        <f t="shared" si="64"/>
        <v>0</v>
      </c>
      <c r="CZ117" s="19">
        <f t="shared" si="64"/>
        <v>0</v>
      </c>
    </row>
    <row r="118" spans="1:104">
      <c r="A118" s="4"/>
      <c r="B118" s="14" t="str">
        <f>IFERROR(VLOOKUP(A118,PRICELIST!$A$3:$D$138,4,0),"-")</f>
        <v>-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9">
        <f t="shared" si="64"/>
        <v>0</v>
      </c>
      <c r="CZ118" s="19">
        <f t="shared" si="64"/>
        <v>0</v>
      </c>
    </row>
    <row r="119" spans="1:104">
      <c r="A119" s="9"/>
      <c r="B119" s="15"/>
      <c r="C119" s="5">
        <f>SUMPRODUCT($B116:$B118,C116:C118)</f>
        <v>0</v>
      </c>
      <c r="D119" s="5">
        <f t="shared" ref="D119:BO119" si="65">SUMPRODUCT($B116:$B118,D116:D118)</f>
        <v>0</v>
      </c>
      <c r="E119" s="5">
        <f t="shared" si="65"/>
        <v>0</v>
      </c>
      <c r="F119" s="5">
        <f t="shared" si="65"/>
        <v>0</v>
      </c>
      <c r="G119" s="5">
        <f t="shared" si="65"/>
        <v>0</v>
      </c>
      <c r="H119" s="5">
        <f t="shared" si="65"/>
        <v>0</v>
      </c>
      <c r="I119" s="5">
        <f t="shared" si="65"/>
        <v>0</v>
      </c>
      <c r="J119" s="5">
        <f t="shared" si="65"/>
        <v>0</v>
      </c>
      <c r="K119" s="5">
        <f t="shared" si="65"/>
        <v>0</v>
      </c>
      <c r="L119" s="5">
        <f t="shared" si="65"/>
        <v>0</v>
      </c>
      <c r="M119" s="5">
        <f t="shared" si="65"/>
        <v>0</v>
      </c>
      <c r="N119" s="5">
        <f t="shared" si="65"/>
        <v>0</v>
      </c>
      <c r="O119" s="5">
        <f t="shared" si="65"/>
        <v>0</v>
      </c>
      <c r="P119" s="5">
        <f t="shared" si="65"/>
        <v>0</v>
      </c>
      <c r="Q119" s="5">
        <f t="shared" si="65"/>
        <v>0</v>
      </c>
      <c r="R119" s="5">
        <f t="shared" si="65"/>
        <v>0</v>
      </c>
      <c r="S119" s="5">
        <f t="shared" si="65"/>
        <v>0</v>
      </c>
      <c r="T119" s="5">
        <f t="shared" si="65"/>
        <v>0</v>
      </c>
      <c r="U119" s="5">
        <f t="shared" si="65"/>
        <v>0</v>
      </c>
      <c r="V119" s="5">
        <f t="shared" si="65"/>
        <v>0</v>
      </c>
      <c r="W119" s="5">
        <f t="shared" si="65"/>
        <v>0</v>
      </c>
      <c r="X119" s="5">
        <f t="shared" si="65"/>
        <v>0</v>
      </c>
      <c r="Y119" s="5">
        <f t="shared" si="65"/>
        <v>0</v>
      </c>
      <c r="Z119" s="5">
        <f t="shared" si="65"/>
        <v>0</v>
      </c>
      <c r="AA119" s="5">
        <f t="shared" si="65"/>
        <v>0</v>
      </c>
      <c r="AB119" s="5">
        <f t="shared" si="65"/>
        <v>0</v>
      </c>
      <c r="AC119" s="5">
        <f t="shared" si="65"/>
        <v>0</v>
      </c>
      <c r="AD119" s="5">
        <f t="shared" si="65"/>
        <v>0</v>
      </c>
      <c r="AE119" s="5">
        <f t="shared" si="65"/>
        <v>0</v>
      </c>
      <c r="AF119" s="5">
        <f t="shared" si="65"/>
        <v>0</v>
      </c>
      <c r="AG119" s="5">
        <f t="shared" si="65"/>
        <v>0</v>
      </c>
      <c r="AH119" s="5">
        <f t="shared" si="65"/>
        <v>0</v>
      </c>
      <c r="AI119" s="5">
        <f t="shared" si="65"/>
        <v>0</v>
      </c>
      <c r="AJ119" s="5">
        <f t="shared" si="65"/>
        <v>0</v>
      </c>
      <c r="AK119" s="5">
        <f t="shared" si="65"/>
        <v>0</v>
      </c>
      <c r="AL119" s="5">
        <f t="shared" si="65"/>
        <v>0</v>
      </c>
      <c r="AM119" s="5">
        <f t="shared" si="65"/>
        <v>0</v>
      </c>
      <c r="AN119" s="5">
        <f t="shared" si="65"/>
        <v>0</v>
      </c>
      <c r="AO119" s="5">
        <f t="shared" si="65"/>
        <v>0</v>
      </c>
      <c r="AP119" s="5">
        <f t="shared" si="65"/>
        <v>0</v>
      </c>
      <c r="AQ119" s="5">
        <f t="shared" si="65"/>
        <v>0</v>
      </c>
      <c r="AR119" s="5">
        <f t="shared" si="65"/>
        <v>0</v>
      </c>
      <c r="AS119" s="5">
        <f t="shared" si="65"/>
        <v>0</v>
      </c>
      <c r="AT119" s="5">
        <f t="shared" si="65"/>
        <v>0</v>
      </c>
      <c r="AU119" s="5">
        <f t="shared" si="65"/>
        <v>0</v>
      </c>
      <c r="AV119" s="5">
        <f t="shared" si="65"/>
        <v>0</v>
      </c>
      <c r="AW119" s="5">
        <f t="shared" si="65"/>
        <v>0</v>
      </c>
      <c r="AX119" s="5">
        <f t="shared" si="65"/>
        <v>0</v>
      </c>
      <c r="AY119" s="5">
        <f t="shared" si="65"/>
        <v>0</v>
      </c>
      <c r="AZ119" s="5">
        <f t="shared" si="65"/>
        <v>0</v>
      </c>
      <c r="BA119" s="5">
        <f t="shared" si="65"/>
        <v>0</v>
      </c>
      <c r="BB119" s="5">
        <f t="shared" si="65"/>
        <v>0</v>
      </c>
      <c r="BC119" s="5">
        <f t="shared" si="65"/>
        <v>0</v>
      </c>
      <c r="BD119" s="5">
        <f t="shared" si="65"/>
        <v>0</v>
      </c>
      <c r="BE119" s="5">
        <f t="shared" si="65"/>
        <v>0</v>
      </c>
      <c r="BF119" s="5">
        <f t="shared" si="65"/>
        <v>0</v>
      </c>
      <c r="BG119" s="5">
        <f t="shared" si="65"/>
        <v>0</v>
      </c>
      <c r="BH119" s="5">
        <f t="shared" si="65"/>
        <v>0</v>
      </c>
      <c r="BI119" s="5">
        <f t="shared" si="65"/>
        <v>0</v>
      </c>
      <c r="BJ119" s="5">
        <f t="shared" si="65"/>
        <v>0</v>
      </c>
      <c r="BK119" s="5">
        <f t="shared" si="65"/>
        <v>0</v>
      </c>
      <c r="BL119" s="5">
        <f t="shared" si="65"/>
        <v>0</v>
      </c>
      <c r="BM119" s="5">
        <f t="shared" si="65"/>
        <v>0</v>
      </c>
      <c r="BN119" s="5">
        <f t="shared" si="65"/>
        <v>0</v>
      </c>
      <c r="BO119" s="5">
        <f t="shared" si="65"/>
        <v>0</v>
      </c>
      <c r="BP119" s="5">
        <f t="shared" ref="BP119:CZ119" si="66">SUMPRODUCT($B116:$B118,BP116:BP118)</f>
        <v>0</v>
      </c>
      <c r="BQ119" s="5">
        <f t="shared" si="66"/>
        <v>0</v>
      </c>
      <c r="BR119" s="5">
        <f t="shared" si="66"/>
        <v>0</v>
      </c>
      <c r="BS119" s="5">
        <f t="shared" si="66"/>
        <v>0</v>
      </c>
      <c r="BT119" s="5">
        <f t="shared" si="66"/>
        <v>0</v>
      </c>
      <c r="BU119" s="5">
        <f t="shared" si="66"/>
        <v>0</v>
      </c>
      <c r="BV119" s="5">
        <f t="shared" si="66"/>
        <v>0</v>
      </c>
      <c r="BW119" s="5">
        <f t="shared" si="66"/>
        <v>0</v>
      </c>
      <c r="BX119" s="5">
        <f t="shared" si="66"/>
        <v>0</v>
      </c>
      <c r="BY119" s="5">
        <f t="shared" si="66"/>
        <v>0</v>
      </c>
      <c r="BZ119" s="5">
        <f t="shared" si="66"/>
        <v>0</v>
      </c>
      <c r="CA119" s="5">
        <f t="shared" si="66"/>
        <v>0</v>
      </c>
      <c r="CB119" s="5">
        <f t="shared" si="66"/>
        <v>0</v>
      </c>
      <c r="CC119" s="5">
        <f t="shared" si="66"/>
        <v>0</v>
      </c>
      <c r="CD119" s="5">
        <f t="shared" si="66"/>
        <v>0</v>
      </c>
      <c r="CE119" s="5">
        <f t="shared" si="66"/>
        <v>0</v>
      </c>
      <c r="CF119" s="5">
        <f t="shared" si="66"/>
        <v>0</v>
      </c>
      <c r="CG119" s="5">
        <f t="shared" si="66"/>
        <v>0</v>
      </c>
      <c r="CH119" s="5">
        <f t="shared" si="66"/>
        <v>0</v>
      </c>
      <c r="CI119" s="5">
        <f t="shared" si="66"/>
        <v>0</v>
      </c>
      <c r="CJ119" s="5">
        <f t="shared" si="66"/>
        <v>0</v>
      </c>
      <c r="CK119" s="5">
        <f t="shared" si="66"/>
        <v>0</v>
      </c>
      <c r="CL119" s="5">
        <f t="shared" si="66"/>
        <v>0</v>
      </c>
      <c r="CM119" s="5">
        <f t="shared" si="66"/>
        <v>0</v>
      </c>
      <c r="CN119" s="5">
        <f t="shared" si="66"/>
        <v>0</v>
      </c>
      <c r="CO119" s="5">
        <f t="shared" si="66"/>
        <v>0</v>
      </c>
      <c r="CP119" s="5">
        <f t="shared" si="66"/>
        <v>0</v>
      </c>
      <c r="CQ119" s="5">
        <f t="shared" si="66"/>
        <v>0</v>
      </c>
      <c r="CR119" s="5">
        <f t="shared" si="66"/>
        <v>0</v>
      </c>
      <c r="CS119" s="5">
        <f t="shared" si="66"/>
        <v>0</v>
      </c>
      <c r="CT119" s="5">
        <f t="shared" si="66"/>
        <v>0</v>
      </c>
      <c r="CU119" s="5">
        <f t="shared" si="66"/>
        <v>0</v>
      </c>
      <c r="CV119" s="5">
        <f t="shared" si="66"/>
        <v>0</v>
      </c>
      <c r="CW119" s="5">
        <f t="shared" si="66"/>
        <v>0</v>
      </c>
      <c r="CX119" s="5">
        <f t="shared" si="66"/>
        <v>0</v>
      </c>
      <c r="CY119" s="5">
        <f t="shared" si="66"/>
        <v>0</v>
      </c>
      <c r="CZ119" s="5">
        <f t="shared" si="66"/>
        <v>0</v>
      </c>
    </row>
    <row r="120" spans="1:104" ht="15.5">
      <c r="A120" s="16" t="s">
        <v>71</v>
      </c>
      <c r="B120" s="17"/>
      <c r="C120" s="6">
        <f t="shared" ref="C120:AH120" si="67">SUM(C10,C20,C24,C27,C34,C37,C40,C47,C49,C53,C59,C71,C79,C81,C88,C92,C95,C99,C110,C115,C119)/100000</f>
        <v>0</v>
      </c>
      <c r="D120" s="6">
        <f t="shared" si="67"/>
        <v>0</v>
      </c>
      <c r="E120" s="6">
        <f t="shared" si="67"/>
        <v>0</v>
      </c>
      <c r="F120" s="6">
        <f t="shared" si="67"/>
        <v>0</v>
      </c>
      <c r="G120" s="6">
        <f t="shared" si="67"/>
        <v>0</v>
      </c>
      <c r="H120" s="6">
        <f t="shared" si="67"/>
        <v>0</v>
      </c>
      <c r="I120" s="6">
        <f t="shared" si="67"/>
        <v>0</v>
      </c>
      <c r="J120" s="6">
        <f t="shared" si="67"/>
        <v>0</v>
      </c>
      <c r="K120" s="6">
        <f t="shared" si="67"/>
        <v>0</v>
      </c>
      <c r="L120" s="6">
        <f t="shared" si="67"/>
        <v>0</v>
      </c>
      <c r="M120" s="6">
        <f t="shared" si="67"/>
        <v>0</v>
      </c>
      <c r="N120" s="6">
        <f t="shared" si="67"/>
        <v>0</v>
      </c>
      <c r="O120" s="6">
        <f t="shared" si="67"/>
        <v>0</v>
      </c>
      <c r="P120" s="6">
        <f t="shared" si="67"/>
        <v>0</v>
      </c>
      <c r="Q120" s="6">
        <f t="shared" si="67"/>
        <v>0</v>
      </c>
      <c r="R120" s="6">
        <f t="shared" si="67"/>
        <v>0</v>
      </c>
      <c r="S120" s="6">
        <f t="shared" si="67"/>
        <v>0</v>
      </c>
      <c r="T120" s="6">
        <f t="shared" si="67"/>
        <v>0</v>
      </c>
      <c r="U120" s="6">
        <f t="shared" si="67"/>
        <v>0</v>
      </c>
      <c r="V120" s="6">
        <f t="shared" si="67"/>
        <v>0</v>
      </c>
      <c r="W120" s="6">
        <f t="shared" si="67"/>
        <v>0</v>
      </c>
      <c r="X120" s="6">
        <f t="shared" si="67"/>
        <v>0</v>
      </c>
      <c r="Y120" s="6">
        <f t="shared" si="67"/>
        <v>0</v>
      </c>
      <c r="Z120" s="6">
        <f t="shared" si="67"/>
        <v>0</v>
      </c>
      <c r="AA120" s="6">
        <f t="shared" si="67"/>
        <v>0</v>
      </c>
      <c r="AB120" s="6">
        <f t="shared" si="67"/>
        <v>0</v>
      </c>
      <c r="AC120" s="6">
        <f t="shared" si="67"/>
        <v>0</v>
      </c>
      <c r="AD120" s="6">
        <f t="shared" si="67"/>
        <v>0</v>
      </c>
      <c r="AE120" s="6">
        <f t="shared" si="67"/>
        <v>0</v>
      </c>
      <c r="AF120" s="6">
        <f t="shared" si="67"/>
        <v>0</v>
      </c>
      <c r="AG120" s="6">
        <f t="shared" si="67"/>
        <v>0</v>
      </c>
      <c r="AH120" s="6">
        <f t="shared" si="67"/>
        <v>0</v>
      </c>
      <c r="AI120" s="6">
        <f t="shared" ref="AI120:BN120" si="68">SUM(AI10,AI20,AI24,AI27,AI34,AI37,AI40,AI47,AI49,AI53,AI59,AI71,AI79,AI81,AI88,AI92,AI95,AI99,AI110,AI115,AI119)/100000</f>
        <v>0</v>
      </c>
      <c r="AJ120" s="6">
        <f t="shared" si="68"/>
        <v>0</v>
      </c>
      <c r="AK120" s="6">
        <f t="shared" si="68"/>
        <v>0</v>
      </c>
      <c r="AL120" s="6">
        <f t="shared" si="68"/>
        <v>0</v>
      </c>
      <c r="AM120" s="6">
        <f t="shared" si="68"/>
        <v>0</v>
      </c>
      <c r="AN120" s="6">
        <f t="shared" si="68"/>
        <v>0</v>
      </c>
      <c r="AO120" s="6">
        <f t="shared" si="68"/>
        <v>0</v>
      </c>
      <c r="AP120" s="6">
        <f t="shared" si="68"/>
        <v>0</v>
      </c>
      <c r="AQ120" s="6">
        <f t="shared" si="68"/>
        <v>0</v>
      </c>
      <c r="AR120" s="6">
        <f t="shared" si="68"/>
        <v>0</v>
      </c>
      <c r="AS120" s="6">
        <f t="shared" si="68"/>
        <v>0</v>
      </c>
      <c r="AT120" s="6">
        <f t="shared" si="68"/>
        <v>0</v>
      </c>
      <c r="AU120" s="6">
        <f t="shared" si="68"/>
        <v>0</v>
      </c>
      <c r="AV120" s="6">
        <f t="shared" si="68"/>
        <v>0</v>
      </c>
      <c r="AW120" s="6">
        <f t="shared" si="68"/>
        <v>0</v>
      </c>
      <c r="AX120" s="6">
        <f t="shared" si="68"/>
        <v>0</v>
      </c>
      <c r="AY120" s="6">
        <f t="shared" si="68"/>
        <v>0</v>
      </c>
      <c r="AZ120" s="6">
        <f t="shared" si="68"/>
        <v>0</v>
      </c>
      <c r="BA120" s="6">
        <f t="shared" si="68"/>
        <v>0</v>
      </c>
      <c r="BB120" s="6">
        <f t="shared" si="68"/>
        <v>0</v>
      </c>
      <c r="BC120" s="6">
        <f t="shared" si="68"/>
        <v>0</v>
      </c>
      <c r="BD120" s="6">
        <f t="shared" si="68"/>
        <v>0</v>
      </c>
      <c r="BE120" s="6">
        <f t="shared" si="68"/>
        <v>0</v>
      </c>
      <c r="BF120" s="6">
        <f t="shared" si="68"/>
        <v>0</v>
      </c>
      <c r="BG120" s="6">
        <f t="shared" si="68"/>
        <v>0</v>
      </c>
      <c r="BH120" s="6">
        <f t="shared" si="68"/>
        <v>0</v>
      </c>
      <c r="BI120" s="6">
        <f t="shared" si="68"/>
        <v>0</v>
      </c>
      <c r="BJ120" s="6">
        <f t="shared" si="68"/>
        <v>0</v>
      </c>
      <c r="BK120" s="6">
        <f t="shared" si="68"/>
        <v>0</v>
      </c>
      <c r="BL120" s="6">
        <f t="shared" si="68"/>
        <v>0</v>
      </c>
      <c r="BM120" s="6">
        <f t="shared" si="68"/>
        <v>0</v>
      </c>
      <c r="BN120" s="6">
        <f t="shared" si="68"/>
        <v>0</v>
      </c>
      <c r="BO120" s="6">
        <f t="shared" ref="BO120:CT120" si="69">SUM(BO10,BO20,BO24,BO27,BO34,BO37,BO40,BO47,BO49,BO53,BO59,BO71,BO79,BO81,BO88,BO92,BO95,BO99,BO110,BO115,BO119)/100000</f>
        <v>0</v>
      </c>
      <c r="BP120" s="6">
        <f t="shared" si="69"/>
        <v>0</v>
      </c>
      <c r="BQ120" s="6">
        <f t="shared" si="69"/>
        <v>0</v>
      </c>
      <c r="BR120" s="6">
        <f t="shared" si="69"/>
        <v>0</v>
      </c>
      <c r="BS120" s="6">
        <f t="shared" si="69"/>
        <v>0</v>
      </c>
      <c r="BT120" s="6">
        <f t="shared" si="69"/>
        <v>0</v>
      </c>
      <c r="BU120" s="6">
        <f t="shared" si="69"/>
        <v>0</v>
      </c>
      <c r="BV120" s="6">
        <f t="shared" si="69"/>
        <v>0</v>
      </c>
      <c r="BW120" s="6">
        <f t="shared" si="69"/>
        <v>0</v>
      </c>
      <c r="BX120" s="6">
        <f t="shared" si="69"/>
        <v>0</v>
      </c>
      <c r="BY120" s="6">
        <f t="shared" si="69"/>
        <v>0</v>
      </c>
      <c r="BZ120" s="6">
        <f t="shared" si="69"/>
        <v>0</v>
      </c>
      <c r="CA120" s="6">
        <f t="shared" si="69"/>
        <v>0</v>
      </c>
      <c r="CB120" s="6">
        <f t="shared" si="69"/>
        <v>0</v>
      </c>
      <c r="CC120" s="6">
        <f t="shared" si="69"/>
        <v>0</v>
      </c>
      <c r="CD120" s="6">
        <f t="shared" si="69"/>
        <v>0</v>
      </c>
      <c r="CE120" s="6">
        <f t="shared" si="69"/>
        <v>0</v>
      </c>
      <c r="CF120" s="6">
        <f t="shared" si="69"/>
        <v>0</v>
      </c>
      <c r="CG120" s="6">
        <f t="shared" si="69"/>
        <v>0</v>
      </c>
      <c r="CH120" s="6">
        <f t="shared" si="69"/>
        <v>0</v>
      </c>
      <c r="CI120" s="6">
        <f t="shared" si="69"/>
        <v>0</v>
      </c>
      <c r="CJ120" s="6">
        <f t="shared" si="69"/>
        <v>0</v>
      </c>
      <c r="CK120" s="6">
        <f t="shared" si="69"/>
        <v>0</v>
      </c>
      <c r="CL120" s="6">
        <f t="shared" si="69"/>
        <v>0</v>
      </c>
      <c r="CM120" s="6">
        <f t="shared" si="69"/>
        <v>0</v>
      </c>
      <c r="CN120" s="6">
        <f t="shared" si="69"/>
        <v>0</v>
      </c>
      <c r="CO120" s="6">
        <f t="shared" si="69"/>
        <v>0</v>
      </c>
      <c r="CP120" s="6">
        <f t="shared" si="69"/>
        <v>0</v>
      </c>
      <c r="CQ120" s="6">
        <f t="shared" si="69"/>
        <v>0</v>
      </c>
      <c r="CR120" s="6">
        <f t="shared" si="69"/>
        <v>0</v>
      </c>
      <c r="CS120" s="6">
        <f t="shared" si="69"/>
        <v>0</v>
      </c>
      <c r="CT120" s="6">
        <f t="shared" si="69"/>
        <v>0</v>
      </c>
      <c r="CU120" s="6">
        <f t="shared" ref="CU120:CZ120" si="70">SUM(CU10,CU20,CU24,CU27,CU34,CU37,CU40,CU47,CU49,CU53,CU59,CU71,CU79,CU81,CU88,CU92,CU95,CU99,CU110,CU115,CU119)/100000</f>
        <v>0</v>
      </c>
      <c r="CV120" s="6">
        <f t="shared" si="70"/>
        <v>0</v>
      </c>
      <c r="CW120" s="6">
        <f t="shared" si="70"/>
        <v>0</v>
      </c>
      <c r="CX120" s="6">
        <f t="shared" si="70"/>
        <v>0</v>
      </c>
      <c r="CY120" s="6">
        <f t="shared" si="70"/>
        <v>0</v>
      </c>
      <c r="CZ120" s="6">
        <f t="shared" si="70"/>
        <v>0</v>
      </c>
    </row>
  </sheetData>
  <sheetProtection formatCells="0" selectLockedCells="1" autoFilter="0"/>
  <autoFilter ref="A2:CZ110" xr:uid="{00000000-0009-0000-0000-000003000000}"/>
  <mergeCells count="52">
    <mergeCell ref="CS1:CT1"/>
    <mergeCell ref="CU1:CV1"/>
    <mergeCell ref="CW1:CX1"/>
    <mergeCell ref="CY1:CZ1"/>
    <mergeCell ref="CG1:CH1"/>
    <mergeCell ref="CI1:CJ1"/>
    <mergeCell ref="CK1:CL1"/>
    <mergeCell ref="CM1:CN1"/>
    <mergeCell ref="CO1:CP1"/>
    <mergeCell ref="CQ1:CR1"/>
    <mergeCell ref="CE1:CF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BG1:BH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AI1:AJ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K1:L1"/>
    <mergeCell ref="A1:A2"/>
    <mergeCell ref="C1:D1"/>
    <mergeCell ref="E1:F1"/>
    <mergeCell ref="G1:H1"/>
    <mergeCell ref="I1:J1"/>
  </mergeCells>
  <pageMargins left="0.69930555555555596" right="0.69930555555555596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R12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:CZ121"/>
    </sheetView>
  </sheetViews>
  <sheetFormatPr defaultColWidth="9.1796875" defaultRowHeight="14.5"/>
  <cols>
    <col min="1" max="1" width="31.54296875" style="2" customWidth="1"/>
    <col min="2" max="2" width="8.81640625" style="3" customWidth="1"/>
    <col min="3" max="3" width="10" style="3" bestFit="1" customWidth="1"/>
    <col min="4" max="41" width="9.1796875" style="3"/>
    <col min="42" max="42" width="8.54296875" style="3" customWidth="1"/>
    <col min="43" max="43" width="7.54296875" style="3" customWidth="1"/>
    <col min="44" max="44" width="8.54296875" style="3" customWidth="1"/>
    <col min="45" max="45" width="7.54296875" style="3" customWidth="1"/>
    <col min="46" max="46" width="8.54296875" style="3" customWidth="1"/>
    <col min="47" max="47" width="7.54296875" style="3" customWidth="1"/>
    <col min="48" max="48" width="8.54296875" style="3" customWidth="1"/>
    <col min="49" max="49" width="7.54296875" style="3" customWidth="1"/>
    <col min="50" max="50" width="8.54296875" style="3" customWidth="1"/>
    <col min="51" max="51" width="7.54296875" style="3" customWidth="1"/>
    <col min="52" max="52" width="8.54296875" style="3" customWidth="1"/>
    <col min="53" max="53" width="7.54296875" style="3" customWidth="1"/>
    <col min="54" max="54" width="8.54296875" style="3" customWidth="1"/>
    <col min="55" max="55" width="7.54296875" style="3" customWidth="1"/>
    <col min="56" max="56" width="8.54296875" style="3" customWidth="1"/>
    <col min="57" max="57" width="7.54296875" style="3" customWidth="1"/>
    <col min="58" max="58" width="8.54296875" style="3" customWidth="1"/>
    <col min="59" max="59" width="7.54296875" style="3" customWidth="1"/>
    <col min="60" max="60" width="8.54296875" style="3" customWidth="1"/>
    <col min="61" max="61" width="7.54296875" style="3" customWidth="1"/>
    <col min="62" max="62" width="8.54296875" style="3" customWidth="1"/>
    <col min="63" max="63" width="7.54296875" style="3" customWidth="1"/>
    <col min="64" max="64" width="8.54296875" style="3" customWidth="1"/>
    <col min="65" max="65" width="7.54296875" style="3" customWidth="1"/>
    <col min="66" max="66" width="8.54296875" style="3" customWidth="1"/>
    <col min="67" max="67" width="7.54296875" style="3" customWidth="1"/>
    <col min="68" max="68" width="8.54296875" style="3" customWidth="1"/>
    <col min="69" max="69" width="7.54296875" style="3" customWidth="1"/>
    <col min="70" max="70" width="8.54296875" style="3" customWidth="1"/>
    <col min="71" max="71" width="7.54296875" style="3" customWidth="1"/>
    <col min="72" max="72" width="8.54296875" style="3" customWidth="1"/>
    <col min="73" max="73" width="7.54296875" style="3" customWidth="1"/>
    <col min="74" max="74" width="8.54296875" style="3" customWidth="1"/>
    <col min="75" max="75" width="7.54296875" style="3" customWidth="1"/>
    <col min="76" max="76" width="8.54296875" style="3" customWidth="1"/>
    <col min="77" max="77" width="7.54296875" style="3" customWidth="1"/>
    <col min="78" max="78" width="8.54296875" style="3" customWidth="1"/>
    <col min="79" max="79" width="7.54296875" style="3" customWidth="1"/>
    <col min="80" max="80" width="8.54296875" style="3" customWidth="1"/>
    <col min="81" max="81" width="7.54296875" style="3" customWidth="1"/>
    <col min="82" max="82" width="8.54296875" style="3" customWidth="1"/>
    <col min="83" max="83" width="7.54296875" style="3" customWidth="1"/>
    <col min="84" max="84" width="8.54296875" style="3" customWidth="1"/>
    <col min="85" max="85" width="7.54296875" style="3" customWidth="1"/>
    <col min="86" max="86" width="8.54296875" style="3" customWidth="1"/>
    <col min="87" max="87" width="7.54296875" style="3" customWidth="1"/>
    <col min="88" max="88" width="8.54296875" style="3" customWidth="1"/>
    <col min="89" max="89" width="7.54296875" style="3" customWidth="1"/>
    <col min="90" max="90" width="8.54296875" style="3" customWidth="1"/>
    <col min="91" max="91" width="7.54296875" style="3" customWidth="1"/>
    <col min="92" max="92" width="8.54296875" style="3" customWidth="1"/>
    <col min="93" max="93" width="7.54296875" style="3" customWidth="1"/>
    <col min="94" max="94" width="8.54296875" style="3" customWidth="1"/>
    <col min="95" max="95" width="7.54296875" style="3" customWidth="1"/>
    <col min="96" max="96" width="8.54296875" style="3" customWidth="1"/>
    <col min="97" max="97" width="7.54296875" style="3" customWidth="1"/>
    <col min="98" max="98" width="8.54296875" style="3" customWidth="1"/>
    <col min="99" max="99" width="7.54296875" style="3" customWidth="1"/>
    <col min="100" max="100" width="8.54296875" style="3" customWidth="1"/>
    <col min="101" max="101" width="7.54296875" style="3" customWidth="1"/>
    <col min="102" max="102" width="8.54296875" style="3" customWidth="1"/>
    <col min="103" max="103" width="11.81640625" style="3" customWidth="1"/>
    <col min="104" max="104" width="12.453125" style="3" customWidth="1"/>
    <col min="105" max="107" width="9.1796875" style="2"/>
    <col min="108" max="108" width="8" style="2" customWidth="1"/>
    <col min="109" max="16384" width="9.1796875" style="2"/>
  </cols>
  <sheetData>
    <row r="1" spans="1:122" s="37" customFormat="1" ht="19.5" customHeight="1">
      <c r="A1" s="44" t="s">
        <v>0</v>
      </c>
      <c r="B1" s="12"/>
      <c r="C1" s="46" t="str">
        <f>APRIL!C1</f>
        <v>VASU PHARMA DRUGS PVT LTD</v>
      </c>
      <c r="D1" s="46"/>
      <c r="E1" s="46" t="str">
        <f>APRIL!E1</f>
        <v>PRAKASH PHARMA DISTRIBUTORS</v>
      </c>
      <c r="F1" s="46"/>
      <c r="G1" s="46" t="str">
        <f>APRIL!G1</f>
        <v>Divya Pharma</v>
      </c>
      <c r="H1" s="46"/>
      <c r="I1" s="46" t="str">
        <f>APRIL!I1</f>
        <v>KEIMED PRIVATE LIMITED</v>
      </c>
      <c r="J1" s="46"/>
      <c r="K1" s="46" t="str">
        <f>APRIL!K1</f>
        <v>SAI SRIDHAR PHARMA PVT LTD</v>
      </c>
      <c r="L1" s="46"/>
      <c r="M1" s="46" t="str">
        <f>APRIL!M1</f>
        <v>SRI VENKATARAGHAVA AGENCIES</v>
      </c>
      <c r="N1" s="46"/>
      <c r="O1" s="46" t="str">
        <f>APRIL!O1</f>
        <v>SHREEJI DIST PVT LTD</v>
      </c>
      <c r="P1" s="46"/>
      <c r="Q1" s="46" t="str">
        <f>APRIL!Q1</f>
        <v>SVS PHARMA</v>
      </c>
      <c r="R1" s="46"/>
      <c r="S1" s="46" t="str">
        <f>APRIL!S1</f>
        <v>PHARMA DISTRIBUTORS</v>
      </c>
      <c r="T1" s="46"/>
      <c r="U1" s="46" t="str">
        <f>APRIL!U1</f>
        <v>SAI PHARMA DISTRIBUTERS PVT LTD</v>
      </c>
      <c r="V1" s="46"/>
      <c r="W1" s="46" t="str">
        <f>APRIL!W1</f>
        <v>ALANKRITA AGENCIES</v>
      </c>
      <c r="X1" s="46"/>
      <c r="Y1" s="46" t="str">
        <f>APRIL!Y1</f>
        <v>JAYA SURG &amp; PHARMA PVT LTD</v>
      </c>
      <c r="Z1" s="46"/>
      <c r="AA1" s="46" t="str">
        <f>APRIL!AA1</f>
        <v>MANASA MEDICAL AGENCIES</v>
      </c>
      <c r="AB1" s="46"/>
      <c r="AC1" s="46" t="str">
        <f>APRIL!AC1</f>
        <v>KARTHICK AGENCIES</v>
      </c>
      <c r="AD1" s="46"/>
      <c r="AE1" s="46" t="str">
        <f>APRIL!AE1</f>
        <v>NIRMALA AGENCIES</v>
      </c>
      <c r="AF1" s="46"/>
      <c r="AG1" s="46" t="str">
        <f>APRIL!AG1</f>
        <v>HIMALAYA MEDICAL AGENCIES</v>
      </c>
      <c r="AH1" s="46"/>
      <c r="AI1" s="46" t="str">
        <f>APRIL!AI1</f>
        <v xml:space="preserve">Maruthi </v>
      </c>
      <c r="AJ1" s="46"/>
      <c r="AK1" s="46" t="str">
        <f>APRIL!AK1</f>
        <v>LAXMI SAI MEDICAL AGENCIES</v>
      </c>
      <c r="AL1" s="46"/>
      <c r="AM1" s="46" t="str">
        <f>APRIL!AM1</f>
        <v>Patwari Pharma</v>
      </c>
      <c r="AN1" s="46"/>
      <c r="AO1" s="46" t="str">
        <f>APRIL!AO1</f>
        <v>Vishnu &amp; Co</v>
      </c>
      <c r="AP1" s="46"/>
      <c r="AQ1" s="46" t="str">
        <f>APRIL!AQ1</f>
        <v>SUMAN AGENCIES HYD PVT LTD</v>
      </c>
      <c r="AR1" s="46"/>
      <c r="AS1" s="46" t="str">
        <f>APRIL!AS1</f>
        <v>Sri Nirmala</v>
      </c>
      <c r="AT1" s="46"/>
      <c r="AU1" s="46" t="str">
        <f>APRIL!AU1</f>
        <v>SHREE SHARADA PHARMA</v>
      </c>
      <c r="AV1" s="46"/>
      <c r="AW1" s="46" t="str">
        <f>APRIL!AW1</f>
        <v>ALLIED PHARMA</v>
      </c>
      <c r="AX1" s="46"/>
      <c r="AY1" s="46" t="str">
        <f>APRIL!AY1</f>
        <v>GOEL DISTRIBUTER</v>
      </c>
      <c r="AZ1" s="46"/>
      <c r="BA1" s="46" t="str">
        <f>APRIL!BA1</f>
        <v>KAMALESH PHARMA</v>
      </c>
      <c r="BB1" s="46"/>
      <c r="BC1" s="46" t="str">
        <f>APRIL!BC1</f>
        <v>ARVIND PHARMA DISTRIBUTER</v>
      </c>
      <c r="BD1" s="46"/>
      <c r="BE1" s="46" t="str">
        <f>APRIL!BE1</f>
        <v>GOEL PHARMA</v>
      </c>
      <c r="BF1" s="46"/>
      <c r="BG1" s="46" t="str">
        <f>APRIL!BG1</f>
        <v>KRISHNA  PHARMACEUTICALS</v>
      </c>
      <c r="BH1" s="46"/>
      <c r="BI1" s="46" t="str">
        <f>APRIL!BI1</f>
        <v>AP DRUGS</v>
      </c>
      <c r="BJ1" s="46"/>
      <c r="BK1" s="46" t="str">
        <f>APRIL!BK1</f>
        <v>MAWA PHARMACEUTICALS</v>
      </c>
      <c r="BL1" s="46"/>
      <c r="BM1" s="46" t="str">
        <f>APRIL!BM1</f>
        <v>TIRUMALA AGENCIES</v>
      </c>
      <c r="BN1" s="46"/>
      <c r="BO1" s="46" t="str">
        <f>APRIL!BO1</f>
        <v>SREE HARI MEDICALS</v>
      </c>
      <c r="BP1" s="46"/>
      <c r="BQ1" s="46" t="str">
        <f>APRIL!BQ1</f>
        <v>SREE VENKATESHWARA MEDISOLUTIONS</v>
      </c>
      <c r="BR1" s="46"/>
      <c r="BS1" s="46" t="str">
        <f>APRIL!BS1</f>
        <v>SRI BALAJI DRUGS</v>
      </c>
      <c r="BT1" s="46"/>
      <c r="BU1" s="46" t="str">
        <f>APRIL!BU1</f>
        <v>VISHNU MEDICAL HALL</v>
      </c>
      <c r="BV1" s="46"/>
      <c r="BW1" s="46" t="str">
        <f>APRIL!BW1</f>
        <v>HYDERABAD SPECIALITY DRUGS</v>
      </c>
      <c r="BX1" s="46"/>
      <c r="BY1" s="46" t="str">
        <f>APRIL!BY1</f>
        <v>LORVEN PHARMA &amp; SURGICALS (CORP)</v>
      </c>
      <c r="BZ1" s="46"/>
      <c r="CA1" s="46" t="str">
        <f>APRIL!CA1</f>
        <v>AK PHARMA</v>
      </c>
      <c r="CB1" s="46"/>
      <c r="CC1" s="46" t="str">
        <f>APRIL!CC1</f>
        <v>OPTIVAL HEALTHSOLUTIONS</v>
      </c>
      <c r="CD1" s="46"/>
      <c r="CE1" s="46" t="str">
        <f>APRIL!CE1</f>
        <v>BALAJI MEDICAL AGENCIES</v>
      </c>
      <c r="CF1" s="46"/>
      <c r="CG1" s="46" t="str">
        <f>APRIL!CG1</f>
        <v>S42</v>
      </c>
      <c r="CH1" s="46"/>
      <c r="CI1" s="46" t="str">
        <f>APRIL!CI1</f>
        <v>S43</v>
      </c>
      <c r="CJ1" s="46"/>
      <c r="CK1" s="46" t="str">
        <f>APRIL!CK1</f>
        <v>S44</v>
      </c>
      <c r="CL1" s="46"/>
      <c r="CM1" s="46" t="str">
        <f>APRIL!CM1</f>
        <v>S45</v>
      </c>
      <c r="CN1" s="46"/>
      <c r="CO1" s="46" t="str">
        <f>APRIL!CO1</f>
        <v>S46</v>
      </c>
      <c r="CP1" s="46"/>
      <c r="CQ1" s="46" t="str">
        <f>APRIL!CQ1</f>
        <v>S47</v>
      </c>
      <c r="CR1" s="46"/>
      <c r="CS1" s="46" t="str">
        <f>APRIL!CS1</f>
        <v>S48</v>
      </c>
      <c r="CT1" s="46"/>
      <c r="CU1" s="46" t="str">
        <f>APRIL!CU1</f>
        <v>S49</v>
      </c>
      <c r="CV1" s="46"/>
      <c r="CW1" s="46" t="str">
        <f>APRIL!CW1</f>
        <v>S50</v>
      </c>
      <c r="CX1" s="46"/>
      <c r="CY1" s="43" t="s">
        <v>1</v>
      </c>
      <c r="CZ1" s="43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</row>
    <row r="2" spans="1:122" ht="43.5">
      <c r="A2" s="44"/>
      <c r="B2" s="12" t="s">
        <v>2</v>
      </c>
      <c r="C2" s="7" t="s">
        <v>90</v>
      </c>
      <c r="D2" s="7" t="s">
        <v>91</v>
      </c>
      <c r="E2" s="7" t="s">
        <v>90</v>
      </c>
      <c r="F2" s="7" t="s">
        <v>91</v>
      </c>
      <c r="G2" s="7" t="s">
        <v>90</v>
      </c>
      <c r="H2" s="7" t="s">
        <v>91</v>
      </c>
      <c r="I2" s="7" t="s">
        <v>90</v>
      </c>
      <c r="J2" s="7" t="s">
        <v>91</v>
      </c>
      <c r="K2" s="7" t="s">
        <v>90</v>
      </c>
      <c r="L2" s="7" t="s">
        <v>91</v>
      </c>
      <c r="M2" s="7" t="s">
        <v>90</v>
      </c>
      <c r="N2" s="7" t="s">
        <v>91</v>
      </c>
      <c r="O2" s="7" t="s">
        <v>90</v>
      </c>
      <c r="P2" s="7" t="s">
        <v>91</v>
      </c>
      <c r="Q2" s="7" t="s">
        <v>90</v>
      </c>
      <c r="R2" s="7" t="s">
        <v>91</v>
      </c>
      <c r="S2" s="7" t="s">
        <v>90</v>
      </c>
      <c r="T2" s="7" t="s">
        <v>91</v>
      </c>
      <c r="U2" s="7" t="s">
        <v>90</v>
      </c>
      <c r="V2" s="7" t="s">
        <v>91</v>
      </c>
      <c r="W2" s="7" t="s">
        <v>90</v>
      </c>
      <c r="X2" s="7" t="s">
        <v>91</v>
      </c>
      <c r="Y2" s="7" t="s">
        <v>90</v>
      </c>
      <c r="Z2" s="7" t="s">
        <v>91</v>
      </c>
      <c r="AA2" s="7" t="s">
        <v>90</v>
      </c>
      <c r="AB2" s="7" t="s">
        <v>91</v>
      </c>
      <c r="AC2" s="7" t="s">
        <v>90</v>
      </c>
      <c r="AD2" s="7" t="s">
        <v>91</v>
      </c>
      <c r="AE2" s="7" t="s">
        <v>90</v>
      </c>
      <c r="AF2" s="7" t="s">
        <v>91</v>
      </c>
      <c r="AG2" s="7" t="s">
        <v>90</v>
      </c>
      <c r="AH2" s="7" t="s">
        <v>91</v>
      </c>
      <c r="AI2" s="7" t="s">
        <v>90</v>
      </c>
      <c r="AJ2" s="7" t="s">
        <v>91</v>
      </c>
      <c r="AK2" s="7" t="s">
        <v>90</v>
      </c>
      <c r="AL2" s="7" t="s">
        <v>91</v>
      </c>
      <c r="AM2" s="7" t="s">
        <v>90</v>
      </c>
      <c r="AN2" s="7" t="s">
        <v>91</v>
      </c>
      <c r="AO2" s="7" t="s">
        <v>90</v>
      </c>
      <c r="AP2" s="7" t="s">
        <v>91</v>
      </c>
      <c r="AQ2" s="7" t="s">
        <v>90</v>
      </c>
      <c r="AR2" s="7" t="s">
        <v>91</v>
      </c>
      <c r="AS2" s="7" t="s">
        <v>90</v>
      </c>
      <c r="AT2" s="7" t="s">
        <v>91</v>
      </c>
      <c r="AU2" s="7" t="s">
        <v>90</v>
      </c>
      <c r="AV2" s="7" t="s">
        <v>91</v>
      </c>
      <c r="AW2" s="7" t="s">
        <v>90</v>
      </c>
      <c r="AX2" s="7" t="s">
        <v>91</v>
      </c>
      <c r="AY2" s="7" t="s">
        <v>90</v>
      </c>
      <c r="AZ2" s="7" t="s">
        <v>91</v>
      </c>
      <c r="BA2" s="7" t="s">
        <v>90</v>
      </c>
      <c r="BB2" s="7" t="s">
        <v>91</v>
      </c>
      <c r="BC2" s="7" t="s">
        <v>90</v>
      </c>
      <c r="BD2" s="7" t="s">
        <v>91</v>
      </c>
      <c r="BE2" s="7" t="s">
        <v>90</v>
      </c>
      <c r="BF2" s="7" t="s">
        <v>91</v>
      </c>
      <c r="BG2" s="7" t="s">
        <v>90</v>
      </c>
      <c r="BH2" s="7" t="s">
        <v>91</v>
      </c>
      <c r="BI2" s="7" t="s">
        <v>90</v>
      </c>
      <c r="BJ2" s="7" t="s">
        <v>91</v>
      </c>
      <c r="BK2" s="7" t="s">
        <v>90</v>
      </c>
      <c r="BL2" s="7" t="s">
        <v>91</v>
      </c>
      <c r="BM2" s="7" t="s">
        <v>90</v>
      </c>
      <c r="BN2" s="7" t="s">
        <v>91</v>
      </c>
      <c r="BO2" s="7" t="s">
        <v>90</v>
      </c>
      <c r="BP2" s="7" t="s">
        <v>91</v>
      </c>
      <c r="BQ2" s="7" t="s">
        <v>90</v>
      </c>
      <c r="BR2" s="7" t="s">
        <v>91</v>
      </c>
      <c r="BS2" s="7" t="s">
        <v>90</v>
      </c>
      <c r="BT2" s="7" t="s">
        <v>91</v>
      </c>
      <c r="BU2" s="7" t="s">
        <v>90</v>
      </c>
      <c r="BV2" s="7" t="s">
        <v>91</v>
      </c>
      <c r="BW2" s="7" t="s">
        <v>90</v>
      </c>
      <c r="BX2" s="7" t="s">
        <v>91</v>
      </c>
      <c r="BY2" s="7" t="s">
        <v>90</v>
      </c>
      <c r="BZ2" s="7" t="s">
        <v>91</v>
      </c>
      <c r="CA2" s="7" t="s">
        <v>90</v>
      </c>
      <c r="CB2" s="7" t="s">
        <v>91</v>
      </c>
      <c r="CC2" s="7" t="s">
        <v>90</v>
      </c>
      <c r="CD2" s="7" t="s">
        <v>91</v>
      </c>
      <c r="CE2" s="7" t="s">
        <v>90</v>
      </c>
      <c r="CF2" s="7" t="s">
        <v>91</v>
      </c>
      <c r="CG2" s="7" t="s">
        <v>90</v>
      </c>
      <c r="CH2" s="7" t="s">
        <v>91</v>
      </c>
      <c r="CI2" s="7" t="s">
        <v>90</v>
      </c>
      <c r="CJ2" s="7" t="s">
        <v>91</v>
      </c>
      <c r="CK2" s="7" t="s">
        <v>90</v>
      </c>
      <c r="CL2" s="7" t="s">
        <v>91</v>
      </c>
      <c r="CM2" s="7" t="s">
        <v>90</v>
      </c>
      <c r="CN2" s="7" t="s">
        <v>91</v>
      </c>
      <c r="CO2" s="7" t="s">
        <v>90</v>
      </c>
      <c r="CP2" s="7" t="s">
        <v>91</v>
      </c>
      <c r="CQ2" s="7" t="s">
        <v>90</v>
      </c>
      <c r="CR2" s="7" t="s">
        <v>91</v>
      </c>
      <c r="CS2" s="7" t="s">
        <v>90</v>
      </c>
      <c r="CT2" s="7" t="s">
        <v>91</v>
      </c>
      <c r="CU2" s="7" t="s">
        <v>90</v>
      </c>
      <c r="CV2" s="7" t="s">
        <v>91</v>
      </c>
      <c r="CW2" s="7" t="s">
        <v>90</v>
      </c>
      <c r="CX2" s="7" t="s">
        <v>91</v>
      </c>
      <c r="CY2" s="7" t="s">
        <v>90</v>
      </c>
      <c r="CZ2" s="7" t="s">
        <v>91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</row>
    <row r="3" spans="1:122" ht="18" customHeight="1">
      <c r="A3" s="13" t="s">
        <v>3</v>
      </c>
      <c r="B3" s="14">
        <f>IFERROR(VLOOKUP(A3,PRICELIST!$A$3:$D$138,4,0),"-")</f>
        <v>167.79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9">
        <f>C3+E3+G3+I3+K3+M3+O3+Q3+S3+U3+W3+Y3+AA3+AC3+AE3+AG3+AI3+AK3+AM3+AO3+AQ3+AS3+AU3+AW3+AY3+BA3+BC3+BE3+BG3+BI3+BK3+BM3+BO3+BQ3+BS3+BU3+BW3+BY3+CA3+CC3+CE3+CG3+CI3+CK3+CM3+CO3+CQ3+CS3+CU3+CW3</f>
        <v>0</v>
      </c>
      <c r="CZ3" s="19">
        <f>D3+F3+H3+J3+L3+N3+P3+R3+T3+V3+X3+Z3+AB3+AD3+AF3+AH3+AJ3+AL3+AN3+AP3+AR3+AT3+AV3+AX3+AZ3+BB3+BD3+BF3+BH3+BJ3+BL3+BN3+BP3+BR3+BT3+BV3+BX3+BZ3+CB3+CD3+CF3+CH3+CJ3+CL3+CN3+CP3+CR3+CT3+CV3+CX3</f>
        <v>0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</row>
    <row r="4" spans="1:122" ht="18" customHeight="1">
      <c r="A4" s="13" t="s">
        <v>4</v>
      </c>
      <c r="B4" s="14">
        <f>IFERROR(VLOOKUP(A4,PRICELIST!$A$3:$D$138,4,0),"-")</f>
        <v>112.5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9">
        <f t="shared" ref="CY4:CZ9" si="0">C4+E4+G4+I4+K4+M4+O4+Q4+S4+U4+W4+Y4+AA4+AC4+AE4+AG4+AI4+AK4+AM4+AO4+AQ4+AS4+AU4+AW4+AY4+BA4+BC4+BE4+BG4+BI4+BK4+BM4+BO4+BQ4+BS4+BU4+BW4+BY4+CA4+CC4+CE4+CG4+CI4+CK4+CM4+CO4+CQ4+CS4+CU4+CW4</f>
        <v>0</v>
      </c>
      <c r="CZ4" s="19">
        <f t="shared" si="0"/>
        <v>0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</row>
    <row r="5" spans="1:122" ht="18" customHeight="1">
      <c r="A5" s="13" t="s">
        <v>5</v>
      </c>
      <c r="B5" s="14">
        <f>IFERROR(VLOOKUP(A5,PRICELIST!$A$3:$D$138,4,0),"-")</f>
        <v>127.87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9">
        <f t="shared" si="0"/>
        <v>0</v>
      </c>
      <c r="CZ5" s="19">
        <f t="shared" si="0"/>
        <v>0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</row>
    <row r="6" spans="1:122" ht="18" customHeight="1">
      <c r="A6" s="13" t="s">
        <v>6</v>
      </c>
      <c r="B6" s="14">
        <f>IFERROR(VLOOKUP(A6,PRICELIST!$A$3:$D$138,4,0),"-")</f>
        <v>88.7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9">
        <f t="shared" si="0"/>
        <v>0</v>
      </c>
      <c r="CZ6" s="19">
        <f t="shared" si="0"/>
        <v>0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</row>
    <row r="7" spans="1:122" ht="18" customHeight="1">
      <c r="A7" s="13" t="s">
        <v>78</v>
      </c>
      <c r="B7" s="14">
        <f>IFERROR(VLOOKUP(A7,PRICELIST!$A$3:$D$138,4,0),"-")</f>
        <v>171.64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9">
        <f t="shared" si="0"/>
        <v>0</v>
      </c>
      <c r="CZ7" s="19">
        <f t="shared" si="0"/>
        <v>0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</row>
    <row r="8" spans="1:122" ht="18" customHeight="1">
      <c r="A8" s="13" t="s">
        <v>7</v>
      </c>
      <c r="B8" s="14">
        <f>IFERROR(VLOOKUP(A8,PRICELIST!$A$3:$D$138,4,0),"-")</f>
        <v>216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9">
        <f t="shared" si="0"/>
        <v>0</v>
      </c>
      <c r="CZ8" s="19">
        <f t="shared" si="0"/>
        <v>0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</row>
    <row r="9" spans="1:122" ht="18" customHeight="1">
      <c r="A9" s="13" t="s">
        <v>8</v>
      </c>
      <c r="B9" s="14">
        <f>IFERROR(VLOOKUP(A9,PRICELIST!$A$3:$D$138,4,0),"-")</f>
        <v>163.93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9">
        <f t="shared" si="0"/>
        <v>0</v>
      </c>
      <c r="CZ9" s="19">
        <f t="shared" si="0"/>
        <v>0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</row>
    <row r="10" spans="1:122" ht="18" customHeight="1">
      <c r="A10" s="9" t="s">
        <v>9</v>
      </c>
      <c r="B10" s="10"/>
      <c r="C10" s="11">
        <f>SUMPRODUCT($B3:$B9,C3:C9)</f>
        <v>0</v>
      </c>
      <c r="D10" s="11">
        <f t="shared" ref="D10:BO10" si="1">SUMPRODUCT($B3:$B9,D3:D9)</f>
        <v>0</v>
      </c>
      <c r="E10" s="11">
        <f t="shared" si="1"/>
        <v>0</v>
      </c>
      <c r="F10" s="11">
        <f t="shared" si="1"/>
        <v>0</v>
      </c>
      <c r="G10" s="11">
        <f t="shared" si="1"/>
        <v>0</v>
      </c>
      <c r="H10" s="11">
        <f t="shared" si="1"/>
        <v>0</v>
      </c>
      <c r="I10" s="11">
        <f t="shared" si="1"/>
        <v>0</v>
      </c>
      <c r="J10" s="11">
        <f t="shared" si="1"/>
        <v>0</v>
      </c>
      <c r="K10" s="11">
        <f t="shared" si="1"/>
        <v>0</v>
      </c>
      <c r="L10" s="11">
        <f t="shared" si="1"/>
        <v>0</v>
      </c>
      <c r="M10" s="11">
        <f t="shared" si="1"/>
        <v>0</v>
      </c>
      <c r="N10" s="11">
        <f t="shared" si="1"/>
        <v>0</v>
      </c>
      <c r="O10" s="11">
        <f t="shared" si="1"/>
        <v>0</v>
      </c>
      <c r="P10" s="11">
        <f t="shared" si="1"/>
        <v>0</v>
      </c>
      <c r="Q10" s="11">
        <f t="shared" si="1"/>
        <v>0</v>
      </c>
      <c r="R10" s="11">
        <f t="shared" si="1"/>
        <v>0</v>
      </c>
      <c r="S10" s="11">
        <f t="shared" si="1"/>
        <v>0</v>
      </c>
      <c r="T10" s="11">
        <f t="shared" si="1"/>
        <v>0</v>
      </c>
      <c r="U10" s="11">
        <f t="shared" si="1"/>
        <v>0</v>
      </c>
      <c r="V10" s="11">
        <f t="shared" si="1"/>
        <v>0</v>
      </c>
      <c r="W10" s="11">
        <f t="shared" si="1"/>
        <v>0</v>
      </c>
      <c r="X10" s="11">
        <f t="shared" si="1"/>
        <v>0</v>
      </c>
      <c r="Y10" s="11">
        <f t="shared" si="1"/>
        <v>0</v>
      </c>
      <c r="Z10" s="11">
        <f t="shared" si="1"/>
        <v>0</v>
      </c>
      <c r="AA10" s="11">
        <f t="shared" si="1"/>
        <v>0</v>
      </c>
      <c r="AB10" s="11">
        <f t="shared" si="1"/>
        <v>0</v>
      </c>
      <c r="AC10" s="11">
        <f t="shared" si="1"/>
        <v>0</v>
      </c>
      <c r="AD10" s="11">
        <f t="shared" si="1"/>
        <v>0</v>
      </c>
      <c r="AE10" s="11">
        <f t="shared" si="1"/>
        <v>0</v>
      </c>
      <c r="AF10" s="11">
        <f t="shared" si="1"/>
        <v>0</v>
      </c>
      <c r="AG10" s="11">
        <f t="shared" si="1"/>
        <v>0</v>
      </c>
      <c r="AH10" s="11">
        <f t="shared" si="1"/>
        <v>0</v>
      </c>
      <c r="AI10" s="11">
        <f t="shared" si="1"/>
        <v>0</v>
      </c>
      <c r="AJ10" s="11">
        <f t="shared" si="1"/>
        <v>0</v>
      </c>
      <c r="AK10" s="11">
        <f t="shared" si="1"/>
        <v>0</v>
      </c>
      <c r="AL10" s="11">
        <f t="shared" si="1"/>
        <v>0</v>
      </c>
      <c r="AM10" s="11">
        <f t="shared" si="1"/>
        <v>0</v>
      </c>
      <c r="AN10" s="11">
        <f t="shared" si="1"/>
        <v>0</v>
      </c>
      <c r="AO10" s="11">
        <f t="shared" si="1"/>
        <v>0</v>
      </c>
      <c r="AP10" s="11">
        <f t="shared" si="1"/>
        <v>0</v>
      </c>
      <c r="AQ10" s="11">
        <f t="shared" si="1"/>
        <v>0</v>
      </c>
      <c r="AR10" s="11">
        <f t="shared" si="1"/>
        <v>0</v>
      </c>
      <c r="AS10" s="11">
        <f t="shared" si="1"/>
        <v>0</v>
      </c>
      <c r="AT10" s="11">
        <f t="shared" si="1"/>
        <v>0</v>
      </c>
      <c r="AU10" s="11">
        <f t="shared" si="1"/>
        <v>0</v>
      </c>
      <c r="AV10" s="11">
        <f t="shared" si="1"/>
        <v>0</v>
      </c>
      <c r="AW10" s="11">
        <f t="shared" si="1"/>
        <v>0</v>
      </c>
      <c r="AX10" s="11">
        <f t="shared" si="1"/>
        <v>0</v>
      </c>
      <c r="AY10" s="11">
        <f t="shared" si="1"/>
        <v>0</v>
      </c>
      <c r="AZ10" s="11">
        <f t="shared" si="1"/>
        <v>0</v>
      </c>
      <c r="BA10" s="11">
        <f t="shared" si="1"/>
        <v>0</v>
      </c>
      <c r="BB10" s="11">
        <f t="shared" si="1"/>
        <v>0</v>
      </c>
      <c r="BC10" s="11">
        <f t="shared" si="1"/>
        <v>0</v>
      </c>
      <c r="BD10" s="11">
        <f t="shared" si="1"/>
        <v>0</v>
      </c>
      <c r="BE10" s="11">
        <f t="shared" si="1"/>
        <v>0</v>
      </c>
      <c r="BF10" s="11">
        <f t="shared" si="1"/>
        <v>0</v>
      </c>
      <c r="BG10" s="11">
        <f t="shared" si="1"/>
        <v>0</v>
      </c>
      <c r="BH10" s="11">
        <f t="shared" si="1"/>
        <v>0</v>
      </c>
      <c r="BI10" s="11">
        <f t="shared" si="1"/>
        <v>0</v>
      </c>
      <c r="BJ10" s="11">
        <f t="shared" si="1"/>
        <v>0</v>
      </c>
      <c r="BK10" s="11">
        <f t="shared" si="1"/>
        <v>0</v>
      </c>
      <c r="BL10" s="11">
        <f t="shared" si="1"/>
        <v>0</v>
      </c>
      <c r="BM10" s="11">
        <f t="shared" si="1"/>
        <v>0</v>
      </c>
      <c r="BN10" s="11">
        <f t="shared" si="1"/>
        <v>0</v>
      </c>
      <c r="BO10" s="11">
        <f t="shared" si="1"/>
        <v>0</v>
      </c>
      <c r="BP10" s="11">
        <f t="shared" ref="BP10:CZ10" si="2">SUMPRODUCT($B3:$B9,BP3:BP9)</f>
        <v>0</v>
      </c>
      <c r="BQ10" s="11">
        <f t="shared" si="2"/>
        <v>0</v>
      </c>
      <c r="BR10" s="11">
        <f t="shared" si="2"/>
        <v>0</v>
      </c>
      <c r="BS10" s="11">
        <f t="shared" si="2"/>
        <v>0</v>
      </c>
      <c r="BT10" s="11">
        <f t="shared" si="2"/>
        <v>0</v>
      </c>
      <c r="BU10" s="11">
        <f t="shared" si="2"/>
        <v>0</v>
      </c>
      <c r="BV10" s="11">
        <f t="shared" si="2"/>
        <v>0</v>
      </c>
      <c r="BW10" s="11">
        <f t="shared" si="2"/>
        <v>0</v>
      </c>
      <c r="BX10" s="11">
        <f t="shared" si="2"/>
        <v>0</v>
      </c>
      <c r="BY10" s="11">
        <f t="shared" si="2"/>
        <v>0</v>
      </c>
      <c r="BZ10" s="11">
        <f t="shared" si="2"/>
        <v>0</v>
      </c>
      <c r="CA10" s="11">
        <f t="shared" si="2"/>
        <v>0</v>
      </c>
      <c r="CB10" s="11">
        <f t="shared" si="2"/>
        <v>0</v>
      </c>
      <c r="CC10" s="11">
        <f t="shared" si="2"/>
        <v>0</v>
      </c>
      <c r="CD10" s="11">
        <f t="shared" si="2"/>
        <v>0</v>
      </c>
      <c r="CE10" s="11">
        <f t="shared" si="2"/>
        <v>0</v>
      </c>
      <c r="CF10" s="11">
        <f t="shared" si="2"/>
        <v>0</v>
      </c>
      <c r="CG10" s="11">
        <f t="shared" si="2"/>
        <v>0</v>
      </c>
      <c r="CH10" s="11">
        <f t="shared" si="2"/>
        <v>0</v>
      </c>
      <c r="CI10" s="11">
        <f t="shared" si="2"/>
        <v>0</v>
      </c>
      <c r="CJ10" s="11">
        <f t="shared" si="2"/>
        <v>0</v>
      </c>
      <c r="CK10" s="11">
        <f t="shared" si="2"/>
        <v>0</v>
      </c>
      <c r="CL10" s="11">
        <f t="shared" si="2"/>
        <v>0</v>
      </c>
      <c r="CM10" s="11">
        <f t="shared" si="2"/>
        <v>0</v>
      </c>
      <c r="CN10" s="11">
        <f t="shared" si="2"/>
        <v>0</v>
      </c>
      <c r="CO10" s="11">
        <f t="shared" si="2"/>
        <v>0</v>
      </c>
      <c r="CP10" s="11">
        <f t="shared" si="2"/>
        <v>0</v>
      </c>
      <c r="CQ10" s="11">
        <f t="shared" si="2"/>
        <v>0</v>
      </c>
      <c r="CR10" s="11">
        <f t="shared" si="2"/>
        <v>0</v>
      </c>
      <c r="CS10" s="11">
        <f t="shared" si="2"/>
        <v>0</v>
      </c>
      <c r="CT10" s="11">
        <f t="shared" si="2"/>
        <v>0</v>
      </c>
      <c r="CU10" s="11">
        <f t="shared" si="2"/>
        <v>0</v>
      </c>
      <c r="CV10" s="11">
        <f t="shared" si="2"/>
        <v>0</v>
      </c>
      <c r="CW10" s="11">
        <f t="shared" si="2"/>
        <v>0</v>
      </c>
      <c r="CX10" s="11">
        <f t="shared" si="2"/>
        <v>0</v>
      </c>
      <c r="CY10" s="11">
        <f t="shared" si="2"/>
        <v>0</v>
      </c>
      <c r="CZ10" s="11">
        <f t="shared" si="2"/>
        <v>0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</row>
    <row r="11" spans="1:122" ht="18" customHeight="1">
      <c r="A11" s="4" t="s">
        <v>127</v>
      </c>
      <c r="B11" s="14">
        <f>IFERROR(VLOOKUP(A11,PRICELIST!$A$3:$D$138,4,0),"-")</f>
        <v>432.21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9">
        <f t="shared" ref="CY11:CZ19" si="3">C11+E11+G11+I11+K11+M11+O11+Q11+S11+U11+W11+Y11+AA11+AC11+AE11+AG11+AI11+AK11+AM11+AO11+AQ11+AS11+AU11+AW11+AY11+BA11+BC11+BE11+BG11+BI11+BK11+BM11+BO11+BQ11+BS11+BU11+BW11+BY11+CA11+CC11+CE11+CG11+CI11+CK11+CM11+CO11+CQ11+CS11+CU11+CW11</f>
        <v>0</v>
      </c>
      <c r="CZ11" s="19">
        <f t="shared" si="3"/>
        <v>0</v>
      </c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</row>
    <row r="12" spans="1:122" ht="18" customHeight="1">
      <c r="A12" s="4" t="s">
        <v>128</v>
      </c>
      <c r="B12" s="14">
        <f>IFERROR(VLOOKUP(A12,PRICELIST!$A$3:$D$138,4,0),"-")</f>
        <v>107.11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9">
        <f t="shared" si="3"/>
        <v>0</v>
      </c>
      <c r="CZ12" s="19">
        <f t="shared" si="3"/>
        <v>0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</row>
    <row r="13" spans="1:122" ht="18" customHeight="1">
      <c r="A13" s="4" t="s">
        <v>129</v>
      </c>
      <c r="B13" s="14">
        <f>IFERROR(VLOOKUP(A13,PRICELIST!$A$3:$D$138,4,0),"-")</f>
        <v>205.07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9">
        <f t="shared" si="3"/>
        <v>0</v>
      </c>
      <c r="CZ13" s="19">
        <f t="shared" si="3"/>
        <v>0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</row>
    <row r="14" spans="1:122" ht="18" customHeight="1">
      <c r="A14" s="4" t="s">
        <v>130</v>
      </c>
      <c r="B14" s="14">
        <f>IFERROR(VLOOKUP(A14,PRICELIST!$A$3:$D$138,4,0),"-")</f>
        <v>322.70999999999998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9">
        <f t="shared" si="3"/>
        <v>0</v>
      </c>
      <c r="CZ14" s="19">
        <f t="shared" si="3"/>
        <v>0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</row>
    <row r="15" spans="1:122" ht="18" customHeight="1">
      <c r="A15" s="4" t="s">
        <v>118</v>
      </c>
      <c r="B15" s="14">
        <f>IFERROR(VLOOKUP(A15,PRICELIST!$A$3:$D$138,4,0),"-")</f>
        <v>272.23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9">
        <f t="shared" si="3"/>
        <v>0</v>
      </c>
      <c r="CZ15" s="19">
        <f t="shared" si="3"/>
        <v>0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</row>
    <row r="16" spans="1:122" ht="18" customHeight="1">
      <c r="A16" s="4" t="s">
        <v>119</v>
      </c>
      <c r="B16" s="14">
        <f>IFERROR(VLOOKUP(A16,PRICELIST!$A$3:$D$138,4,0),"-")</f>
        <v>352.76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9">
        <f t="shared" si="3"/>
        <v>0</v>
      </c>
      <c r="CZ16" s="19">
        <f t="shared" si="3"/>
        <v>0</v>
      </c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</row>
    <row r="17" spans="1:122" ht="18" customHeight="1">
      <c r="A17" s="4" t="s">
        <v>120</v>
      </c>
      <c r="B17" s="14">
        <f>IFERROR(VLOOKUP(A17,PRICELIST!$A$3:$D$138,4,0),"-")</f>
        <v>137.57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9">
        <f t="shared" si="3"/>
        <v>0</v>
      </c>
      <c r="CZ17" s="19">
        <f t="shared" si="3"/>
        <v>0</v>
      </c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</row>
    <row r="18" spans="1:122" ht="18" customHeight="1">
      <c r="A18" s="32" t="s">
        <v>124</v>
      </c>
      <c r="B18" s="14">
        <f>IFERROR(VLOOKUP(A18,PRICELIST!$A$3:$D$138,4,0),"-")</f>
        <v>647.36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9">
        <f t="shared" si="3"/>
        <v>0</v>
      </c>
      <c r="CZ18" s="19">
        <f t="shared" si="3"/>
        <v>0</v>
      </c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</row>
    <row r="19" spans="1:122" ht="18" customHeight="1">
      <c r="A19" s="4" t="s">
        <v>79</v>
      </c>
      <c r="B19" s="14">
        <f>IFERROR(VLOOKUP(A19,PRICELIST!$A$3:$D$138,4,0),"-")</f>
        <v>110.25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9">
        <f t="shared" si="3"/>
        <v>0</v>
      </c>
      <c r="CZ19" s="19">
        <f t="shared" si="3"/>
        <v>0</v>
      </c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</row>
    <row r="20" spans="1:122" ht="18" customHeight="1">
      <c r="A20" s="33" t="s">
        <v>125</v>
      </c>
      <c r="B20" s="15"/>
      <c r="C20" s="11">
        <f t="shared" ref="C20:BN20" si="4">SUMPRODUCT($B11:$B19,C11:C19)</f>
        <v>0</v>
      </c>
      <c r="D20" s="11">
        <f t="shared" si="4"/>
        <v>0</v>
      </c>
      <c r="E20" s="11">
        <f t="shared" si="4"/>
        <v>0</v>
      </c>
      <c r="F20" s="11">
        <f t="shared" si="4"/>
        <v>0</v>
      </c>
      <c r="G20" s="11">
        <f t="shared" si="4"/>
        <v>0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0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0</v>
      </c>
      <c r="X20" s="11">
        <f t="shared" si="4"/>
        <v>0</v>
      </c>
      <c r="Y20" s="11">
        <f t="shared" si="4"/>
        <v>0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  <c r="AI20" s="11">
        <f t="shared" si="4"/>
        <v>0</v>
      </c>
      <c r="AJ20" s="11">
        <f t="shared" si="4"/>
        <v>0</v>
      </c>
      <c r="AK20" s="11">
        <f t="shared" si="4"/>
        <v>0</v>
      </c>
      <c r="AL20" s="11">
        <f t="shared" si="4"/>
        <v>0</v>
      </c>
      <c r="AM20" s="11">
        <f t="shared" si="4"/>
        <v>0</v>
      </c>
      <c r="AN20" s="11">
        <f t="shared" si="4"/>
        <v>0</v>
      </c>
      <c r="AO20" s="11">
        <f t="shared" si="4"/>
        <v>0</v>
      </c>
      <c r="AP20" s="11">
        <f t="shared" si="4"/>
        <v>0</v>
      </c>
      <c r="AQ20" s="11">
        <f t="shared" si="4"/>
        <v>0</v>
      </c>
      <c r="AR20" s="11">
        <f t="shared" si="4"/>
        <v>0</v>
      </c>
      <c r="AS20" s="11">
        <f t="shared" si="4"/>
        <v>0</v>
      </c>
      <c r="AT20" s="11">
        <f t="shared" si="4"/>
        <v>0</v>
      </c>
      <c r="AU20" s="11">
        <f t="shared" si="4"/>
        <v>0</v>
      </c>
      <c r="AV20" s="11">
        <f t="shared" si="4"/>
        <v>0</v>
      </c>
      <c r="AW20" s="11">
        <f t="shared" si="4"/>
        <v>0</v>
      </c>
      <c r="AX20" s="11">
        <f t="shared" si="4"/>
        <v>0</v>
      </c>
      <c r="AY20" s="11">
        <f t="shared" si="4"/>
        <v>0</v>
      </c>
      <c r="AZ20" s="11">
        <f t="shared" si="4"/>
        <v>0</v>
      </c>
      <c r="BA20" s="11">
        <f t="shared" si="4"/>
        <v>0</v>
      </c>
      <c r="BB20" s="11">
        <f t="shared" si="4"/>
        <v>0</v>
      </c>
      <c r="BC20" s="11">
        <f t="shared" si="4"/>
        <v>0</v>
      </c>
      <c r="BD20" s="11">
        <f t="shared" si="4"/>
        <v>0</v>
      </c>
      <c r="BE20" s="11">
        <f t="shared" si="4"/>
        <v>0</v>
      </c>
      <c r="BF20" s="11">
        <f t="shared" si="4"/>
        <v>0</v>
      </c>
      <c r="BG20" s="11">
        <f t="shared" si="4"/>
        <v>0</v>
      </c>
      <c r="BH20" s="11">
        <f t="shared" si="4"/>
        <v>0</v>
      </c>
      <c r="BI20" s="11">
        <f t="shared" si="4"/>
        <v>0</v>
      </c>
      <c r="BJ20" s="11">
        <f t="shared" si="4"/>
        <v>0</v>
      </c>
      <c r="BK20" s="11">
        <f t="shared" si="4"/>
        <v>0</v>
      </c>
      <c r="BL20" s="11">
        <f t="shared" si="4"/>
        <v>0</v>
      </c>
      <c r="BM20" s="11">
        <f t="shared" si="4"/>
        <v>0</v>
      </c>
      <c r="BN20" s="11">
        <f t="shared" si="4"/>
        <v>0</v>
      </c>
      <c r="BO20" s="11">
        <f t="shared" ref="BO20:CZ20" si="5">SUMPRODUCT($B11:$B19,BO11:BO19)</f>
        <v>0</v>
      </c>
      <c r="BP20" s="11">
        <f t="shared" si="5"/>
        <v>0</v>
      </c>
      <c r="BQ20" s="11">
        <f t="shared" si="5"/>
        <v>0</v>
      </c>
      <c r="BR20" s="11">
        <f t="shared" si="5"/>
        <v>0</v>
      </c>
      <c r="BS20" s="11">
        <f t="shared" si="5"/>
        <v>0</v>
      </c>
      <c r="BT20" s="11">
        <f t="shared" si="5"/>
        <v>0</v>
      </c>
      <c r="BU20" s="11">
        <f t="shared" si="5"/>
        <v>0</v>
      </c>
      <c r="BV20" s="11">
        <f t="shared" si="5"/>
        <v>0</v>
      </c>
      <c r="BW20" s="11">
        <f t="shared" si="5"/>
        <v>0</v>
      </c>
      <c r="BX20" s="11">
        <f t="shared" si="5"/>
        <v>0</v>
      </c>
      <c r="BY20" s="11">
        <f t="shared" si="5"/>
        <v>0</v>
      </c>
      <c r="BZ20" s="11">
        <f t="shared" si="5"/>
        <v>0</v>
      </c>
      <c r="CA20" s="11">
        <f t="shared" si="5"/>
        <v>0</v>
      </c>
      <c r="CB20" s="11">
        <f t="shared" si="5"/>
        <v>0</v>
      </c>
      <c r="CC20" s="11">
        <f t="shared" si="5"/>
        <v>0</v>
      </c>
      <c r="CD20" s="11">
        <f t="shared" si="5"/>
        <v>0</v>
      </c>
      <c r="CE20" s="11">
        <f t="shared" si="5"/>
        <v>0</v>
      </c>
      <c r="CF20" s="11">
        <f t="shared" si="5"/>
        <v>0</v>
      </c>
      <c r="CG20" s="11">
        <f t="shared" si="5"/>
        <v>0</v>
      </c>
      <c r="CH20" s="11">
        <f t="shared" si="5"/>
        <v>0</v>
      </c>
      <c r="CI20" s="11">
        <f t="shared" si="5"/>
        <v>0</v>
      </c>
      <c r="CJ20" s="11">
        <f t="shared" si="5"/>
        <v>0</v>
      </c>
      <c r="CK20" s="11">
        <f t="shared" si="5"/>
        <v>0</v>
      </c>
      <c r="CL20" s="11">
        <f t="shared" si="5"/>
        <v>0</v>
      </c>
      <c r="CM20" s="11">
        <f t="shared" si="5"/>
        <v>0</v>
      </c>
      <c r="CN20" s="11">
        <f t="shared" si="5"/>
        <v>0</v>
      </c>
      <c r="CO20" s="11">
        <f t="shared" si="5"/>
        <v>0</v>
      </c>
      <c r="CP20" s="11">
        <f t="shared" si="5"/>
        <v>0</v>
      </c>
      <c r="CQ20" s="11">
        <f t="shared" si="5"/>
        <v>0</v>
      </c>
      <c r="CR20" s="11">
        <f t="shared" si="5"/>
        <v>0</v>
      </c>
      <c r="CS20" s="11">
        <f t="shared" si="5"/>
        <v>0</v>
      </c>
      <c r="CT20" s="11">
        <f t="shared" si="5"/>
        <v>0</v>
      </c>
      <c r="CU20" s="11">
        <f t="shared" si="5"/>
        <v>0</v>
      </c>
      <c r="CV20" s="11">
        <f t="shared" si="5"/>
        <v>0</v>
      </c>
      <c r="CW20" s="11">
        <f t="shared" si="5"/>
        <v>0</v>
      </c>
      <c r="CX20" s="11">
        <f t="shared" si="5"/>
        <v>0</v>
      </c>
      <c r="CY20" s="11">
        <f t="shared" si="5"/>
        <v>0</v>
      </c>
      <c r="CZ20" s="11">
        <f t="shared" si="5"/>
        <v>0</v>
      </c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</row>
    <row r="21" spans="1:122" ht="18" customHeight="1">
      <c r="A21" s="13" t="s">
        <v>80</v>
      </c>
      <c r="B21" s="14">
        <f>IFERROR(VLOOKUP(A21,PRICELIST!$A$3:$D$138,4,0),"-")</f>
        <v>128.88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9">
        <f t="shared" ref="CY21:CZ23" si="6">C21+E21+G21+I21+K21+M21+O21+Q21+S21+U21+W21+Y21+AA21+AC21+AE21+AG21+AI21+AK21+AM21+AO21+AQ21+AS21+AU21+AW21+AY21+BA21+BC21+BE21+BG21+BI21+BK21+BM21+BO21+BQ21+BS21+BU21+BW21+BY21+CA21+CC21+CE21+CG21+CI21+CK21+CM21+CO21+CQ21+CS21+CU21+CW21</f>
        <v>0</v>
      </c>
      <c r="CZ21" s="19">
        <f t="shared" si="6"/>
        <v>0</v>
      </c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</row>
    <row r="22" spans="1:122" ht="18" customHeight="1">
      <c r="A22" s="13" t="s">
        <v>10</v>
      </c>
      <c r="B22" s="14">
        <f>IFERROR(VLOOKUP(A22,PRICELIST!$A$3:$D$138,4,0),"-")</f>
        <v>120.53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9">
        <f t="shared" si="6"/>
        <v>0</v>
      </c>
      <c r="CZ22" s="19">
        <f t="shared" si="6"/>
        <v>0</v>
      </c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</row>
    <row r="23" spans="1:122" ht="18" customHeight="1">
      <c r="A23" s="13" t="s">
        <v>11</v>
      </c>
      <c r="B23" s="14">
        <f>IFERROR(VLOOKUP(A23,PRICELIST!$A$3:$D$138,4,0),"-")</f>
        <v>144.29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9">
        <f t="shared" si="6"/>
        <v>0</v>
      </c>
      <c r="CZ23" s="19">
        <f t="shared" si="6"/>
        <v>0</v>
      </c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</row>
    <row r="24" spans="1:122" ht="18" customHeight="1">
      <c r="A24" s="9" t="s">
        <v>12</v>
      </c>
      <c r="B24" s="10"/>
      <c r="C24" s="11">
        <f>SUMPRODUCT($B21:$B23,C21:C23)</f>
        <v>0</v>
      </c>
      <c r="D24" s="11">
        <f t="shared" ref="D24:BO24" si="7">SUMPRODUCT($B21:$B23,D21:D23)</f>
        <v>0</v>
      </c>
      <c r="E24" s="11">
        <f t="shared" si="7"/>
        <v>0</v>
      </c>
      <c r="F24" s="11">
        <f t="shared" si="7"/>
        <v>0</v>
      </c>
      <c r="G24" s="11">
        <f t="shared" si="7"/>
        <v>0</v>
      </c>
      <c r="H24" s="11">
        <f t="shared" si="7"/>
        <v>0</v>
      </c>
      <c r="I24" s="11">
        <f t="shared" si="7"/>
        <v>0</v>
      </c>
      <c r="J24" s="11">
        <f t="shared" si="7"/>
        <v>0</v>
      </c>
      <c r="K24" s="11">
        <f t="shared" si="7"/>
        <v>0</v>
      </c>
      <c r="L24" s="11">
        <f t="shared" si="7"/>
        <v>0</v>
      </c>
      <c r="M24" s="11">
        <f t="shared" si="7"/>
        <v>0</v>
      </c>
      <c r="N24" s="11">
        <f t="shared" si="7"/>
        <v>0</v>
      </c>
      <c r="O24" s="11">
        <f t="shared" si="7"/>
        <v>0</v>
      </c>
      <c r="P24" s="11">
        <f t="shared" si="7"/>
        <v>0</v>
      </c>
      <c r="Q24" s="11">
        <f t="shared" si="7"/>
        <v>0</v>
      </c>
      <c r="R24" s="11">
        <f t="shared" si="7"/>
        <v>0</v>
      </c>
      <c r="S24" s="11">
        <f t="shared" si="7"/>
        <v>0</v>
      </c>
      <c r="T24" s="11">
        <f t="shared" si="7"/>
        <v>0</v>
      </c>
      <c r="U24" s="11">
        <f t="shared" si="7"/>
        <v>0</v>
      </c>
      <c r="V24" s="11">
        <f t="shared" si="7"/>
        <v>0</v>
      </c>
      <c r="W24" s="11">
        <f t="shared" si="7"/>
        <v>0</v>
      </c>
      <c r="X24" s="11">
        <f t="shared" si="7"/>
        <v>0</v>
      </c>
      <c r="Y24" s="11">
        <f t="shared" si="7"/>
        <v>0</v>
      </c>
      <c r="Z24" s="11">
        <f t="shared" si="7"/>
        <v>0</v>
      </c>
      <c r="AA24" s="11">
        <f t="shared" si="7"/>
        <v>0</v>
      </c>
      <c r="AB24" s="11">
        <f t="shared" si="7"/>
        <v>0</v>
      </c>
      <c r="AC24" s="11">
        <f t="shared" si="7"/>
        <v>0</v>
      </c>
      <c r="AD24" s="11">
        <f t="shared" si="7"/>
        <v>0</v>
      </c>
      <c r="AE24" s="11">
        <f t="shared" si="7"/>
        <v>0</v>
      </c>
      <c r="AF24" s="11">
        <f t="shared" si="7"/>
        <v>0</v>
      </c>
      <c r="AG24" s="11">
        <f t="shared" si="7"/>
        <v>0</v>
      </c>
      <c r="AH24" s="11">
        <f t="shared" si="7"/>
        <v>0</v>
      </c>
      <c r="AI24" s="11">
        <f t="shared" si="7"/>
        <v>0</v>
      </c>
      <c r="AJ24" s="11">
        <f t="shared" si="7"/>
        <v>0</v>
      </c>
      <c r="AK24" s="11">
        <f t="shared" si="7"/>
        <v>0</v>
      </c>
      <c r="AL24" s="11">
        <f t="shared" si="7"/>
        <v>0</v>
      </c>
      <c r="AM24" s="11">
        <f t="shared" si="7"/>
        <v>0</v>
      </c>
      <c r="AN24" s="11">
        <f t="shared" si="7"/>
        <v>0</v>
      </c>
      <c r="AO24" s="11">
        <f t="shared" si="7"/>
        <v>0</v>
      </c>
      <c r="AP24" s="11">
        <f t="shared" si="7"/>
        <v>0</v>
      </c>
      <c r="AQ24" s="11">
        <f t="shared" si="7"/>
        <v>0</v>
      </c>
      <c r="AR24" s="11">
        <f t="shared" si="7"/>
        <v>0</v>
      </c>
      <c r="AS24" s="11">
        <f t="shared" si="7"/>
        <v>0</v>
      </c>
      <c r="AT24" s="11">
        <f t="shared" si="7"/>
        <v>0</v>
      </c>
      <c r="AU24" s="11">
        <f t="shared" si="7"/>
        <v>0</v>
      </c>
      <c r="AV24" s="11">
        <f t="shared" si="7"/>
        <v>0</v>
      </c>
      <c r="AW24" s="11">
        <f t="shared" si="7"/>
        <v>0</v>
      </c>
      <c r="AX24" s="11">
        <f t="shared" si="7"/>
        <v>0</v>
      </c>
      <c r="AY24" s="11">
        <f t="shared" si="7"/>
        <v>0</v>
      </c>
      <c r="AZ24" s="11">
        <f t="shared" si="7"/>
        <v>0</v>
      </c>
      <c r="BA24" s="11">
        <f t="shared" si="7"/>
        <v>0</v>
      </c>
      <c r="BB24" s="11">
        <f t="shared" si="7"/>
        <v>0</v>
      </c>
      <c r="BC24" s="11">
        <f t="shared" si="7"/>
        <v>0</v>
      </c>
      <c r="BD24" s="11">
        <f t="shared" si="7"/>
        <v>0</v>
      </c>
      <c r="BE24" s="11">
        <f t="shared" si="7"/>
        <v>0</v>
      </c>
      <c r="BF24" s="11">
        <f t="shared" si="7"/>
        <v>0</v>
      </c>
      <c r="BG24" s="11">
        <f t="shared" si="7"/>
        <v>0</v>
      </c>
      <c r="BH24" s="11">
        <f t="shared" si="7"/>
        <v>0</v>
      </c>
      <c r="BI24" s="11">
        <f t="shared" si="7"/>
        <v>0</v>
      </c>
      <c r="BJ24" s="11">
        <f t="shared" si="7"/>
        <v>0</v>
      </c>
      <c r="BK24" s="11">
        <f t="shared" si="7"/>
        <v>0</v>
      </c>
      <c r="BL24" s="11">
        <f t="shared" si="7"/>
        <v>0</v>
      </c>
      <c r="BM24" s="11">
        <f t="shared" si="7"/>
        <v>0</v>
      </c>
      <c r="BN24" s="11">
        <f t="shared" si="7"/>
        <v>0</v>
      </c>
      <c r="BO24" s="11">
        <f t="shared" si="7"/>
        <v>0</v>
      </c>
      <c r="BP24" s="11">
        <f t="shared" ref="BP24:CZ24" si="8">SUMPRODUCT($B21:$B23,BP21:BP23)</f>
        <v>0</v>
      </c>
      <c r="BQ24" s="11">
        <f t="shared" si="8"/>
        <v>0</v>
      </c>
      <c r="BR24" s="11">
        <f t="shared" si="8"/>
        <v>0</v>
      </c>
      <c r="BS24" s="11">
        <f t="shared" si="8"/>
        <v>0</v>
      </c>
      <c r="BT24" s="11">
        <f t="shared" si="8"/>
        <v>0</v>
      </c>
      <c r="BU24" s="11">
        <f t="shared" si="8"/>
        <v>0</v>
      </c>
      <c r="BV24" s="11">
        <f t="shared" si="8"/>
        <v>0</v>
      </c>
      <c r="BW24" s="11">
        <f t="shared" si="8"/>
        <v>0</v>
      </c>
      <c r="BX24" s="11">
        <f t="shared" si="8"/>
        <v>0</v>
      </c>
      <c r="BY24" s="11">
        <f t="shared" si="8"/>
        <v>0</v>
      </c>
      <c r="BZ24" s="11">
        <f t="shared" si="8"/>
        <v>0</v>
      </c>
      <c r="CA24" s="11">
        <f t="shared" si="8"/>
        <v>0</v>
      </c>
      <c r="CB24" s="11">
        <f t="shared" si="8"/>
        <v>0</v>
      </c>
      <c r="CC24" s="11">
        <f t="shared" si="8"/>
        <v>0</v>
      </c>
      <c r="CD24" s="11">
        <f t="shared" si="8"/>
        <v>0</v>
      </c>
      <c r="CE24" s="11">
        <f t="shared" si="8"/>
        <v>0</v>
      </c>
      <c r="CF24" s="11">
        <f t="shared" si="8"/>
        <v>0</v>
      </c>
      <c r="CG24" s="11">
        <f t="shared" si="8"/>
        <v>0</v>
      </c>
      <c r="CH24" s="11">
        <f t="shared" si="8"/>
        <v>0</v>
      </c>
      <c r="CI24" s="11">
        <f t="shared" si="8"/>
        <v>0</v>
      </c>
      <c r="CJ24" s="11">
        <f t="shared" si="8"/>
        <v>0</v>
      </c>
      <c r="CK24" s="11">
        <f t="shared" si="8"/>
        <v>0</v>
      </c>
      <c r="CL24" s="11">
        <f t="shared" si="8"/>
        <v>0</v>
      </c>
      <c r="CM24" s="11">
        <f t="shared" si="8"/>
        <v>0</v>
      </c>
      <c r="CN24" s="11">
        <f t="shared" si="8"/>
        <v>0</v>
      </c>
      <c r="CO24" s="11">
        <f t="shared" si="8"/>
        <v>0</v>
      </c>
      <c r="CP24" s="11">
        <f t="shared" si="8"/>
        <v>0</v>
      </c>
      <c r="CQ24" s="11">
        <f t="shared" si="8"/>
        <v>0</v>
      </c>
      <c r="CR24" s="11">
        <f t="shared" si="8"/>
        <v>0</v>
      </c>
      <c r="CS24" s="11">
        <f t="shared" si="8"/>
        <v>0</v>
      </c>
      <c r="CT24" s="11">
        <f t="shared" si="8"/>
        <v>0</v>
      </c>
      <c r="CU24" s="11">
        <f t="shared" si="8"/>
        <v>0</v>
      </c>
      <c r="CV24" s="11">
        <f t="shared" si="8"/>
        <v>0</v>
      </c>
      <c r="CW24" s="11">
        <f t="shared" si="8"/>
        <v>0</v>
      </c>
      <c r="CX24" s="11">
        <f t="shared" si="8"/>
        <v>0</v>
      </c>
      <c r="CY24" s="11">
        <f t="shared" si="8"/>
        <v>0</v>
      </c>
      <c r="CZ24" s="11">
        <f t="shared" si="8"/>
        <v>0</v>
      </c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</row>
    <row r="25" spans="1:122" ht="18" customHeight="1">
      <c r="A25" s="13" t="s">
        <v>13</v>
      </c>
      <c r="B25" s="14">
        <f>IFERROR(VLOOKUP(A25,PRICELIST!$A$3:$D$138,4,0),"-")</f>
        <v>110.57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9">
        <f t="shared" ref="CY25:CZ26" si="9">C25+E25+G25+I25+K25+M25+O25+Q25+S25+U25+W25+Y25+AA25+AC25+AE25+AG25+AI25+AK25+AM25+AO25+AQ25+AS25+AU25+AW25+AY25+BA25+BC25+BE25+BG25+BI25+BK25+BM25+BO25+BQ25+BS25+BU25+BW25+BY25+CA25+CC25+CE25+CG25+CI25+CK25+CM25+CO25+CQ25+CS25+CU25+CW25</f>
        <v>0</v>
      </c>
      <c r="CZ25" s="19">
        <f t="shared" si="9"/>
        <v>0</v>
      </c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</row>
    <row r="26" spans="1:122" ht="18" customHeight="1">
      <c r="A26" s="13" t="s">
        <v>14</v>
      </c>
      <c r="B26" s="14">
        <f>IFERROR(VLOOKUP(A26,PRICELIST!$A$3:$D$138,4,0),"-")</f>
        <v>184.82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9">
        <f t="shared" si="9"/>
        <v>0</v>
      </c>
      <c r="CZ26" s="19">
        <f t="shared" si="9"/>
        <v>0</v>
      </c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</row>
    <row r="27" spans="1:122" ht="18" customHeight="1">
      <c r="A27" s="9" t="s">
        <v>15</v>
      </c>
      <c r="B27" s="10"/>
      <c r="C27" s="11">
        <f>SUMPRODUCT($B25:$B26,C25:C26)</f>
        <v>0</v>
      </c>
      <c r="D27" s="11">
        <f t="shared" ref="D27:BO27" si="10">SUMPRODUCT($B25:$B26,D25:D26)</f>
        <v>0</v>
      </c>
      <c r="E27" s="11">
        <f t="shared" si="10"/>
        <v>0</v>
      </c>
      <c r="F27" s="11">
        <f t="shared" si="10"/>
        <v>0</v>
      </c>
      <c r="G27" s="11">
        <f t="shared" si="10"/>
        <v>0</v>
      </c>
      <c r="H27" s="11">
        <f t="shared" si="10"/>
        <v>0</v>
      </c>
      <c r="I27" s="11">
        <f t="shared" si="10"/>
        <v>0</v>
      </c>
      <c r="J27" s="11">
        <f t="shared" si="10"/>
        <v>0</v>
      </c>
      <c r="K27" s="11">
        <f t="shared" si="10"/>
        <v>0</v>
      </c>
      <c r="L27" s="11">
        <f t="shared" si="10"/>
        <v>0</v>
      </c>
      <c r="M27" s="11">
        <f t="shared" si="10"/>
        <v>0</v>
      </c>
      <c r="N27" s="11">
        <f t="shared" si="10"/>
        <v>0</v>
      </c>
      <c r="O27" s="11">
        <f t="shared" si="10"/>
        <v>0</v>
      </c>
      <c r="P27" s="11">
        <f t="shared" si="10"/>
        <v>0</v>
      </c>
      <c r="Q27" s="11">
        <f t="shared" si="10"/>
        <v>0</v>
      </c>
      <c r="R27" s="11">
        <f t="shared" si="10"/>
        <v>0</v>
      </c>
      <c r="S27" s="11">
        <f t="shared" si="10"/>
        <v>0</v>
      </c>
      <c r="T27" s="11">
        <f t="shared" si="10"/>
        <v>0</v>
      </c>
      <c r="U27" s="11">
        <f t="shared" si="10"/>
        <v>0</v>
      </c>
      <c r="V27" s="11">
        <f t="shared" si="10"/>
        <v>0</v>
      </c>
      <c r="W27" s="11">
        <f t="shared" si="10"/>
        <v>0</v>
      </c>
      <c r="X27" s="11">
        <f t="shared" si="10"/>
        <v>0</v>
      </c>
      <c r="Y27" s="11">
        <f t="shared" si="10"/>
        <v>0</v>
      </c>
      <c r="Z27" s="11">
        <f t="shared" si="10"/>
        <v>0</v>
      </c>
      <c r="AA27" s="11">
        <f t="shared" si="10"/>
        <v>0</v>
      </c>
      <c r="AB27" s="11">
        <f t="shared" si="10"/>
        <v>0</v>
      </c>
      <c r="AC27" s="11">
        <f t="shared" si="10"/>
        <v>0</v>
      </c>
      <c r="AD27" s="11">
        <f t="shared" si="10"/>
        <v>0</v>
      </c>
      <c r="AE27" s="11">
        <f t="shared" si="10"/>
        <v>0</v>
      </c>
      <c r="AF27" s="11">
        <f t="shared" si="10"/>
        <v>0</v>
      </c>
      <c r="AG27" s="11">
        <f t="shared" si="10"/>
        <v>0</v>
      </c>
      <c r="AH27" s="11">
        <f t="shared" si="10"/>
        <v>0</v>
      </c>
      <c r="AI27" s="11">
        <f t="shared" si="10"/>
        <v>0</v>
      </c>
      <c r="AJ27" s="11">
        <f t="shared" si="10"/>
        <v>0</v>
      </c>
      <c r="AK27" s="11">
        <f t="shared" si="10"/>
        <v>0</v>
      </c>
      <c r="AL27" s="11">
        <f t="shared" si="10"/>
        <v>0</v>
      </c>
      <c r="AM27" s="11">
        <f t="shared" si="10"/>
        <v>0</v>
      </c>
      <c r="AN27" s="11">
        <f t="shared" si="10"/>
        <v>0</v>
      </c>
      <c r="AO27" s="11">
        <f t="shared" si="10"/>
        <v>0</v>
      </c>
      <c r="AP27" s="11">
        <f t="shared" si="10"/>
        <v>0</v>
      </c>
      <c r="AQ27" s="11">
        <f t="shared" si="10"/>
        <v>0</v>
      </c>
      <c r="AR27" s="11">
        <f t="shared" si="10"/>
        <v>0</v>
      </c>
      <c r="AS27" s="11">
        <f t="shared" si="10"/>
        <v>0</v>
      </c>
      <c r="AT27" s="11">
        <f t="shared" si="10"/>
        <v>0</v>
      </c>
      <c r="AU27" s="11">
        <f t="shared" si="10"/>
        <v>0</v>
      </c>
      <c r="AV27" s="11">
        <f t="shared" si="10"/>
        <v>0</v>
      </c>
      <c r="AW27" s="11">
        <f t="shared" si="10"/>
        <v>0</v>
      </c>
      <c r="AX27" s="11">
        <f t="shared" si="10"/>
        <v>0</v>
      </c>
      <c r="AY27" s="11">
        <f t="shared" si="10"/>
        <v>0</v>
      </c>
      <c r="AZ27" s="11">
        <f t="shared" si="10"/>
        <v>0</v>
      </c>
      <c r="BA27" s="11">
        <f t="shared" si="10"/>
        <v>0</v>
      </c>
      <c r="BB27" s="11">
        <f t="shared" si="10"/>
        <v>0</v>
      </c>
      <c r="BC27" s="11">
        <f t="shared" si="10"/>
        <v>0</v>
      </c>
      <c r="BD27" s="11">
        <f t="shared" si="10"/>
        <v>0</v>
      </c>
      <c r="BE27" s="11">
        <f t="shared" si="10"/>
        <v>0</v>
      </c>
      <c r="BF27" s="11">
        <f t="shared" si="10"/>
        <v>0</v>
      </c>
      <c r="BG27" s="11">
        <f t="shared" si="10"/>
        <v>0</v>
      </c>
      <c r="BH27" s="11">
        <f t="shared" si="10"/>
        <v>0</v>
      </c>
      <c r="BI27" s="11">
        <f t="shared" si="10"/>
        <v>0</v>
      </c>
      <c r="BJ27" s="11">
        <f t="shared" si="10"/>
        <v>0</v>
      </c>
      <c r="BK27" s="11">
        <f t="shared" si="10"/>
        <v>0</v>
      </c>
      <c r="BL27" s="11">
        <f t="shared" si="10"/>
        <v>0</v>
      </c>
      <c r="BM27" s="11">
        <f t="shared" si="10"/>
        <v>0</v>
      </c>
      <c r="BN27" s="11">
        <f t="shared" si="10"/>
        <v>0</v>
      </c>
      <c r="BO27" s="11">
        <f t="shared" si="10"/>
        <v>0</v>
      </c>
      <c r="BP27" s="11">
        <f t="shared" ref="BP27:CZ27" si="11">SUMPRODUCT($B25:$B26,BP25:BP26)</f>
        <v>0</v>
      </c>
      <c r="BQ27" s="11">
        <f t="shared" si="11"/>
        <v>0</v>
      </c>
      <c r="BR27" s="11">
        <f t="shared" si="11"/>
        <v>0</v>
      </c>
      <c r="BS27" s="11">
        <f t="shared" si="11"/>
        <v>0</v>
      </c>
      <c r="BT27" s="11">
        <f t="shared" si="11"/>
        <v>0</v>
      </c>
      <c r="BU27" s="11">
        <f t="shared" si="11"/>
        <v>0</v>
      </c>
      <c r="BV27" s="11">
        <f t="shared" si="11"/>
        <v>0</v>
      </c>
      <c r="BW27" s="11">
        <f t="shared" si="11"/>
        <v>0</v>
      </c>
      <c r="BX27" s="11">
        <f t="shared" si="11"/>
        <v>0</v>
      </c>
      <c r="BY27" s="11">
        <f t="shared" si="11"/>
        <v>0</v>
      </c>
      <c r="BZ27" s="11">
        <f t="shared" si="11"/>
        <v>0</v>
      </c>
      <c r="CA27" s="11">
        <f t="shared" si="11"/>
        <v>0</v>
      </c>
      <c r="CB27" s="11">
        <f t="shared" si="11"/>
        <v>0</v>
      </c>
      <c r="CC27" s="11">
        <f t="shared" si="11"/>
        <v>0</v>
      </c>
      <c r="CD27" s="11">
        <f t="shared" si="11"/>
        <v>0</v>
      </c>
      <c r="CE27" s="11">
        <f t="shared" si="11"/>
        <v>0</v>
      </c>
      <c r="CF27" s="11">
        <f t="shared" si="11"/>
        <v>0</v>
      </c>
      <c r="CG27" s="11">
        <f t="shared" si="11"/>
        <v>0</v>
      </c>
      <c r="CH27" s="11">
        <f t="shared" si="11"/>
        <v>0</v>
      </c>
      <c r="CI27" s="11">
        <f t="shared" si="11"/>
        <v>0</v>
      </c>
      <c r="CJ27" s="11">
        <f t="shared" si="11"/>
        <v>0</v>
      </c>
      <c r="CK27" s="11">
        <f t="shared" si="11"/>
        <v>0</v>
      </c>
      <c r="CL27" s="11">
        <f t="shared" si="11"/>
        <v>0</v>
      </c>
      <c r="CM27" s="11">
        <f t="shared" si="11"/>
        <v>0</v>
      </c>
      <c r="CN27" s="11">
        <f t="shared" si="11"/>
        <v>0</v>
      </c>
      <c r="CO27" s="11">
        <f t="shared" si="11"/>
        <v>0</v>
      </c>
      <c r="CP27" s="11">
        <f t="shared" si="11"/>
        <v>0</v>
      </c>
      <c r="CQ27" s="11">
        <f t="shared" si="11"/>
        <v>0</v>
      </c>
      <c r="CR27" s="11">
        <f t="shared" si="11"/>
        <v>0</v>
      </c>
      <c r="CS27" s="11">
        <f t="shared" si="11"/>
        <v>0</v>
      </c>
      <c r="CT27" s="11">
        <f t="shared" si="11"/>
        <v>0</v>
      </c>
      <c r="CU27" s="11">
        <f t="shared" si="11"/>
        <v>0</v>
      </c>
      <c r="CV27" s="11">
        <f t="shared" si="11"/>
        <v>0</v>
      </c>
      <c r="CW27" s="11">
        <f t="shared" si="11"/>
        <v>0</v>
      </c>
      <c r="CX27" s="11">
        <f t="shared" si="11"/>
        <v>0</v>
      </c>
      <c r="CY27" s="11">
        <f t="shared" si="11"/>
        <v>0</v>
      </c>
      <c r="CZ27" s="11">
        <f t="shared" si="11"/>
        <v>0</v>
      </c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</row>
    <row r="28" spans="1:122" ht="18" customHeight="1">
      <c r="A28" s="13" t="s">
        <v>16</v>
      </c>
      <c r="B28" s="14">
        <f>IFERROR(VLOOKUP(A28,PRICELIST!$A$3:$D$138,4,0),"-")</f>
        <v>113.79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9">
        <f t="shared" ref="CY28:CZ33" si="12">C28+E28+G28+I28+K28+M28+O28+Q28+S28+U28+W28+Y28+AA28+AC28+AE28+AG28+AI28+AK28+AM28+AO28+AQ28+AS28+AU28+AW28+AY28+BA28+BC28+BE28+BG28+BI28+BK28+BM28+BO28+BQ28+BS28+BU28+BW28+BY28+CA28+CC28+CE28+CG28+CI28+CK28+CM28+CO28+CQ28+CS28+CU28+CW28</f>
        <v>0</v>
      </c>
      <c r="CZ28" s="19">
        <f t="shared" si="12"/>
        <v>0</v>
      </c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</row>
    <row r="29" spans="1:122" ht="18" customHeight="1">
      <c r="A29" s="13" t="s">
        <v>17</v>
      </c>
      <c r="B29" s="14">
        <f>IFERROR(VLOOKUP(A29,PRICELIST!$A$3:$D$138,4,0),"-")</f>
        <v>188.04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9">
        <f t="shared" si="12"/>
        <v>0</v>
      </c>
      <c r="CZ29" s="19">
        <f t="shared" si="12"/>
        <v>0</v>
      </c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</row>
    <row r="30" spans="1:122" ht="18" customHeight="1">
      <c r="A30" s="13" t="s">
        <v>18</v>
      </c>
      <c r="B30" s="14">
        <f>IFERROR(VLOOKUP(A30,PRICELIST!$A$3:$D$138,4,0),"-")</f>
        <v>68.16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9">
        <f t="shared" si="12"/>
        <v>0</v>
      </c>
      <c r="CZ30" s="19">
        <f t="shared" si="12"/>
        <v>0</v>
      </c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</row>
    <row r="31" spans="1:122" ht="18" customHeight="1">
      <c r="A31" s="13" t="s">
        <v>19</v>
      </c>
      <c r="B31" s="14">
        <f>IFERROR(VLOOKUP(A31,PRICELIST!$A$3:$D$138,4,0),"-")</f>
        <v>101.57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9">
        <f t="shared" si="12"/>
        <v>0</v>
      </c>
      <c r="CZ31" s="19">
        <f t="shared" si="12"/>
        <v>0</v>
      </c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</row>
    <row r="32" spans="1:122" ht="18" customHeight="1">
      <c r="A32" s="13" t="s">
        <v>20</v>
      </c>
      <c r="B32" s="14">
        <f>IFERROR(VLOOKUP(A32,PRICELIST!$A$3:$D$138,4,0),"-")</f>
        <v>164.73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9">
        <f t="shared" si="12"/>
        <v>0</v>
      </c>
      <c r="CZ32" s="19">
        <f t="shared" si="12"/>
        <v>0</v>
      </c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</row>
    <row r="33" spans="1:122" ht="18" customHeight="1">
      <c r="A33" s="13" t="s">
        <v>21</v>
      </c>
      <c r="B33" s="14">
        <f>IFERROR(VLOOKUP(A33,PRICELIST!$A$3:$D$138,4,0),"-")</f>
        <v>78.099999999999994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9">
        <f t="shared" si="12"/>
        <v>0</v>
      </c>
      <c r="CZ33" s="19">
        <f t="shared" si="12"/>
        <v>0</v>
      </c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</row>
    <row r="34" spans="1:122" ht="18" customHeight="1">
      <c r="A34" s="9" t="s">
        <v>22</v>
      </c>
      <c r="B34" s="10"/>
      <c r="C34" s="11">
        <f>SUMPRODUCT($B28:$B33,C28:C33)</f>
        <v>0</v>
      </c>
      <c r="D34" s="11">
        <f t="shared" ref="D34:BO34" si="13">SUMPRODUCT($B28:$B33,D28:D33)</f>
        <v>0</v>
      </c>
      <c r="E34" s="11">
        <f t="shared" si="13"/>
        <v>0</v>
      </c>
      <c r="F34" s="11">
        <f t="shared" si="13"/>
        <v>0</v>
      </c>
      <c r="G34" s="11">
        <f t="shared" si="13"/>
        <v>0</v>
      </c>
      <c r="H34" s="11">
        <f t="shared" si="13"/>
        <v>0</v>
      </c>
      <c r="I34" s="11">
        <f t="shared" si="13"/>
        <v>0</v>
      </c>
      <c r="J34" s="11">
        <f t="shared" si="13"/>
        <v>0</v>
      </c>
      <c r="K34" s="11">
        <f t="shared" si="13"/>
        <v>0</v>
      </c>
      <c r="L34" s="11">
        <f t="shared" si="13"/>
        <v>0</v>
      </c>
      <c r="M34" s="11">
        <f t="shared" si="13"/>
        <v>0</v>
      </c>
      <c r="N34" s="11">
        <f t="shared" si="13"/>
        <v>0</v>
      </c>
      <c r="O34" s="11">
        <f t="shared" si="13"/>
        <v>0</v>
      </c>
      <c r="P34" s="11">
        <f t="shared" si="13"/>
        <v>0</v>
      </c>
      <c r="Q34" s="11">
        <f t="shared" si="13"/>
        <v>0</v>
      </c>
      <c r="R34" s="11">
        <f t="shared" si="13"/>
        <v>0</v>
      </c>
      <c r="S34" s="11">
        <f t="shared" si="13"/>
        <v>0</v>
      </c>
      <c r="T34" s="11">
        <f t="shared" si="13"/>
        <v>0</v>
      </c>
      <c r="U34" s="11">
        <f t="shared" si="13"/>
        <v>0</v>
      </c>
      <c r="V34" s="11">
        <f t="shared" si="13"/>
        <v>0</v>
      </c>
      <c r="W34" s="11">
        <f t="shared" si="13"/>
        <v>0</v>
      </c>
      <c r="X34" s="11">
        <f t="shared" si="13"/>
        <v>0</v>
      </c>
      <c r="Y34" s="11">
        <f t="shared" si="13"/>
        <v>0</v>
      </c>
      <c r="Z34" s="11">
        <f t="shared" si="13"/>
        <v>0</v>
      </c>
      <c r="AA34" s="11">
        <f t="shared" si="13"/>
        <v>0</v>
      </c>
      <c r="AB34" s="11">
        <f t="shared" si="13"/>
        <v>0</v>
      </c>
      <c r="AC34" s="11">
        <f t="shared" si="13"/>
        <v>0</v>
      </c>
      <c r="AD34" s="11">
        <f t="shared" si="13"/>
        <v>0</v>
      </c>
      <c r="AE34" s="11">
        <f t="shared" si="13"/>
        <v>0</v>
      </c>
      <c r="AF34" s="11">
        <f t="shared" si="13"/>
        <v>0</v>
      </c>
      <c r="AG34" s="11">
        <f t="shared" si="13"/>
        <v>0</v>
      </c>
      <c r="AH34" s="11">
        <f t="shared" si="13"/>
        <v>0</v>
      </c>
      <c r="AI34" s="11">
        <f t="shared" si="13"/>
        <v>0</v>
      </c>
      <c r="AJ34" s="11">
        <f t="shared" si="13"/>
        <v>0</v>
      </c>
      <c r="AK34" s="11">
        <f t="shared" si="13"/>
        <v>0</v>
      </c>
      <c r="AL34" s="11">
        <f t="shared" si="13"/>
        <v>0</v>
      </c>
      <c r="AM34" s="11">
        <f t="shared" si="13"/>
        <v>0</v>
      </c>
      <c r="AN34" s="11">
        <f t="shared" si="13"/>
        <v>0</v>
      </c>
      <c r="AO34" s="11">
        <f t="shared" si="13"/>
        <v>0</v>
      </c>
      <c r="AP34" s="11">
        <f t="shared" si="13"/>
        <v>0</v>
      </c>
      <c r="AQ34" s="11">
        <f t="shared" si="13"/>
        <v>0</v>
      </c>
      <c r="AR34" s="11">
        <f t="shared" si="13"/>
        <v>0</v>
      </c>
      <c r="AS34" s="11">
        <f t="shared" si="13"/>
        <v>0</v>
      </c>
      <c r="AT34" s="11">
        <f t="shared" si="13"/>
        <v>0</v>
      </c>
      <c r="AU34" s="11">
        <f t="shared" si="13"/>
        <v>0</v>
      </c>
      <c r="AV34" s="11">
        <f t="shared" si="13"/>
        <v>0</v>
      </c>
      <c r="AW34" s="11">
        <f t="shared" si="13"/>
        <v>0</v>
      </c>
      <c r="AX34" s="11">
        <f t="shared" si="13"/>
        <v>0</v>
      </c>
      <c r="AY34" s="11">
        <f t="shared" si="13"/>
        <v>0</v>
      </c>
      <c r="AZ34" s="11">
        <f t="shared" si="13"/>
        <v>0</v>
      </c>
      <c r="BA34" s="11">
        <f t="shared" si="13"/>
        <v>0</v>
      </c>
      <c r="BB34" s="11">
        <f t="shared" si="13"/>
        <v>0</v>
      </c>
      <c r="BC34" s="11">
        <f t="shared" si="13"/>
        <v>0</v>
      </c>
      <c r="BD34" s="11">
        <f t="shared" si="13"/>
        <v>0</v>
      </c>
      <c r="BE34" s="11">
        <f t="shared" si="13"/>
        <v>0</v>
      </c>
      <c r="BF34" s="11">
        <f t="shared" si="13"/>
        <v>0</v>
      </c>
      <c r="BG34" s="11">
        <f t="shared" si="13"/>
        <v>0</v>
      </c>
      <c r="BH34" s="11">
        <f t="shared" si="13"/>
        <v>0</v>
      </c>
      <c r="BI34" s="11">
        <f t="shared" si="13"/>
        <v>0</v>
      </c>
      <c r="BJ34" s="11">
        <f t="shared" si="13"/>
        <v>0</v>
      </c>
      <c r="BK34" s="11">
        <f t="shared" si="13"/>
        <v>0</v>
      </c>
      <c r="BL34" s="11">
        <f t="shared" si="13"/>
        <v>0</v>
      </c>
      <c r="BM34" s="11">
        <f t="shared" si="13"/>
        <v>0</v>
      </c>
      <c r="BN34" s="11">
        <f t="shared" si="13"/>
        <v>0</v>
      </c>
      <c r="BO34" s="11">
        <f t="shared" si="13"/>
        <v>0</v>
      </c>
      <c r="BP34" s="11">
        <f t="shared" ref="BP34:CZ34" si="14">SUMPRODUCT($B28:$B33,BP28:BP33)</f>
        <v>0</v>
      </c>
      <c r="BQ34" s="11">
        <f t="shared" si="14"/>
        <v>0</v>
      </c>
      <c r="BR34" s="11">
        <f t="shared" si="14"/>
        <v>0</v>
      </c>
      <c r="BS34" s="11">
        <f t="shared" si="14"/>
        <v>0</v>
      </c>
      <c r="BT34" s="11">
        <f t="shared" si="14"/>
        <v>0</v>
      </c>
      <c r="BU34" s="11">
        <f t="shared" si="14"/>
        <v>0</v>
      </c>
      <c r="BV34" s="11">
        <f t="shared" si="14"/>
        <v>0</v>
      </c>
      <c r="BW34" s="11">
        <f t="shared" si="14"/>
        <v>0</v>
      </c>
      <c r="BX34" s="11">
        <f t="shared" si="14"/>
        <v>0</v>
      </c>
      <c r="BY34" s="11">
        <f t="shared" si="14"/>
        <v>0</v>
      </c>
      <c r="BZ34" s="11">
        <f t="shared" si="14"/>
        <v>0</v>
      </c>
      <c r="CA34" s="11">
        <f t="shared" si="14"/>
        <v>0</v>
      </c>
      <c r="CB34" s="11">
        <f t="shared" si="14"/>
        <v>0</v>
      </c>
      <c r="CC34" s="11">
        <f t="shared" si="14"/>
        <v>0</v>
      </c>
      <c r="CD34" s="11">
        <f t="shared" si="14"/>
        <v>0</v>
      </c>
      <c r="CE34" s="11">
        <f t="shared" si="14"/>
        <v>0</v>
      </c>
      <c r="CF34" s="11">
        <f t="shared" si="14"/>
        <v>0</v>
      </c>
      <c r="CG34" s="11">
        <f t="shared" si="14"/>
        <v>0</v>
      </c>
      <c r="CH34" s="11">
        <f t="shared" si="14"/>
        <v>0</v>
      </c>
      <c r="CI34" s="11">
        <f t="shared" si="14"/>
        <v>0</v>
      </c>
      <c r="CJ34" s="11">
        <f t="shared" si="14"/>
        <v>0</v>
      </c>
      <c r="CK34" s="11">
        <f t="shared" si="14"/>
        <v>0</v>
      </c>
      <c r="CL34" s="11">
        <f t="shared" si="14"/>
        <v>0</v>
      </c>
      <c r="CM34" s="11">
        <f t="shared" si="14"/>
        <v>0</v>
      </c>
      <c r="CN34" s="11">
        <f t="shared" si="14"/>
        <v>0</v>
      </c>
      <c r="CO34" s="11">
        <f t="shared" si="14"/>
        <v>0</v>
      </c>
      <c r="CP34" s="11">
        <f t="shared" si="14"/>
        <v>0</v>
      </c>
      <c r="CQ34" s="11">
        <f t="shared" si="14"/>
        <v>0</v>
      </c>
      <c r="CR34" s="11">
        <f t="shared" si="14"/>
        <v>0</v>
      </c>
      <c r="CS34" s="11">
        <f t="shared" si="14"/>
        <v>0</v>
      </c>
      <c r="CT34" s="11">
        <f t="shared" si="14"/>
        <v>0</v>
      </c>
      <c r="CU34" s="11">
        <f t="shared" si="14"/>
        <v>0</v>
      </c>
      <c r="CV34" s="11">
        <f t="shared" si="14"/>
        <v>0</v>
      </c>
      <c r="CW34" s="11">
        <f t="shared" si="14"/>
        <v>0</v>
      </c>
      <c r="CX34" s="11">
        <f t="shared" si="14"/>
        <v>0</v>
      </c>
      <c r="CY34" s="11">
        <f t="shared" si="14"/>
        <v>0</v>
      </c>
      <c r="CZ34" s="11">
        <f t="shared" si="14"/>
        <v>0</v>
      </c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</row>
    <row r="35" spans="1:122" ht="18" customHeight="1">
      <c r="A35" s="13" t="s">
        <v>23</v>
      </c>
      <c r="B35" s="14">
        <f>IFERROR(VLOOKUP(A35,PRICELIST!$A$3:$D$138,4,0),"-")</f>
        <v>60.11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9">
        <f t="shared" ref="CY35:CZ36" si="15">C35+E35+G35+I35+K35+M35+O35+Q35+S35+U35+W35+Y35+AA35+AC35+AE35+AG35+AI35+AK35+AM35+AO35+AQ35+AS35+AU35+AW35+AY35+BA35+BC35+BE35+BG35+BI35+BK35+BM35+BO35+BQ35+BS35+BU35+BW35+BY35+CA35+CC35+CE35+CG35+CI35+CK35+CM35+CO35+CQ35+CS35+CU35+CW35</f>
        <v>0</v>
      </c>
      <c r="CZ35" s="19">
        <f t="shared" si="15"/>
        <v>0</v>
      </c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</row>
    <row r="36" spans="1:122" ht="18" customHeight="1">
      <c r="A36" s="13" t="s">
        <v>24</v>
      </c>
      <c r="B36" s="14">
        <f>IFERROR(VLOOKUP(A36,PRICELIST!$A$3:$D$138,4,0),"-")</f>
        <v>91.2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9">
        <f t="shared" si="15"/>
        <v>0</v>
      </c>
      <c r="CZ36" s="19">
        <f t="shared" si="15"/>
        <v>0</v>
      </c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</row>
    <row r="37" spans="1:122" ht="18" customHeight="1">
      <c r="A37" s="9" t="s">
        <v>25</v>
      </c>
      <c r="B37" s="10"/>
      <c r="C37" s="11">
        <f>SUMPRODUCT($B35:$B36,C35:C36)</f>
        <v>0</v>
      </c>
      <c r="D37" s="11">
        <f t="shared" ref="D37:BO37" si="16">SUMPRODUCT($B35:$B36,D35:D36)</f>
        <v>0</v>
      </c>
      <c r="E37" s="11">
        <f t="shared" si="16"/>
        <v>0</v>
      </c>
      <c r="F37" s="11">
        <f t="shared" si="16"/>
        <v>0</v>
      </c>
      <c r="G37" s="11">
        <f t="shared" si="16"/>
        <v>0</v>
      </c>
      <c r="H37" s="11">
        <f t="shared" si="16"/>
        <v>0</v>
      </c>
      <c r="I37" s="11">
        <f t="shared" si="16"/>
        <v>0</v>
      </c>
      <c r="J37" s="11">
        <f t="shared" si="16"/>
        <v>0</v>
      </c>
      <c r="K37" s="11">
        <f t="shared" si="16"/>
        <v>0</v>
      </c>
      <c r="L37" s="11">
        <f t="shared" si="16"/>
        <v>0</v>
      </c>
      <c r="M37" s="11">
        <f t="shared" si="16"/>
        <v>0</v>
      </c>
      <c r="N37" s="11">
        <f t="shared" si="16"/>
        <v>0</v>
      </c>
      <c r="O37" s="11">
        <f t="shared" si="16"/>
        <v>0</v>
      </c>
      <c r="P37" s="11">
        <f t="shared" si="16"/>
        <v>0</v>
      </c>
      <c r="Q37" s="11">
        <f t="shared" si="16"/>
        <v>0</v>
      </c>
      <c r="R37" s="11">
        <f t="shared" si="16"/>
        <v>0</v>
      </c>
      <c r="S37" s="11">
        <f t="shared" si="16"/>
        <v>0</v>
      </c>
      <c r="T37" s="11">
        <f t="shared" si="16"/>
        <v>0</v>
      </c>
      <c r="U37" s="11">
        <f t="shared" si="16"/>
        <v>0</v>
      </c>
      <c r="V37" s="11">
        <f t="shared" si="16"/>
        <v>0</v>
      </c>
      <c r="W37" s="11">
        <f t="shared" si="16"/>
        <v>0</v>
      </c>
      <c r="X37" s="11">
        <f t="shared" si="16"/>
        <v>0</v>
      </c>
      <c r="Y37" s="11">
        <f t="shared" si="16"/>
        <v>0</v>
      </c>
      <c r="Z37" s="11">
        <f t="shared" si="16"/>
        <v>0</v>
      </c>
      <c r="AA37" s="11">
        <f t="shared" si="16"/>
        <v>0</v>
      </c>
      <c r="AB37" s="11">
        <f t="shared" si="16"/>
        <v>0</v>
      </c>
      <c r="AC37" s="11">
        <f t="shared" si="16"/>
        <v>0</v>
      </c>
      <c r="AD37" s="11">
        <f t="shared" si="16"/>
        <v>0</v>
      </c>
      <c r="AE37" s="11">
        <f t="shared" si="16"/>
        <v>0</v>
      </c>
      <c r="AF37" s="11">
        <f t="shared" si="16"/>
        <v>0</v>
      </c>
      <c r="AG37" s="11">
        <f t="shared" si="16"/>
        <v>0</v>
      </c>
      <c r="AH37" s="11">
        <f t="shared" si="16"/>
        <v>0</v>
      </c>
      <c r="AI37" s="11">
        <f t="shared" si="16"/>
        <v>0</v>
      </c>
      <c r="AJ37" s="11">
        <f t="shared" si="16"/>
        <v>0</v>
      </c>
      <c r="AK37" s="11">
        <f t="shared" si="16"/>
        <v>0</v>
      </c>
      <c r="AL37" s="11">
        <f t="shared" si="16"/>
        <v>0</v>
      </c>
      <c r="AM37" s="11">
        <f t="shared" si="16"/>
        <v>0</v>
      </c>
      <c r="AN37" s="11">
        <f t="shared" si="16"/>
        <v>0</v>
      </c>
      <c r="AO37" s="11">
        <f t="shared" si="16"/>
        <v>0</v>
      </c>
      <c r="AP37" s="11">
        <f t="shared" si="16"/>
        <v>0</v>
      </c>
      <c r="AQ37" s="11">
        <f t="shared" si="16"/>
        <v>0</v>
      </c>
      <c r="AR37" s="11">
        <f t="shared" si="16"/>
        <v>0</v>
      </c>
      <c r="AS37" s="11">
        <f t="shared" si="16"/>
        <v>0</v>
      </c>
      <c r="AT37" s="11">
        <f t="shared" si="16"/>
        <v>0</v>
      </c>
      <c r="AU37" s="11">
        <f t="shared" si="16"/>
        <v>0</v>
      </c>
      <c r="AV37" s="11">
        <f t="shared" si="16"/>
        <v>0</v>
      </c>
      <c r="AW37" s="11">
        <f t="shared" si="16"/>
        <v>0</v>
      </c>
      <c r="AX37" s="11">
        <f t="shared" si="16"/>
        <v>0</v>
      </c>
      <c r="AY37" s="11">
        <f t="shared" si="16"/>
        <v>0</v>
      </c>
      <c r="AZ37" s="11">
        <f t="shared" si="16"/>
        <v>0</v>
      </c>
      <c r="BA37" s="11">
        <f t="shared" si="16"/>
        <v>0</v>
      </c>
      <c r="BB37" s="11">
        <f t="shared" si="16"/>
        <v>0</v>
      </c>
      <c r="BC37" s="11">
        <f t="shared" si="16"/>
        <v>0</v>
      </c>
      <c r="BD37" s="11">
        <f t="shared" si="16"/>
        <v>0</v>
      </c>
      <c r="BE37" s="11">
        <f t="shared" si="16"/>
        <v>0</v>
      </c>
      <c r="BF37" s="11">
        <f t="shared" si="16"/>
        <v>0</v>
      </c>
      <c r="BG37" s="11">
        <f t="shared" si="16"/>
        <v>0</v>
      </c>
      <c r="BH37" s="11">
        <f t="shared" si="16"/>
        <v>0</v>
      </c>
      <c r="BI37" s="11">
        <f t="shared" si="16"/>
        <v>0</v>
      </c>
      <c r="BJ37" s="11">
        <f t="shared" si="16"/>
        <v>0</v>
      </c>
      <c r="BK37" s="11">
        <f t="shared" si="16"/>
        <v>0</v>
      </c>
      <c r="BL37" s="11">
        <f t="shared" si="16"/>
        <v>0</v>
      </c>
      <c r="BM37" s="11">
        <f t="shared" si="16"/>
        <v>0</v>
      </c>
      <c r="BN37" s="11">
        <f t="shared" si="16"/>
        <v>0</v>
      </c>
      <c r="BO37" s="11">
        <f t="shared" si="16"/>
        <v>0</v>
      </c>
      <c r="BP37" s="11">
        <f t="shared" ref="BP37:CZ37" si="17">SUMPRODUCT($B35:$B36,BP35:BP36)</f>
        <v>0</v>
      </c>
      <c r="BQ37" s="11">
        <f t="shared" si="17"/>
        <v>0</v>
      </c>
      <c r="BR37" s="11">
        <f t="shared" si="17"/>
        <v>0</v>
      </c>
      <c r="BS37" s="11">
        <f t="shared" si="17"/>
        <v>0</v>
      </c>
      <c r="BT37" s="11">
        <f t="shared" si="17"/>
        <v>0</v>
      </c>
      <c r="BU37" s="11">
        <f t="shared" si="17"/>
        <v>0</v>
      </c>
      <c r="BV37" s="11">
        <f t="shared" si="17"/>
        <v>0</v>
      </c>
      <c r="BW37" s="11">
        <f t="shared" si="17"/>
        <v>0</v>
      </c>
      <c r="BX37" s="11">
        <f t="shared" si="17"/>
        <v>0</v>
      </c>
      <c r="BY37" s="11">
        <f t="shared" si="17"/>
        <v>0</v>
      </c>
      <c r="BZ37" s="11">
        <f t="shared" si="17"/>
        <v>0</v>
      </c>
      <c r="CA37" s="11">
        <f t="shared" si="17"/>
        <v>0</v>
      </c>
      <c r="CB37" s="11">
        <f t="shared" si="17"/>
        <v>0</v>
      </c>
      <c r="CC37" s="11">
        <f t="shared" si="17"/>
        <v>0</v>
      </c>
      <c r="CD37" s="11">
        <f t="shared" si="17"/>
        <v>0</v>
      </c>
      <c r="CE37" s="11">
        <f t="shared" si="17"/>
        <v>0</v>
      </c>
      <c r="CF37" s="11">
        <f t="shared" si="17"/>
        <v>0</v>
      </c>
      <c r="CG37" s="11">
        <f t="shared" si="17"/>
        <v>0</v>
      </c>
      <c r="CH37" s="11">
        <f t="shared" si="17"/>
        <v>0</v>
      </c>
      <c r="CI37" s="11">
        <f t="shared" si="17"/>
        <v>0</v>
      </c>
      <c r="CJ37" s="11">
        <f t="shared" si="17"/>
        <v>0</v>
      </c>
      <c r="CK37" s="11">
        <f t="shared" si="17"/>
        <v>0</v>
      </c>
      <c r="CL37" s="11">
        <f t="shared" si="17"/>
        <v>0</v>
      </c>
      <c r="CM37" s="11">
        <f t="shared" si="17"/>
        <v>0</v>
      </c>
      <c r="CN37" s="11">
        <f t="shared" si="17"/>
        <v>0</v>
      </c>
      <c r="CO37" s="11">
        <f t="shared" si="17"/>
        <v>0</v>
      </c>
      <c r="CP37" s="11">
        <f t="shared" si="17"/>
        <v>0</v>
      </c>
      <c r="CQ37" s="11">
        <f t="shared" si="17"/>
        <v>0</v>
      </c>
      <c r="CR37" s="11">
        <f t="shared" si="17"/>
        <v>0</v>
      </c>
      <c r="CS37" s="11">
        <f t="shared" si="17"/>
        <v>0</v>
      </c>
      <c r="CT37" s="11">
        <f t="shared" si="17"/>
        <v>0</v>
      </c>
      <c r="CU37" s="11">
        <f t="shared" si="17"/>
        <v>0</v>
      </c>
      <c r="CV37" s="11">
        <f t="shared" si="17"/>
        <v>0</v>
      </c>
      <c r="CW37" s="11">
        <f t="shared" si="17"/>
        <v>0</v>
      </c>
      <c r="CX37" s="11">
        <f t="shared" si="17"/>
        <v>0</v>
      </c>
      <c r="CY37" s="11">
        <f t="shared" si="17"/>
        <v>0</v>
      </c>
      <c r="CZ37" s="11">
        <f t="shared" si="17"/>
        <v>0</v>
      </c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</row>
    <row r="38" spans="1:122" ht="18" customHeight="1">
      <c r="A38" s="13" t="s">
        <v>26</v>
      </c>
      <c r="B38" s="14">
        <f>IFERROR(VLOOKUP(A38,PRICELIST!$A$3:$D$138,4,0),"-")</f>
        <v>159.75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9">
        <f t="shared" ref="CY38:CZ39" si="18">C38+E38+G38+I38+K38+M38+O38+Q38+S38+U38+W38+Y38+AA38+AC38+AE38+AG38+AI38+AK38+AM38+AO38+AQ38+AS38+AU38+AW38+AY38+BA38+BC38+BE38+BG38+BI38+BK38+BM38+BO38+BQ38+BS38+BU38+BW38+BY38+CA38+CC38+CE38+CG38+CI38+CK38+CM38+CO38+CQ38+CS38+CU38+CW38</f>
        <v>0</v>
      </c>
      <c r="CZ38" s="19">
        <f t="shared" si="18"/>
        <v>0</v>
      </c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</row>
    <row r="39" spans="1:122" ht="18" customHeight="1">
      <c r="A39" s="13" t="s">
        <v>27</v>
      </c>
      <c r="B39" s="14">
        <f>IFERROR(VLOOKUP(A39,PRICELIST!$A$3:$D$138,4,0),"-")</f>
        <v>83.59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9">
        <f t="shared" si="18"/>
        <v>0</v>
      </c>
      <c r="CZ39" s="19">
        <f t="shared" si="18"/>
        <v>0</v>
      </c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</row>
    <row r="40" spans="1:122" ht="18" customHeight="1">
      <c r="A40" s="9" t="s">
        <v>28</v>
      </c>
      <c r="B40" s="10"/>
      <c r="C40" s="11">
        <f>SUMPRODUCT($B38:$B39,C38:C39)</f>
        <v>0</v>
      </c>
      <c r="D40" s="11">
        <f t="shared" ref="D40:BO40" si="19">SUMPRODUCT($B38:$B39,D38:D39)</f>
        <v>0</v>
      </c>
      <c r="E40" s="11">
        <f t="shared" si="19"/>
        <v>0</v>
      </c>
      <c r="F40" s="11">
        <f t="shared" si="19"/>
        <v>0</v>
      </c>
      <c r="G40" s="11">
        <f t="shared" si="19"/>
        <v>0</v>
      </c>
      <c r="H40" s="11">
        <f t="shared" si="19"/>
        <v>0</v>
      </c>
      <c r="I40" s="11">
        <f t="shared" si="19"/>
        <v>0</v>
      </c>
      <c r="J40" s="11">
        <f t="shared" si="19"/>
        <v>0</v>
      </c>
      <c r="K40" s="11">
        <f t="shared" si="19"/>
        <v>0</v>
      </c>
      <c r="L40" s="11">
        <f t="shared" si="19"/>
        <v>0</v>
      </c>
      <c r="M40" s="11">
        <f t="shared" si="19"/>
        <v>0</v>
      </c>
      <c r="N40" s="11">
        <f t="shared" si="19"/>
        <v>0</v>
      </c>
      <c r="O40" s="11">
        <f t="shared" si="19"/>
        <v>0</v>
      </c>
      <c r="P40" s="11">
        <f t="shared" si="19"/>
        <v>0</v>
      </c>
      <c r="Q40" s="11">
        <f t="shared" si="19"/>
        <v>0</v>
      </c>
      <c r="R40" s="11">
        <f t="shared" si="19"/>
        <v>0</v>
      </c>
      <c r="S40" s="11">
        <f t="shared" si="19"/>
        <v>0</v>
      </c>
      <c r="T40" s="11">
        <f t="shared" si="19"/>
        <v>0</v>
      </c>
      <c r="U40" s="11">
        <f t="shared" si="19"/>
        <v>0</v>
      </c>
      <c r="V40" s="11">
        <f t="shared" si="19"/>
        <v>0</v>
      </c>
      <c r="W40" s="11">
        <f t="shared" si="19"/>
        <v>0</v>
      </c>
      <c r="X40" s="11">
        <f t="shared" si="19"/>
        <v>0</v>
      </c>
      <c r="Y40" s="11">
        <f t="shared" si="19"/>
        <v>0</v>
      </c>
      <c r="Z40" s="11">
        <f t="shared" si="19"/>
        <v>0</v>
      </c>
      <c r="AA40" s="11">
        <f t="shared" si="19"/>
        <v>0</v>
      </c>
      <c r="AB40" s="11">
        <f t="shared" si="19"/>
        <v>0</v>
      </c>
      <c r="AC40" s="11">
        <f t="shared" si="19"/>
        <v>0</v>
      </c>
      <c r="AD40" s="11">
        <f t="shared" si="19"/>
        <v>0</v>
      </c>
      <c r="AE40" s="11">
        <f t="shared" si="19"/>
        <v>0</v>
      </c>
      <c r="AF40" s="11">
        <f t="shared" si="19"/>
        <v>0</v>
      </c>
      <c r="AG40" s="11">
        <f t="shared" si="19"/>
        <v>0</v>
      </c>
      <c r="AH40" s="11">
        <f t="shared" si="19"/>
        <v>0</v>
      </c>
      <c r="AI40" s="11">
        <f t="shared" si="19"/>
        <v>0</v>
      </c>
      <c r="AJ40" s="11">
        <f t="shared" si="19"/>
        <v>0</v>
      </c>
      <c r="AK40" s="11">
        <f t="shared" si="19"/>
        <v>0</v>
      </c>
      <c r="AL40" s="11">
        <f t="shared" si="19"/>
        <v>0</v>
      </c>
      <c r="AM40" s="11">
        <f t="shared" si="19"/>
        <v>0</v>
      </c>
      <c r="AN40" s="11">
        <f t="shared" si="19"/>
        <v>0</v>
      </c>
      <c r="AO40" s="11">
        <f t="shared" si="19"/>
        <v>0</v>
      </c>
      <c r="AP40" s="11">
        <f t="shared" si="19"/>
        <v>0</v>
      </c>
      <c r="AQ40" s="11">
        <f t="shared" si="19"/>
        <v>0</v>
      </c>
      <c r="AR40" s="11">
        <f t="shared" si="19"/>
        <v>0</v>
      </c>
      <c r="AS40" s="11">
        <f t="shared" si="19"/>
        <v>0</v>
      </c>
      <c r="AT40" s="11">
        <f t="shared" si="19"/>
        <v>0</v>
      </c>
      <c r="AU40" s="11">
        <f t="shared" si="19"/>
        <v>0</v>
      </c>
      <c r="AV40" s="11">
        <f t="shared" si="19"/>
        <v>0</v>
      </c>
      <c r="AW40" s="11">
        <f t="shared" si="19"/>
        <v>0</v>
      </c>
      <c r="AX40" s="11">
        <f t="shared" si="19"/>
        <v>0</v>
      </c>
      <c r="AY40" s="11">
        <f t="shared" si="19"/>
        <v>0</v>
      </c>
      <c r="AZ40" s="11">
        <f t="shared" si="19"/>
        <v>0</v>
      </c>
      <c r="BA40" s="11">
        <f t="shared" si="19"/>
        <v>0</v>
      </c>
      <c r="BB40" s="11">
        <f t="shared" si="19"/>
        <v>0</v>
      </c>
      <c r="BC40" s="11">
        <f t="shared" si="19"/>
        <v>0</v>
      </c>
      <c r="BD40" s="11">
        <f t="shared" si="19"/>
        <v>0</v>
      </c>
      <c r="BE40" s="11">
        <f t="shared" si="19"/>
        <v>0</v>
      </c>
      <c r="BF40" s="11">
        <f t="shared" si="19"/>
        <v>0</v>
      </c>
      <c r="BG40" s="11">
        <f t="shared" si="19"/>
        <v>0</v>
      </c>
      <c r="BH40" s="11">
        <f t="shared" si="19"/>
        <v>0</v>
      </c>
      <c r="BI40" s="11">
        <f t="shared" si="19"/>
        <v>0</v>
      </c>
      <c r="BJ40" s="11">
        <f t="shared" si="19"/>
        <v>0</v>
      </c>
      <c r="BK40" s="11">
        <f t="shared" si="19"/>
        <v>0</v>
      </c>
      <c r="BL40" s="11">
        <f t="shared" si="19"/>
        <v>0</v>
      </c>
      <c r="BM40" s="11">
        <f t="shared" si="19"/>
        <v>0</v>
      </c>
      <c r="BN40" s="11">
        <f t="shared" si="19"/>
        <v>0</v>
      </c>
      <c r="BO40" s="11">
        <f t="shared" si="19"/>
        <v>0</v>
      </c>
      <c r="BP40" s="11">
        <f t="shared" ref="BP40:CZ40" si="20">SUMPRODUCT($B38:$B39,BP38:BP39)</f>
        <v>0</v>
      </c>
      <c r="BQ40" s="11">
        <f t="shared" si="20"/>
        <v>0</v>
      </c>
      <c r="BR40" s="11">
        <f t="shared" si="20"/>
        <v>0</v>
      </c>
      <c r="BS40" s="11">
        <f t="shared" si="20"/>
        <v>0</v>
      </c>
      <c r="BT40" s="11">
        <f t="shared" si="20"/>
        <v>0</v>
      </c>
      <c r="BU40" s="11">
        <f t="shared" si="20"/>
        <v>0</v>
      </c>
      <c r="BV40" s="11">
        <f t="shared" si="20"/>
        <v>0</v>
      </c>
      <c r="BW40" s="11">
        <f t="shared" si="20"/>
        <v>0</v>
      </c>
      <c r="BX40" s="11">
        <f t="shared" si="20"/>
        <v>0</v>
      </c>
      <c r="BY40" s="11">
        <f t="shared" si="20"/>
        <v>0</v>
      </c>
      <c r="BZ40" s="11">
        <f t="shared" si="20"/>
        <v>0</v>
      </c>
      <c r="CA40" s="11">
        <f t="shared" si="20"/>
        <v>0</v>
      </c>
      <c r="CB40" s="11">
        <f t="shared" si="20"/>
        <v>0</v>
      </c>
      <c r="CC40" s="11">
        <f t="shared" si="20"/>
        <v>0</v>
      </c>
      <c r="CD40" s="11">
        <f t="shared" si="20"/>
        <v>0</v>
      </c>
      <c r="CE40" s="11">
        <f t="shared" si="20"/>
        <v>0</v>
      </c>
      <c r="CF40" s="11">
        <f t="shared" si="20"/>
        <v>0</v>
      </c>
      <c r="CG40" s="11">
        <f t="shared" si="20"/>
        <v>0</v>
      </c>
      <c r="CH40" s="11">
        <f t="shared" si="20"/>
        <v>0</v>
      </c>
      <c r="CI40" s="11">
        <f t="shared" si="20"/>
        <v>0</v>
      </c>
      <c r="CJ40" s="11">
        <f t="shared" si="20"/>
        <v>0</v>
      </c>
      <c r="CK40" s="11">
        <f t="shared" si="20"/>
        <v>0</v>
      </c>
      <c r="CL40" s="11">
        <f t="shared" si="20"/>
        <v>0</v>
      </c>
      <c r="CM40" s="11">
        <f t="shared" si="20"/>
        <v>0</v>
      </c>
      <c r="CN40" s="11">
        <f t="shared" si="20"/>
        <v>0</v>
      </c>
      <c r="CO40" s="11">
        <f t="shared" si="20"/>
        <v>0</v>
      </c>
      <c r="CP40" s="11">
        <f t="shared" si="20"/>
        <v>0</v>
      </c>
      <c r="CQ40" s="11">
        <f t="shared" si="20"/>
        <v>0</v>
      </c>
      <c r="CR40" s="11">
        <f t="shared" si="20"/>
        <v>0</v>
      </c>
      <c r="CS40" s="11">
        <f t="shared" si="20"/>
        <v>0</v>
      </c>
      <c r="CT40" s="11">
        <f t="shared" si="20"/>
        <v>0</v>
      </c>
      <c r="CU40" s="11">
        <f t="shared" si="20"/>
        <v>0</v>
      </c>
      <c r="CV40" s="11">
        <f t="shared" si="20"/>
        <v>0</v>
      </c>
      <c r="CW40" s="11">
        <f t="shared" si="20"/>
        <v>0</v>
      </c>
      <c r="CX40" s="11">
        <f t="shared" si="20"/>
        <v>0</v>
      </c>
      <c r="CY40" s="11">
        <f t="shared" si="20"/>
        <v>0</v>
      </c>
      <c r="CZ40" s="11">
        <f t="shared" si="20"/>
        <v>0</v>
      </c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</row>
    <row r="41" spans="1:122" ht="18" customHeight="1">
      <c r="A41" s="13" t="s">
        <v>29</v>
      </c>
      <c r="B41" s="14">
        <f>IFERROR(VLOOKUP(A41,PRICELIST!$A$3:$D$138,4,0),"-")</f>
        <v>78.790000000000006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9">
        <f t="shared" ref="CY41:CZ46" si="21">C41+E41+G41+I41+K41+M41+O41+Q41+S41+U41+W41+Y41+AA41+AC41+AE41+AG41+AI41+AK41+AM41+AO41+AQ41+AS41+AU41+AW41+AY41+BA41+BC41+BE41+BG41+BI41+BK41+BM41+BO41+BQ41+BS41+BU41+BW41+BY41+CA41+CC41+CE41+CG41+CI41+CK41+CM41+CO41+CQ41+CS41+CU41+CW41</f>
        <v>0</v>
      </c>
      <c r="CZ41" s="19">
        <f t="shared" si="21"/>
        <v>0</v>
      </c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</row>
    <row r="42" spans="1:122" ht="18" customHeight="1">
      <c r="A42" s="13" t="s">
        <v>30</v>
      </c>
      <c r="B42" s="14">
        <f>IFERROR(VLOOKUP(A42,PRICELIST!$A$3:$D$138,4,0),"-")</f>
        <v>142.29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9">
        <f t="shared" si="21"/>
        <v>0</v>
      </c>
      <c r="CZ42" s="19">
        <f t="shared" si="21"/>
        <v>0</v>
      </c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</row>
    <row r="43" spans="1:122" ht="18" customHeight="1">
      <c r="A43" s="13" t="s">
        <v>31</v>
      </c>
      <c r="B43" s="14">
        <f>IFERROR(VLOOKUP(A43,PRICELIST!$A$3:$D$138,4,0),"-")</f>
        <v>35.36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9">
        <f t="shared" si="21"/>
        <v>0</v>
      </c>
      <c r="CZ43" s="19">
        <f t="shared" si="21"/>
        <v>0</v>
      </c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</row>
    <row r="44" spans="1:122" ht="18" customHeight="1">
      <c r="A44" s="13" t="s">
        <v>32</v>
      </c>
      <c r="B44" s="14">
        <f>IFERROR(VLOOKUP(A44,PRICELIST!$A$3:$D$138,4,0),"-")</f>
        <v>175.18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9">
        <f t="shared" si="21"/>
        <v>0</v>
      </c>
      <c r="CZ44" s="19">
        <f t="shared" si="21"/>
        <v>0</v>
      </c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</row>
    <row r="45" spans="1:122" ht="18" customHeight="1">
      <c r="A45" s="13" t="s">
        <v>33</v>
      </c>
      <c r="B45" s="14">
        <f>IFERROR(VLOOKUP(A45,PRICELIST!$A$3:$D$138,4,0),"-")</f>
        <v>42.72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9">
        <f t="shared" si="21"/>
        <v>0</v>
      </c>
      <c r="CZ45" s="19">
        <f t="shared" si="21"/>
        <v>0</v>
      </c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</row>
    <row r="46" spans="1:122" ht="18" customHeight="1">
      <c r="A46" s="13" t="s">
        <v>34</v>
      </c>
      <c r="B46" s="14">
        <f>IFERROR(VLOOKUP(A46,PRICELIST!$A$3:$D$138,4,0),"-")</f>
        <v>84.28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9">
        <f t="shared" si="21"/>
        <v>0</v>
      </c>
      <c r="CZ46" s="19">
        <f t="shared" si="21"/>
        <v>0</v>
      </c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</row>
    <row r="47" spans="1:122" ht="18" customHeight="1">
      <c r="A47" s="9" t="s">
        <v>35</v>
      </c>
      <c r="B47" s="10"/>
      <c r="C47" s="11">
        <f>SUMPRODUCT($B41:$B46,C41:C46)</f>
        <v>0</v>
      </c>
      <c r="D47" s="11">
        <f t="shared" ref="D47:BO47" si="22">SUMPRODUCT($B41:$B46,D41:D46)</f>
        <v>0</v>
      </c>
      <c r="E47" s="11">
        <f t="shared" si="22"/>
        <v>0</v>
      </c>
      <c r="F47" s="11">
        <f t="shared" si="22"/>
        <v>0</v>
      </c>
      <c r="G47" s="11">
        <f t="shared" si="22"/>
        <v>0</v>
      </c>
      <c r="H47" s="11">
        <f t="shared" si="22"/>
        <v>0</v>
      </c>
      <c r="I47" s="11">
        <f t="shared" si="22"/>
        <v>0</v>
      </c>
      <c r="J47" s="11">
        <f t="shared" si="22"/>
        <v>0</v>
      </c>
      <c r="K47" s="11">
        <f t="shared" si="22"/>
        <v>0</v>
      </c>
      <c r="L47" s="11">
        <f t="shared" si="22"/>
        <v>0</v>
      </c>
      <c r="M47" s="11">
        <f t="shared" si="22"/>
        <v>0</v>
      </c>
      <c r="N47" s="11">
        <f t="shared" si="22"/>
        <v>0</v>
      </c>
      <c r="O47" s="11">
        <f t="shared" si="22"/>
        <v>0</v>
      </c>
      <c r="P47" s="11">
        <f t="shared" si="22"/>
        <v>0</v>
      </c>
      <c r="Q47" s="11">
        <f t="shared" si="22"/>
        <v>0</v>
      </c>
      <c r="R47" s="11">
        <f t="shared" si="22"/>
        <v>0</v>
      </c>
      <c r="S47" s="11">
        <f t="shared" si="22"/>
        <v>0</v>
      </c>
      <c r="T47" s="11">
        <f t="shared" si="22"/>
        <v>0</v>
      </c>
      <c r="U47" s="11">
        <f t="shared" si="22"/>
        <v>0</v>
      </c>
      <c r="V47" s="11">
        <f t="shared" si="22"/>
        <v>0</v>
      </c>
      <c r="W47" s="11">
        <f t="shared" si="22"/>
        <v>0</v>
      </c>
      <c r="X47" s="11">
        <f t="shared" si="22"/>
        <v>0</v>
      </c>
      <c r="Y47" s="11">
        <f t="shared" si="22"/>
        <v>0</v>
      </c>
      <c r="Z47" s="11">
        <f t="shared" si="22"/>
        <v>0</v>
      </c>
      <c r="AA47" s="11">
        <f t="shared" si="22"/>
        <v>0</v>
      </c>
      <c r="AB47" s="11">
        <f t="shared" si="22"/>
        <v>0</v>
      </c>
      <c r="AC47" s="11">
        <f t="shared" si="22"/>
        <v>0</v>
      </c>
      <c r="AD47" s="11">
        <f t="shared" si="22"/>
        <v>0</v>
      </c>
      <c r="AE47" s="11">
        <f t="shared" si="22"/>
        <v>0</v>
      </c>
      <c r="AF47" s="11">
        <f t="shared" si="22"/>
        <v>0</v>
      </c>
      <c r="AG47" s="11">
        <f t="shared" si="22"/>
        <v>0</v>
      </c>
      <c r="AH47" s="11">
        <f t="shared" si="22"/>
        <v>0</v>
      </c>
      <c r="AI47" s="11">
        <f t="shared" si="22"/>
        <v>0</v>
      </c>
      <c r="AJ47" s="11">
        <f t="shared" si="22"/>
        <v>0</v>
      </c>
      <c r="AK47" s="11">
        <f t="shared" si="22"/>
        <v>0</v>
      </c>
      <c r="AL47" s="11">
        <f t="shared" si="22"/>
        <v>0</v>
      </c>
      <c r="AM47" s="11">
        <f t="shared" si="22"/>
        <v>0</v>
      </c>
      <c r="AN47" s="11">
        <f t="shared" si="22"/>
        <v>0</v>
      </c>
      <c r="AO47" s="11">
        <f t="shared" si="22"/>
        <v>0</v>
      </c>
      <c r="AP47" s="11">
        <f t="shared" si="22"/>
        <v>0</v>
      </c>
      <c r="AQ47" s="11">
        <f t="shared" si="22"/>
        <v>0</v>
      </c>
      <c r="AR47" s="11">
        <f t="shared" si="22"/>
        <v>0</v>
      </c>
      <c r="AS47" s="11">
        <f t="shared" si="22"/>
        <v>0</v>
      </c>
      <c r="AT47" s="11">
        <f t="shared" si="22"/>
        <v>0</v>
      </c>
      <c r="AU47" s="11">
        <f t="shared" si="22"/>
        <v>0</v>
      </c>
      <c r="AV47" s="11">
        <f t="shared" si="22"/>
        <v>0</v>
      </c>
      <c r="AW47" s="11">
        <f t="shared" si="22"/>
        <v>0</v>
      </c>
      <c r="AX47" s="11">
        <f t="shared" si="22"/>
        <v>0</v>
      </c>
      <c r="AY47" s="11">
        <f t="shared" si="22"/>
        <v>0</v>
      </c>
      <c r="AZ47" s="11">
        <f t="shared" si="22"/>
        <v>0</v>
      </c>
      <c r="BA47" s="11">
        <f t="shared" si="22"/>
        <v>0</v>
      </c>
      <c r="BB47" s="11">
        <f t="shared" si="22"/>
        <v>0</v>
      </c>
      <c r="BC47" s="11">
        <f t="shared" si="22"/>
        <v>0</v>
      </c>
      <c r="BD47" s="11">
        <f t="shared" si="22"/>
        <v>0</v>
      </c>
      <c r="BE47" s="11">
        <f t="shared" si="22"/>
        <v>0</v>
      </c>
      <c r="BF47" s="11">
        <f t="shared" si="22"/>
        <v>0</v>
      </c>
      <c r="BG47" s="11">
        <f t="shared" si="22"/>
        <v>0</v>
      </c>
      <c r="BH47" s="11">
        <f t="shared" si="22"/>
        <v>0</v>
      </c>
      <c r="BI47" s="11">
        <f t="shared" si="22"/>
        <v>0</v>
      </c>
      <c r="BJ47" s="11">
        <f t="shared" si="22"/>
        <v>0</v>
      </c>
      <c r="BK47" s="11">
        <f t="shared" si="22"/>
        <v>0</v>
      </c>
      <c r="BL47" s="11">
        <f t="shared" si="22"/>
        <v>0</v>
      </c>
      <c r="BM47" s="11">
        <f t="shared" si="22"/>
        <v>0</v>
      </c>
      <c r="BN47" s="11">
        <f t="shared" si="22"/>
        <v>0</v>
      </c>
      <c r="BO47" s="11">
        <f t="shared" si="22"/>
        <v>0</v>
      </c>
      <c r="BP47" s="11">
        <f t="shared" ref="BP47:CZ47" si="23">SUMPRODUCT($B41:$B46,BP41:BP46)</f>
        <v>0</v>
      </c>
      <c r="BQ47" s="11">
        <f t="shared" si="23"/>
        <v>0</v>
      </c>
      <c r="BR47" s="11">
        <f t="shared" si="23"/>
        <v>0</v>
      </c>
      <c r="BS47" s="11">
        <f t="shared" si="23"/>
        <v>0</v>
      </c>
      <c r="BT47" s="11">
        <f t="shared" si="23"/>
        <v>0</v>
      </c>
      <c r="BU47" s="11">
        <f t="shared" si="23"/>
        <v>0</v>
      </c>
      <c r="BV47" s="11">
        <f t="shared" si="23"/>
        <v>0</v>
      </c>
      <c r="BW47" s="11">
        <f t="shared" si="23"/>
        <v>0</v>
      </c>
      <c r="BX47" s="11">
        <f t="shared" si="23"/>
        <v>0</v>
      </c>
      <c r="BY47" s="11">
        <f t="shared" si="23"/>
        <v>0</v>
      </c>
      <c r="BZ47" s="11">
        <f t="shared" si="23"/>
        <v>0</v>
      </c>
      <c r="CA47" s="11">
        <f t="shared" si="23"/>
        <v>0</v>
      </c>
      <c r="CB47" s="11">
        <f t="shared" si="23"/>
        <v>0</v>
      </c>
      <c r="CC47" s="11">
        <f t="shared" si="23"/>
        <v>0</v>
      </c>
      <c r="CD47" s="11">
        <f t="shared" si="23"/>
        <v>0</v>
      </c>
      <c r="CE47" s="11">
        <f t="shared" si="23"/>
        <v>0</v>
      </c>
      <c r="CF47" s="11">
        <f t="shared" si="23"/>
        <v>0</v>
      </c>
      <c r="CG47" s="11">
        <f t="shared" si="23"/>
        <v>0</v>
      </c>
      <c r="CH47" s="11">
        <f t="shared" si="23"/>
        <v>0</v>
      </c>
      <c r="CI47" s="11">
        <f t="shared" si="23"/>
        <v>0</v>
      </c>
      <c r="CJ47" s="11">
        <f t="shared" si="23"/>
        <v>0</v>
      </c>
      <c r="CK47" s="11">
        <f t="shared" si="23"/>
        <v>0</v>
      </c>
      <c r="CL47" s="11">
        <f t="shared" si="23"/>
        <v>0</v>
      </c>
      <c r="CM47" s="11">
        <f t="shared" si="23"/>
        <v>0</v>
      </c>
      <c r="CN47" s="11">
        <f t="shared" si="23"/>
        <v>0</v>
      </c>
      <c r="CO47" s="11">
        <f t="shared" si="23"/>
        <v>0</v>
      </c>
      <c r="CP47" s="11">
        <f t="shared" si="23"/>
        <v>0</v>
      </c>
      <c r="CQ47" s="11">
        <f t="shared" si="23"/>
        <v>0</v>
      </c>
      <c r="CR47" s="11">
        <f t="shared" si="23"/>
        <v>0</v>
      </c>
      <c r="CS47" s="11">
        <f t="shared" si="23"/>
        <v>0</v>
      </c>
      <c r="CT47" s="11">
        <f t="shared" si="23"/>
        <v>0</v>
      </c>
      <c r="CU47" s="11">
        <f t="shared" si="23"/>
        <v>0</v>
      </c>
      <c r="CV47" s="11">
        <f t="shared" si="23"/>
        <v>0</v>
      </c>
      <c r="CW47" s="11">
        <f t="shared" si="23"/>
        <v>0</v>
      </c>
      <c r="CX47" s="11">
        <f t="shared" si="23"/>
        <v>0</v>
      </c>
      <c r="CY47" s="11">
        <f t="shared" si="23"/>
        <v>0</v>
      </c>
      <c r="CZ47" s="11">
        <f t="shared" si="23"/>
        <v>0</v>
      </c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</row>
    <row r="48" spans="1:122" ht="18" customHeight="1">
      <c r="A48" s="4" t="s">
        <v>81</v>
      </c>
      <c r="B48" s="14">
        <f>IFERROR(VLOOKUP(A48,PRICELIST!$A$3:$D$138,4,0),"-")</f>
        <v>201.26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9">
        <f t="shared" ref="CY48:CZ48" si="24">C48+E48+G48+I48+K48+M48+O48+Q48+S48+U48+W48+Y48+AA48+AC48+AE48+AG48+AI48+AK48+AM48+AO48+AQ48+AS48+AU48+AW48+AY48+BA48+BC48+BE48+BG48+BI48+BK48+BM48+BO48+BQ48+BS48+BU48+BW48+BY48+CA48+CC48+CE48+CG48+CI48+CK48+CM48+CO48+CQ48+CS48+CU48+CW48</f>
        <v>0</v>
      </c>
      <c r="CZ48" s="19">
        <f t="shared" si="24"/>
        <v>0</v>
      </c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</row>
    <row r="49" spans="1:122" ht="18" customHeight="1">
      <c r="A49" s="9" t="s">
        <v>77</v>
      </c>
      <c r="B49" s="15"/>
      <c r="C49" s="11">
        <f>SUMPRODUCT($B48*C48)</f>
        <v>0</v>
      </c>
      <c r="D49" s="11">
        <f t="shared" ref="D49:BO49" si="25">SUMPRODUCT($B48*D48)</f>
        <v>0</v>
      </c>
      <c r="E49" s="11">
        <f t="shared" si="25"/>
        <v>0</v>
      </c>
      <c r="F49" s="11">
        <f t="shared" si="25"/>
        <v>0</v>
      </c>
      <c r="G49" s="11">
        <f t="shared" si="25"/>
        <v>0</v>
      </c>
      <c r="H49" s="11">
        <f t="shared" si="25"/>
        <v>0</v>
      </c>
      <c r="I49" s="11">
        <f t="shared" si="25"/>
        <v>0</v>
      </c>
      <c r="J49" s="11">
        <f t="shared" si="25"/>
        <v>0</v>
      </c>
      <c r="K49" s="11">
        <f t="shared" si="25"/>
        <v>0</v>
      </c>
      <c r="L49" s="11">
        <f t="shared" si="25"/>
        <v>0</v>
      </c>
      <c r="M49" s="11">
        <f t="shared" si="25"/>
        <v>0</v>
      </c>
      <c r="N49" s="11">
        <f t="shared" si="25"/>
        <v>0</v>
      </c>
      <c r="O49" s="11">
        <f t="shared" si="25"/>
        <v>0</v>
      </c>
      <c r="P49" s="11">
        <f t="shared" si="25"/>
        <v>0</v>
      </c>
      <c r="Q49" s="11">
        <f t="shared" si="25"/>
        <v>0</v>
      </c>
      <c r="R49" s="11">
        <f t="shared" si="25"/>
        <v>0</v>
      </c>
      <c r="S49" s="11">
        <f t="shared" si="25"/>
        <v>0</v>
      </c>
      <c r="T49" s="11">
        <f t="shared" si="25"/>
        <v>0</v>
      </c>
      <c r="U49" s="11">
        <f t="shared" si="25"/>
        <v>0</v>
      </c>
      <c r="V49" s="11">
        <f t="shared" si="25"/>
        <v>0</v>
      </c>
      <c r="W49" s="11">
        <f t="shared" si="25"/>
        <v>0</v>
      </c>
      <c r="X49" s="11">
        <f t="shared" si="25"/>
        <v>0</v>
      </c>
      <c r="Y49" s="11">
        <f t="shared" si="25"/>
        <v>0</v>
      </c>
      <c r="Z49" s="11">
        <f t="shared" si="25"/>
        <v>0</v>
      </c>
      <c r="AA49" s="11">
        <f t="shared" si="25"/>
        <v>0</v>
      </c>
      <c r="AB49" s="11">
        <f t="shared" si="25"/>
        <v>0</v>
      </c>
      <c r="AC49" s="11">
        <f t="shared" si="25"/>
        <v>0</v>
      </c>
      <c r="AD49" s="11">
        <f t="shared" si="25"/>
        <v>0</v>
      </c>
      <c r="AE49" s="11">
        <f t="shared" si="25"/>
        <v>0</v>
      </c>
      <c r="AF49" s="11">
        <f t="shared" si="25"/>
        <v>0</v>
      </c>
      <c r="AG49" s="11">
        <f t="shared" si="25"/>
        <v>0</v>
      </c>
      <c r="AH49" s="11">
        <f t="shared" si="25"/>
        <v>0</v>
      </c>
      <c r="AI49" s="11">
        <f t="shared" si="25"/>
        <v>0</v>
      </c>
      <c r="AJ49" s="11">
        <f t="shared" si="25"/>
        <v>0</v>
      </c>
      <c r="AK49" s="11">
        <f t="shared" si="25"/>
        <v>0</v>
      </c>
      <c r="AL49" s="11">
        <f t="shared" si="25"/>
        <v>0</v>
      </c>
      <c r="AM49" s="11">
        <f t="shared" si="25"/>
        <v>0</v>
      </c>
      <c r="AN49" s="11">
        <f t="shared" si="25"/>
        <v>0</v>
      </c>
      <c r="AO49" s="11">
        <f t="shared" si="25"/>
        <v>0</v>
      </c>
      <c r="AP49" s="11">
        <f t="shared" si="25"/>
        <v>0</v>
      </c>
      <c r="AQ49" s="11">
        <f t="shared" si="25"/>
        <v>0</v>
      </c>
      <c r="AR49" s="11">
        <f t="shared" si="25"/>
        <v>0</v>
      </c>
      <c r="AS49" s="11">
        <f t="shared" si="25"/>
        <v>0</v>
      </c>
      <c r="AT49" s="11">
        <f t="shared" si="25"/>
        <v>0</v>
      </c>
      <c r="AU49" s="11">
        <f t="shared" si="25"/>
        <v>0</v>
      </c>
      <c r="AV49" s="11">
        <f t="shared" si="25"/>
        <v>0</v>
      </c>
      <c r="AW49" s="11">
        <f t="shared" si="25"/>
        <v>0</v>
      </c>
      <c r="AX49" s="11">
        <f t="shared" si="25"/>
        <v>0</v>
      </c>
      <c r="AY49" s="11">
        <f t="shared" si="25"/>
        <v>0</v>
      </c>
      <c r="AZ49" s="11">
        <f t="shared" si="25"/>
        <v>0</v>
      </c>
      <c r="BA49" s="11">
        <f t="shared" si="25"/>
        <v>0</v>
      </c>
      <c r="BB49" s="11">
        <f t="shared" si="25"/>
        <v>0</v>
      </c>
      <c r="BC49" s="11">
        <f t="shared" si="25"/>
        <v>0</v>
      </c>
      <c r="BD49" s="11">
        <f t="shared" si="25"/>
        <v>0</v>
      </c>
      <c r="BE49" s="11">
        <f t="shared" si="25"/>
        <v>0</v>
      </c>
      <c r="BF49" s="11">
        <f t="shared" si="25"/>
        <v>0</v>
      </c>
      <c r="BG49" s="11">
        <f t="shared" si="25"/>
        <v>0</v>
      </c>
      <c r="BH49" s="11">
        <f t="shared" si="25"/>
        <v>0</v>
      </c>
      <c r="BI49" s="11">
        <f t="shared" si="25"/>
        <v>0</v>
      </c>
      <c r="BJ49" s="11">
        <f t="shared" si="25"/>
        <v>0</v>
      </c>
      <c r="BK49" s="11">
        <f t="shared" si="25"/>
        <v>0</v>
      </c>
      <c r="BL49" s="11">
        <f t="shared" si="25"/>
        <v>0</v>
      </c>
      <c r="BM49" s="11">
        <f t="shared" si="25"/>
        <v>0</v>
      </c>
      <c r="BN49" s="11">
        <f t="shared" si="25"/>
        <v>0</v>
      </c>
      <c r="BO49" s="11">
        <f t="shared" si="25"/>
        <v>0</v>
      </c>
      <c r="BP49" s="11">
        <f t="shared" ref="BP49:CZ49" si="26">SUMPRODUCT($B48*BP48)</f>
        <v>0</v>
      </c>
      <c r="BQ49" s="11">
        <f t="shared" si="26"/>
        <v>0</v>
      </c>
      <c r="BR49" s="11">
        <f t="shared" si="26"/>
        <v>0</v>
      </c>
      <c r="BS49" s="11">
        <f t="shared" si="26"/>
        <v>0</v>
      </c>
      <c r="BT49" s="11">
        <f t="shared" si="26"/>
        <v>0</v>
      </c>
      <c r="BU49" s="11">
        <f t="shared" si="26"/>
        <v>0</v>
      </c>
      <c r="BV49" s="11">
        <f t="shared" si="26"/>
        <v>0</v>
      </c>
      <c r="BW49" s="11">
        <f t="shared" si="26"/>
        <v>0</v>
      </c>
      <c r="BX49" s="11">
        <f t="shared" si="26"/>
        <v>0</v>
      </c>
      <c r="BY49" s="11">
        <f t="shared" si="26"/>
        <v>0</v>
      </c>
      <c r="BZ49" s="11">
        <f t="shared" si="26"/>
        <v>0</v>
      </c>
      <c r="CA49" s="11">
        <f t="shared" si="26"/>
        <v>0</v>
      </c>
      <c r="CB49" s="11">
        <f t="shared" si="26"/>
        <v>0</v>
      </c>
      <c r="CC49" s="11">
        <f t="shared" si="26"/>
        <v>0</v>
      </c>
      <c r="CD49" s="11">
        <f t="shared" si="26"/>
        <v>0</v>
      </c>
      <c r="CE49" s="11">
        <f t="shared" si="26"/>
        <v>0</v>
      </c>
      <c r="CF49" s="11">
        <f t="shared" si="26"/>
        <v>0</v>
      </c>
      <c r="CG49" s="11">
        <f t="shared" si="26"/>
        <v>0</v>
      </c>
      <c r="CH49" s="11">
        <f t="shared" si="26"/>
        <v>0</v>
      </c>
      <c r="CI49" s="11">
        <f t="shared" si="26"/>
        <v>0</v>
      </c>
      <c r="CJ49" s="11">
        <f t="shared" si="26"/>
        <v>0</v>
      </c>
      <c r="CK49" s="11">
        <f t="shared" si="26"/>
        <v>0</v>
      </c>
      <c r="CL49" s="11">
        <f t="shared" si="26"/>
        <v>0</v>
      </c>
      <c r="CM49" s="11">
        <f t="shared" si="26"/>
        <v>0</v>
      </c>
      <c r="CN49" s="11">
        <f t="shared" si="26"/>
        <v>0</v>
      </c>
      <c r="CO49" s="11">
        <f t="shared" si="26"/>
        <v>0</v>
      </c>
      <c r="CP49" s="11">
        <f t="shared" si="26"/>
        <v>0</v>
      </c>
      <c r="CQ49" s="11">
        <f t="shared" si="26"/>
        <v>0</v>
      </c>
      <c r="CR49" s="11">
        <f t="shared" si="26"/>
        <v>0</v>
      </c>
      <c r="CS49" s="11">
        <f t="shared" si="26"/>
        <v>0</v>
      </c>
      <c r="CT49" s="11">
        <f t="shared" si="26"/>
        <v>0</v>
      </c>
      <c r="CU49" s="11">
        <f t="shared" si="26"/>
        <v>0</v>
      </c>
      <c r="CV49" s="11">
        <f t="shared" si="26"/>
        <v>0</v>
      </c>
      <c r="CW49" s="11">
        <f t="shared" si="26"/>
        <v>0</v>
      </c>
      <c r="CX49" s="11">
        <f t="shared" si="26"/>
        <v>0</v>
      </c>
      <c r="CY49" s="11">
        <f t="shared" si="26"/>
        <v>0</v>
      </c>
      <c r="CZ49" s="11">
        <f t="shared" si="26"/>
        <v>0</v>
      </c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</row>
    <row r="50" spans="1:122" ht="18" customHeight="1">
      <c r="A50" s="4" t="s">
        <v>82</v>
      </c>
      <c r="B50" s="14">
        <f>IFERROR(VLOOKUP(A50,PRICELIST!$A$3:$D$138,4,0),"-")</f>
        <v>170.19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9">
        <f t="shared" ref="CY50:CZ52" si="27">C50+E50+G50+I50+K50+M50+O50+Q50+S50+U50+W50+Y50+AA50+AC50+AE50+AG50+AI50+AK50+AM50+AO50+AQ50+AS50+AU50+AW50+AY50+BA50+BC50+BE50+BG50+BI50+BK50+BM50+BO50+BQ50+BS50+BU50+BW50+BY50+CA50+CC50+CE50+CG50+CI50+CK50+CM50+CO50+CQ50+CS50+CU50+CW50</f>
        <v>0</v>
      </c>
      <c r="CZ50" s="19">
        <f t="shared" si="27"/>
        <v>0</v>
      </c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</row>
    <row r="51" spans="1:122" ht="18" customHeight="1">
      <c r="A51" s="4" t="s">
        <v>83</v>
      </c>
      <c r="B51" s="14">
        <f>IFERROR(VLOOKUP(A51,PRICELIST!$A$3:$D$138,4,0),"-")</f>
        <v>209.89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9">
        <f t="shared" si="27"/>
        <v>0</v>
      </c>
      <c r="CZ51" s="19">
        <f t="shared" si="27"/>
        <v>0</v>
      </c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</row>
    <row r="52" spans="1:122" ht="18" customHeight="1">
      <c r="A52" s="4" t="s">
        <v>84</v>
      </c>
      <c r="B52" s="14">
        <f>IFERROR(VLOOKUP(A52,PRICELIST!$A$3:$D$138,4,0),"-")</f>
        <v>302.79000000000002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9">
        <f t="shared" si="27"/>
        <v>0</v>
      </c>
      <c r="CZ52" s="19">
        <f t="shared" si="27"/>
        <v>0</v>
      </c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</row>
    <row r="53" spans="1:122" ht="18" customHeight="1">
      <c r="A53" s="9" t="s">
        <v>89</v>
      </c>
      <c r="B53" s="15"/>
      <c r="C53" s="11">
        <f>SUMPRODUCT($B50:$B52,C50:C52)</f>
        <v>0</v>
      </c>
      <c r="D53" s="11">
        <f t="shared" ref="D53:BO53" si="28">SUMPRODUCT($B50:$B52,D50:D52)</f>
        <v>0</v>
      </c>
      <c r="E53" s="11">
        <f t="shared" si="28"/>
        <v>0</v>
      </c>
      <c r="F53" s="11">
        <f t="shared" si="28"/>
        <v>0</v>
      </c>
      <c r="G53" s="11">
        <f t="shared" si="28"/>
        <v>0</v>
      </c>
      <c r="H53" s="11">
        <f t="shared" si="28"/>
        <v>0</v>
      </c>
      <c r="I53" s="11">
        <f t="shared" si="28"/>
        <v>0</v>
      </c>
      <c r="J53" s="11">
        <f t="shared" si="28"/>
        <v>0</v>
      </c>
      <c r="K53" s="11">
        <f t="shared" si="28"/>
        <v>0</v>
      </c>
      <c r="L53" s="11">
        <f t="shared" si="28"/>
        <v>0</v>
      </c>
      <c r="M53" s="11">
        <f t="shared" si="28"/>
        <v>0</v>
      </c>
      <c r="N53" s="11">
        <f t="shared" si="28"/>
        <v>0</v>
      </c>
      <c r="O53" s="11">
        <f t="shared" si="28"/>
        <v>0</v>
      </c>
      <c r="P53" s="11">
        <f t="shared" si="28"/>
        <v>0</v>
      </c>
      <c r="Q53" s="11">
        <f t="shared" si="28"/>
        <v>0</v>
      </c>
      <c r="R53" s="11">
        <f t="shared" si="28"/>
        <v>0</v>
      </c>
      <c r="S53" s="11">
        <f t="shared" si="28"/>
        <v>0</v>
      </c>
      <c r="T53" s="11">
        <f t="shared" si="28"/>
        <v>0</v>
      </c>
      <c r="U53" s="11">
        <f t="shared" si="28"/>
        <v>0</v>
      </c>
      <c r="V53" s="11">
        <f t="shared" si="28"/>
        <v>0</v>
      </c>
      <c r="W53" s="11">
        <f t="shared" si="28"/>
        <v>0</v>
      </c>
      <c r="X53" s="11">
        <f t="shared" si="28"/>
        <v>0</v>
      </c>
      <c r="Y53" s="11">
        <f t="shared" si="28"/>
        <v>0</v>
      </c>
      <c r="Z53" s="11">
        <f t="shared" si="28"/>
        <v>0</v>
      </c>
      <c r="AA53" s="11">
        <f t="shared" si="28"/>
        <v>0</v>
      </c>
      <c r="AB53" s="11">
        <f t="shared" si="28"/>
        <v>0</v>
      </c>
      <c r="AC53" s="11">
        <f t="shared" si="28"/>
        <v>0</v>
      </c>
      <c r="AD53" s="11">
        <f t="shared" si="28"/>
        <v>0</v>
      </c>
      <c r="AE53" s="11">
        <f t="shared" si="28"/>
        <v>0</v>
      </c>
      <c r="AF53" s="11">
        <f t="shared" si="28"/>
        <v>0</v>
      </c>
      <c r="AG53" s="11">
        <f t="shared" si="28"/>
        <v>0</v>
      </c>
      <c r="AH53" s="11">
        <f t="shared" si="28"/>
        <v>0</v>
      </c>
      <c r="AI53" s="11">
        <f t="shared" si="28"/>
        <v>0</v>
      </c>
      <c r="AJ53" s="11">
        <f t="shared" si="28"/>
        <v>0</v>
      </c>
      <c r="AK53" s="11">
        <f t="shared" si="28"/>
        <v>0</v>
      </c>
      <c r="AL53" s="11">
        <f t="shared" si="28"/>
        <v>0</v>
      </c>
      <c r="AM53" s="11">
        <f t="shared" si="28"/>
        <v>0</v>
      </c>
      <c r="AN53" s="11">
        <f t="shared" si="28"/>
        <v>0</v>
      </c>
      <c r="AO53" s="11">
        <f t="shared" si="28"/>
        <v>0</v>
      </c>
      <c r="AP53" s="11">
        <f t="shared" si="28"/>
        <v>0</v>
      </c>
      <c r="AQ53" s="11">
        <f t="shared" si="28"/>
        <v>0</v>
      </c>
      <c r="AR53" s="11">
        <f t="shared" si="28"/>
        <v>0</v>
      </c>
      <c r="AS53" s="11">
        <f t="shared" si="28"/>
        <v>0</v>
      </c>
      <c r="AT53" s="11">
        <f t="shared" si="28"/>
        <v>0</v>
      </c>
      <c r="AU53" s="11">
        <f t="shared" si="28"/>
        <v>0</v>
      </c>
      <c r="AV53" s="11">
        <f t="shared" si="28"/>
        <v>0</v>
      </c>
      <c r="AW53" s="11">
        <f t="shared" si="28"/>
        <v>0</v>
      </c>
      <c r="AX53" s="11">
        <f t="shared" si="28"/>
        <v>0</v>
      </c>
      <c r="AY53" s="11">
        <f t="shared" si="28"/>
        <v>0</v>
      </c>
      <c r="AZ53" s="11">
        <f t="shared" si="28"/>
        <v>0</v>
      </c>
      <c r="BA53" s="11">
        <f t="shared" si="28"/>
        <v>0</v>
      </c>
      <c r="BB53" s="11">
        <f t="shared" si="28"/>
        <v>0</v>
      </c>
      <c r="BC53" s="11">
        <f t="shared" si="28"/>
        <v>0</v>
      </c>
      <c r="BD53" s="11">
        <f t="shared" si="28"/>
        <v>0</v>
      </c>
      <c r="BE53" s="11">
        <f t="shared" si="28"/>
        <v>0</v>
      </c>
      <c r="BF53" s="11">
        <f t="shared" si="28"/>
        <v>0</v>
      </c>
      <c r="BG53" s="11">
        <f t="shared" si="28"/>
        <v>0</v>
      </c>
      <c r="BH53" s="11">
        <f t="shared" si="28"/>
        <v>0</v>
      </c>
      <c r="BI53" s="11">
        <f t="shared" si="28"/>
        <v>0</v>
      </c>
      <c r="BJ53" s="11">
        <f t="shared" si="28"/>
        <v>0</v>
      </c>
      <c r="BK53" s="11">
        <f t="shared" si="28"/>
        <v>0</v>
      </c>
      <c r="BL53" s="11">
        <f t="shared" si="28"/>
        <v>0</v>
      </c>
      <c r="BM53" s="11">
        <f t="shared" si="28"/>
        <v>0</v>
      </c>
      <c r="BN53" s="11">
        <f t="shared" si="28"/>
        <v>0</v>
      </c>
      <c r="BO53" s="11">
        <f t="shared" si="28"/>
        <v>0</v>
      </c>
      <c r="BP53" s="11">
        <f t="shared" ref="BP53:CZ53" si="29">SUMPRODUCT($B50:$B52,BP50:BP52)</f>
        <v>0</v>
      </c>
      <c r="BQ53" s="11">
        <f t="shared" si="29"/>
        <v>0</v>
      </c>
      <c r="BR53" s="11">
        <f t="shared" si="29"/>
        <v>0</v>
      </c>
      <c r="BS53" s="11">
        <f t="shared" si="29"/>
        <v>0</v>
      </c>
      <c r="BT53" s="11">
        <f t="shared" si="29"/>
        <v>0</v>
      </c>
      <c r="BU53" s="11">
        <f t="shared" si="29"/>
        <v>0</v>
      </c>
      <c r="BV53" s="11">
        <f t="shared" si="29"/>
        <v>0</v>
      </c>
      <c r="BW53" s="11">
        <f t="shared" si="29"/>
        <v>0</v>
      </c>
      <c r="BX53" s="11">
        <f t="shared" si="29"/>
        <v>0</v>
      </c>
      <c r="BY53" s="11">
        <f t="shared" si="29"/>
        <v>0</v>
      </c>
      <c r="BZ53" s="11">
        <f t="shared" si="29"/>
        <v>0</v>
      </c>
      <c r="CA53" s="11">
        <f t="shared" si="29"/>
        <v>0</v>
      </c>
      <c r="CB53" s="11">
        <f t="shared" si="29"/>
        <v>0</v>
      </c>
      <c r="CC53" s="11">
        <f t="shared" si="29"/>
        <v>0</v>
      </c>
      <c r="CD53" s="11">
        <f t="shared" si="29"/>
        <v>0</v>
      </c>
      <c r="CE53" s="11">
        <f t="shared" si="29"/>
        <v>0</v>
      </c>
      <c r="CF53" s="11">
        <f t="shared" si="29"/>
        <v>0</v>
      </c>
      <c r="CG53" s="11">
        <f t="shared" si="29"/>
        <v>0</v>
      </c>
      <c r="CH53" s="11">
        <f t="shared" si="29"/>
        <v>0</v>
      </c>
      <c r="CI53" s="11">
        <f t="shared" si="29"/>
        <v>0</v>
      </c>
      <c r="CJ53" s="11">
        <f t="shared" si="29"/>
        <v>0</v>
      </c>
      <c r="CK53" s="11">
        <f t="shared" si="29"/>
        <v>0</v>
      </c>
      <c r="CL53" s="11">
        <f t="shared" si="29"/>
        <v>0</v>
      </c>
      <c r="CM53" s="11">
        <f t="shared" si="29"/>
        <v>0</v>
      </c>
      <c r="CN53" s="11">
        <f t="shared" si="29"/>
        <v>0</v>
      </c>
      <c r="CO53" s="11">
        <f t="shared" si="29"/>
        <v>0</v>
      </c>
      <c r="CP53" s="11">
        <f t="shared" si="29"/>
        <v>0</v>
      </c>
      <c r="CQ53" s="11">
        <f t="shared" si="29"/>
        <v>0</v>
      </c>
      <c r="CR53" s="11">
        <f t="shared" si="29"/>
        <v>0</v>
      </c>
      <c r="CS53" s="11">
        <f t="shared" si="29"/>
        <v>0</v>
      </c>
      <c r="CT53" s="11">
        <f t="shared" si="29"/>
        <v>0</v>
      </c>
      <c r="CU53" s="11">
        <f t="shared" si="29"/>
        <v>0</v>
      </c>
      <c r="CV53" s="11">
        <f t="shared" si="29"/>
        <v>0</v>
      </c>
      <c r="CW53" s="11">
        <f t="shared" si="29"/>
        <v>0</v>
      </c>
      <c r="CX53" s="11">
        <f t="shared" si="29"/>
        <v>0</v>
      </c>
      <c r="CY53" s="11">
        <f t="shared" si="29"/>
        <v>0</v>
      </c>
      <c r="CZ53" s="11">
        <f t="shared" si="29"/>
        <v>0</v>
      </c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</row>
    <row r="54" spans="1:122" ht="18" customHeight="1">
      <c r="A54" s="13" t="s">
        <v>36</v>
      </c>
      <c r="B54" s="14">
        <f>IFERROR(VLOOKUP(A54,PRICELIST!$A$3:$D$138,4,0),"-")</f>
        <v>508.18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9">
        <f t="shared" ref="CY54:CZ58" si="30">C54+E54+G54+I54+K54+M54+O54+Q54+S54+U54+W54+Y54+AA54+AC54+AE54+AG54+AI54+AK54+AM54+AO54+AQ54+AS54+AU54+AW54+AY54+BA54+BC54+BE54+BG54+BI54+BK54+BM54+BO54+BQ54+BS54+BU54+BW54+BY54+CA54+CC54+CE54+CG54+CI54+CK54+CM54+CO54+CQ54+CS54+CU54+CW54</f>
        <v>0</v>
      </c>
      <c r="CZ54" s="19">
        <f t="shared" si="30"/>
        <v>0</v>
      </c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</row>
    <row r="55" spans="1:122" ht="18" customHeight="1">
      <c r="A55" s="13" t="s">
        <v>37</v>
      </c>
      <c r="B55" s="14">
        <f>IFERROR(VLOOKUP(A55,PRICELIST!$A$3:$D$138,4,0),"-")</f>
        <v>115.71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9">
        <f t="shared" si="30"/>
        <v>0</v>
      </c>
      <c r="CZ55" s="19">
        <f t="shared" si="30"/>
        <v>0</v>
      </c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</row>
    <row r="56" spans="1:122" ht="18" customHeight="1">
      <c r="A56" s="13" t="s">
        <v>38</v>
      </c>
      <c r="B56" s="14">
        <f>IFERROR(VLOOKUP(A56,PRICELIST!$A$3:$D$138,4,0),"-")</f>
        <v>207.64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9">
        <f t="shared" si="30"/>
        <v>0</v>
      </c>
      <c r="CZ56" s="19">
        <f t="shared" si="30"/>
        <v>0</v>
      </c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</row>
    <row r="57" spans="1:122" ht="18" customHeight="1">
      <c r="A57" s="13" t="s">
        <v>39</v>
      </c>
      <c r="B57" s="14">
        <f>IFERROR(VLOOKUP(A57,PRICELIST!$A$3:$D$138,4,0),"-")</f>
        <v>576.96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9">
        <f t="shared" si="30"/>
        <v>0</v>
      </c>
      <c r="CZ57" s="19">
        <f t="shared" si="30"/>
        <v>0</v>
      </c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</row>
    <row r="58" spans="1:122" ht="18" customHeight="1">
      <c r="A58" s="13" t="s">
        <v>40</v>
      </c>
      <c r="B58" s="14">
        <f>IFERROR(VLOOKUP(A58,PRICELIST!$A$3:$D$138,4,0),"-")</f>
        <v>635.30999999999995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9">
        <f t="shared" si="30"/>
        <v>0</v>
      </c>
      <c r="CZ58" s="19">
        <f t="shared" si="30"/>
        <v>0</v>
      </c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</row>
    <row r="59" spans="1:122" ht="18" customHeight="1">
      <c r="A59" s="9" t="s">
        <v>41</v>
      </c>
      <c r="B59" s="10"/>
      <c r="C59" s="11">
        <f>SUMPRODUCT($B54:$B58,C54:C58)</f>
        <v>0</v>
      </c>
      <c r="D59" s="11">
        <f t="shared" ref="D59:BO59" si="31">SUMPRODUCT($B54:$B58,D54:D58)</f>
        <v>0</v>
      </c>
      <c r="E59" s="11">
        <f t="shared" si="31"/>
        <v>0</v>
      </c>
      <c r="F59" s="11">
        <f t="shared" si="31"/>
        <v>0</v>
      </c>
      <c r="G59" s="11">
        <f t="shared" si="31"/>
        <v>0</v>
      </c>
      <c r="H59" s="11">
        <f t="shared" si="31"/>
        <v>0</v>
      </c>
      <c r="I59" s="11">
        <f t="shared" si="31"/>
        <v>0</v>
      </c>
      <c r="J59" s="11">
        <f t="shared" si="31"/>
        <v>0</v>
      </c>
      <c r="K59" s="11">
        <f t="shared" si="31"/>
        <v>0</v>
      </c>
      <c r="L59" s="11">
        <f t="shared" si="31"/>
        <v>0</v>
      </c>
      <c r="M59" s="11">
        <f t="shared" si="31"/>
        <v>0</v>
      </c>
      <c r="N59" s="11">
        <f t="shared" si="31"/>
        <v>0</v>
      </c>
      <c r="O59" s="11">
        <f t="shared" si="31"/>
        <v>0</v>
      </c>
      <c r="P59" s="11">
        <f t="shared" si="31"/>
        <v>0</v>
      </c>
      <c r="Q59" s="11">
        <f t="shared" si="31"/>
        <v>0</v>
      </c>
      <c r="R59" s="11">
        <f t="shared" si="31"/>
        <v>0</v>
      </c>
      <c r="S59" s="11">
        <f t="shared" si="31"/>
        <v>0</v>
      </c>
      <c r="T59" s="11">
        <f t="shared" si="31"/>
        <v>0</v>
      </c>
      <c r="U59" s="11">
        <f t="shared" si="31"/>
        <v>0</v>
      </c>
      <c r="V59" s="11">
        <f t="shared" si="31"/>
        <v>0</v>
      </c>
      <c r="W59" s="11">
        <f t="shared" si="31"/>
        <v>0</v>
      </c>
      <c r="X59" s="11">
        <f t="shared" si="31"/>
        <v>0</v>
      </c>
      <c r="Y59" s="11">
        <f t="shared" si="31"/>
        <v>0</v>
      </c>
      <c r="Z59" s="11">
        <f t="shared" si="31"/>
        <v>0</v>
      </c>
      <c r="AA59" s="11">
        <f t="shared" si="31"/>
        <v>0</v>
      </c>
      <c r="AB59" s="11">
        <f t="shared" si="31"/>
        <v>0</v>
      </c>
      <c r="AC59" s="11">
        <f t="shared" si="31"/>
        <v>0</v>
      </c>
      <c r="AD59" s="11">
        <f t="shared" si="31"/>
        <v>0</v>
      </c>
      <c r="AE59" s="11">
        <f t="shared" si="31"/>
        <v>0</v>
      </c>
      <c r="AF59" s="11">
        <f t="shared" si="31"/>
        <v>0</v>
      </c>
      <c r="AG59" s="11">
        <f t="shared" si="31"/>
        <v>0</v>
      </c>
      <c r="AH59" s="11">
        <f t="shared" si="31"/>
        <v>0</v>
      </c>
      <c r="AI59" s="11">
        <f t="shared" si="31"/>
        <v>0</v>
      </c>
      <c r="AJ59" s="11">
        <f t="shared" si="31"/>
        <v>0</v>
      </c>
      <c r="AK59" s="11">
        <f t="shared" si="31"/>
        <v>0</v>
      </c>
      <c r="AL59" s="11">
        <f t="shared" si="31"/>
        <v>0</v>
      </c>
      <c r="AM59" s="11">
        <f t="shared" si="31"/>
        <v>0</v>
      </c>
      <c r="AN59" s="11">
        <f t="shared" si="31"/>
        <v>0</v>
      </c>
      <c r="AO59" s="11">
        <f t="shared" si="31"/>
        <v>0</v>
      </c>
      <c r="AP59" s="11">
        <f t="shared" si="31"/>
        <v>0</v>
      </c>
      <c r="AQ59" s="11">
        <f t="shared" si="31"/>
        <v>0</v>
      </c>
      <c r="AR59" s="11">
        <f t="shared" si="31"/>
        <v>0</v>
      </c>
      <c r="AS59" s="11">
        <f t="shared" si="31"/>
        <v>0</v>
      </c>
      <c r="AT59" s="11">
        <f t="shared" si="31"/>
        <v>0</v>
      </c>
      <c r="AU59" s="11">
        <f t="shared" si="31"/>
        <v>0</v>
      </c>
      <c r="AV59" s="11">
        <f t="shared" si="31"/>
        <v>0</v>
      </c>
      <c r="AW59" s="11">
        <f t="shared" si="31"/>
        <v>0</v>
      </c>
      <c r="AX59" s="11">
        <f t="shared" si="31"/>
        <v>0</v>
      </c>
      <c r="AY59" s="11">
        <f t="shared" si="31"/>
        <v>0</v>
      </c>
      <c r="AZ59" s="11">
        <f t="shared" si="31"/>
        <v>0</v>
      </c>
      <c r="BA59" s="11">
        <f t="shared" si="31"/>
        <v>0</v>
      </c>
      <c r="BB59" s="11">
        <f t="shared" si="31"/>
        <v>0</v>
      </c>
      <c r="BC59" s="11">
        <f t="shared" si="31"/>
        <v>0</v>
      </c>
      <c r="BD59" s="11">
        <f t="shared" si="31"/>
        <v>0</v>
      </c>
      <c r="BE59" s="11">
        <f t="shared" si="31"/>
        <v>0</v>
      </c>
      <c r="BF59" s="11">
        <f t="shared" si="31"/>
        <v>0</v>
      </c>
      <c r="BG59" s="11">
        <f t="shared" si="31"/>
        <v>0</v>
      </c>
      <c r="BH59" s="11">
        <f t="shared" si="31"/>
        <v>0</v>
      </c>
      <c r="BI59" s="11">
        <f t="shared" si="31"/>
        <v>0</v>
      </c>
      <c r="BJ59" s="11">
        <f t="shared" si="31"/>
        <v>0</v>
      </c>
      <c r="BK59" s="11">
        <f t="shared" si="31"/>
        <v>0</v>
      </c>
      <c r="BL59" s="11">
        <f t="shared" si="31"/>
        <v>0</v>
      </c>
      <c r="BM59" s="11">
        <f t="shared" si="31"/>
        <v>0</v>
      </c>
      <c r="BN59" s="11">
        <f t="shared" si="31"/>
        <v>0</v>
      </c>
      <c r="BO59" s="11">
        <f t="shared" si="31"/>
        <v>0</v>
      </c>
      <c r="BP59" s="11">
        <f t="shared" ref="BP59:CZ59" si="32">SUMPRODUCT($B54:$B58,BP54:BP58)</f>
        <v>0</v>
      </c>
      <c r="BQ59" s="11">
        <f t="shared" si="32"/>
        <v>0</v>
      </c>
      <c r="BR59" s="11">
        <f t="shared" si="32"/>
        <v>0</v>
      </c>
      <c r="BS59" s="11">
        <f t="shared" si="32"/>
        <v>0</v>
      </c>
      <c r="BT59" s="11">
        <f t="shared" si="32"/>
        <v>0</v>
      </c>
      <c r="BU59" s="11">
        <f t="shared" si="32"/>
        <v>0</v>
      </c>
      <c r="BV59" s="11">
        <f t="shared" si="32"/>
        <v>0</v>
      </c>
      <c r="BW59" s="11">
        <f t="shared" si="32"/>
        <v>0</v>
      </c>
      <c r="BX59" s="11">
        <f t="shared" si="32"/>
        <v>0</v>
      </c>
      <c r="BY59" s="11">
        <f t="shared" si="32"/>
        <v>0</v>
      </c>
      <c r="BZ59" s="11">
        <f t="shared" si="32"/>
        <v>0</v>
      </c>
      <c r="CA59" s="11">
        <f t="shared" si="32"/>
        <v>0</v>
      </c>
      <c r="CB59" s="11">
        <f t="shared" si="32"/>
        <v>0</v>
      </c>
      <c r="CC59" s="11">
        <f t="shared" si="32"/>
        <v>0</v>
      </c>
      <c r="CD59" s="11">
        <f t="shared" si="32"/>
        <v>0</v>
      </c>
      <c r="CE59" s="11">
        <f t="shared" si="32"/>
        <v>0</v>
      </c>
      <c r="CF59" s="11">
        <f t="shared" si="32"/>
        <v>0</v>
      </c>
      <c r="CG59" s="11">
        <f t="shared" si="32"/>
        <v>0</v>
      </c>
      <c r="CH59" s="11">
        <f t="shared" si="32"/>
        <v>0</v>
      </c>
      <c r="CI59" s="11">
        <f t="shared" si="32"/>
        <v>0</v>
      </c>
      <c r="CJ59" s="11">
        <f t="shared" si="32"/>
        <v>0</v>
      </c>
      <c r="CK59" s="11">
        <f t="shared" si="32"/>
        <v>0</v>
      </c>
      <c r="CL59" s="11">
        <f t="shared" si="32"/>
        <v>0</v>
      </c>
      <c r="CM59" s="11">
        <f t="shared" si="32"/>
        <v>0</v>
      </c>
      <c r="CN59" s="11">
        <f t="shared" si="32"/>
        <v>0</v>
      </c>
      <c r="CO59" s="11">
        <f t="shared" si="32"/>
        <v>0</v>
      </c>
      <c r="CP59" s="11">
        <f t="shared" si="32"/>
        <v>0</v>
      </c>
      <c r="CQ59" s="11">
        <f t="shared" si="32"/>
        <v>0</v>
      </c>
      <c r="CR59" s="11">
        <f t="shared" si="32"/>
        <v>0</v>
      </c>
      <c r="CS59" s="11">
        <f t="shared" si="32"/>
        <v>0</v>
      </c>
      <c r="CT59" s="11">
        <f t="shared" si="32"/>
        <v>0</v>
      </c>
      <c r="CU59" s="11">
        <f t="shared" si="32"/>
        <v>0</v>
      </c>
      <c r="CV59" s="11">
        <f t="shared" si="32"/>
        <v>0</v>
      </c>
      <c r="CW59" s="11">
        <f t="shared" si="32"/>
        <v>0</v>
      </c>
      <c r="CX59" s="11">
        <f t="shared" si="32"/>
        <v>0</v>
      </c>
      <c r="CY59" s="11">
        <f t="shared" si="32"/>
        <v>0</v>
      </c>
      <c r="CZ59" s="11">
        <f t="shared" si="32"/>
        <v>0</v>
      </c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</row>
    <row r="60" spans="1:122" ht="18" customHeight="1">
      <c r="A60" s="13" t="s">
        <v>133</v>
      </c>
      <c r="B60" s="14">
        <f>IFERROR(VLOOKUP(A60,PRICELIST!$A$3:$D$138,4,0),"-")</f>
        <v>23.41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9">
        <f t="shared" ref="CY60:CZ70" si="33">C60+E60+G60+I60+K60+M60+O60+Q60+S60+U60+W60+Y60+AA60+AC60+AE60+AG60+AI60+AK60+AM60+AO60+AQ60+AS60+AU60+AW60+AY60+BA60+BC60+BE60+BG60+BI60+BK60+BM60+BO60+BQ60+BS60+BU60+BW60+BY60+CA60+CC60+CE60+CG60+CI60+CK60+CM60+CO60+CQ60+CS60+CU60+CW60</f>
        <v>0</v>
      </c>
      <c r="CZ60" s="19">
        <f t="shared" si="33"/>
        <v>0</v>
      </c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</row>
    <row r="61" spans="1:122" ht="18" customHeight="1">
      <c r="A61" s="13" t="s">
        <v>42</v>
      </c>
      <c r="B61" s="14">
        <f>IFERROR(VLOOKUP(A61,PRICELIST!$A$3:$D$138,4,0),"-")</f>
        <v>23.57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9">
        <f t="shared" si="33"/>
        <v>0</v>
      </c>
      <c r="CZ61" s="19">
        <f t="shared" si="33"/>
        <v>0</v>
      </c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</row>
    <row r="62" spans="1:122" ht="18" customHeight="1">
      <c r="A62" s="13" t="s">
        <v>43</v>
      </c>
      <c r="B62" s="14">
        <f>IFERROR(VLOOKUP(A62,PRICELIST!$A$3:$D$138,4,0),"-")</f>
        <v>66.7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9">
        <f t="shared" si="33"/>
        <v>0</v>
      </c>
      <c r="CZ62" s="19">
        <f t="shared" si="33"/>
        <v>0</v>
      </c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</row>
    <row r="63" spans="1:122" ht="18" customHeight="1">
      <c r="A63" s="13" t="s">
        <v>44</v>
      </c>
      <c r="B63" s="14">
        <f>IFERROR(VLOOKUP(A63,PRICELIST!$A$3:$D$138,4,0),"-")</f>
        <v>67.819999999999993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9">
        <f t="shared" si="33"/>
        <v>0</v>
      </c>
      <c r="CZ63" s="19">
        <f t="shared" si="33"/>
        <v>0</v>
      </c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</row>
    <row r="64" spans="1:122" ht="18" customHeight="1">
      <c r="A64" s="13" t="s">
        <v>45</v>
      </c>
      <c r="B64" s="14">
        <f>IFERROR(VLOOKUP(A64,PRICELIST!$A$3:$D$138,4,0),"-")</f>
        <v>9.58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9">
        <f t="shared" si="33"/>
        <v>0</v>
      </c>
      <c r="CZ64" s="19">
        <f t="shared" si="33"/>
        <v>0</v>
      </c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</row>
    <row r="65" spans="1:122" ht="18" customHeight="1">
      <c r="A65" s="13" t="s">
        <v>46</v>
      </c>
      <c r="B65" s="14">
        <f>IFERROR(VLOOKUP(A65,PRICELIST!$A$3:$D$138,4,0),"-")</f>
        <v>23.41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9">
        <f t="shared" si="33"/>
        <v>0</v>
      </c>
      <c r="CZ65" s="19">
        <f t="shared" si="33"/>
        <v>0</v>
      </c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</row>
    <row r="66" spans="1:122" ht="18" customHeight="1">
      <c r="A66" s="13" t="s">
        <v>47</v>
      </c>
      <c r="B66" s="14">
        <f>IFERROR(VLOOKUP(A66,PRICELIST!$A$3:$D$138,4,0),"-")</f>
        <v>23.57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9">
        <f t="shared" si="33"/>
        <v>0</v>
      </c>
      <c r="CZ66" s="19">
        <f t="shared" si="33"/>
        <v>0</v>
      </c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</row>
    <row r="67" spans="1:122" ht="18" customHeight="1">
      <c r="A67" s="13" t="s">
        <v>49</v>
      </c>
      <c r="B67" s="14">
        <f>IFERROR(VLOOKUP(A67,PRICELIST!$A$3:$D$138,4,0),"-")</f>
        <v>132.43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9">
        <f t="shared" si="33"/>
        <v>0</v>
      </c>
      <c r="CZ67" s="19">
        <f t="shared" si="33"/>
        <v>0</v>
      </c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</row>
    <row r="68" spans="1:122" ht="18" customHeight="1">
      <c r="A68" s="13" t="s">
        <v>50</v>
      </c>
      <c r="B68" s="14">
        <f>IFERROR(VLOOKUP(A68,PRICELIST!$A$3:$D$138,4,0),"-")</f>
        <v>94.7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9">
        <f t="shared" si="33"/>
        <v>0</v>
      </c>
      <c r="CZ68" s="19">
        <f t="shared" si="33"/>
        <v>0</v>
      </c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</row>
    <row r="69" spans="1:122" ht="18" customHeight="1">
      <c r="A69" s="13" t="s">
        <v>51</v>
      </c>
      <c r="B69" s="14">
        <f>IFERROR(VLOOKUP(A69,PRICELIST!$A$3:$D$138,4,0),"-")</f>
        <v>58.82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9">
        <f t="shared" si="33"/>
        <v>0</v>
      </c>
      <c r="CZ69" s="19">
        <f t="shared" si="33"/>
        <v>0</v>
      </c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</row>
    <row r="70" spans="1:122" ht="18" customHeight="1">
      <c r="A70" s="13" t="s">
        <v>52</v>
      </c>
      <c r="B70" s="14">
        <f>IFERROR(VLOOKUP(A70,PRICELIST!$A$3:$D$138,4,0),"-")</f>
        <v>61.39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9">
        <f t="shared" si="33"/>
        <v>0</v>
      </c>
      <c r="CZ70" s="19">
        <f t="shared" si="33"/>
        <v>0</v>
      </c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</row>
    <row r="71" spans="1:122" ht="18" customHeight="1">
      <c r="A71" s="9" t="s">
        <v>48</v>
      </c>
      <c r="B71" s="10"/>
      <c r="C71" s="11">
        <f t="shared" ref="C71:AH71" si="34">SUMPRODUCT($B60:$B70,C60:C70)</f>
        <v>0</v>
      </c>
      <c r="D71" s="11">
        <f t="shared" si="34"/>
        <v>0</v>
      </c>
      <c r="E71" s="11">
        <f t="shared" si="34"/>
        <v>0</v>
      </c>
      <c r="F71" s="11">
        <f t="shared" si="34"/>
        <v>0</v>
      </c>
      <c r="G71" s="11">
        <f t="shared" si="34"/>
        <v>0</v>
      </c>
      <c r="H71" s="11">
        <f t="shared" si="34"/>
        <v>0</v>
      </c>
      <c r="I71" s="11">
        <f t="shared" si="34"/>
        <v>0</v>
      </c>
      <c r="J71" s="11">
        <f t="shared" si="34"/>
        <v>0</v>
      </c>
      <c r="K71" s="11">
        <f t="shared" si="34"/>
        <v>0</v>
      </c>
      <c r="L71" s="11">
        <f t="shared" si="34"/>
        <v>0</v>
      </c>
      <c r="M71" s="11">
        <f t="shared" si="34"/>
        <v>0</v>
      </c>
      <c r="N71" s="11">
        <f t="shared" si="34"/>
        <v>0</v>
      </c>
      <c r="O71" s="11">
        <f t="shared" si="34"/>
        <v>0</v>
      </c>
      <c r="P71" s="11">
        <f t="shared" si="34"/>
        <v>0</v>
      </c>
      <c r="Q71" s="11">
        <f t="shared" si="34"/>
        <v>0</v>
      </c>
      <c r="R71" s="11">
        <f t="shared" si="34"/>
        <v>0</v>
      </c>
      <c r="S71" s="11">
        <f t="shared" si="34"/>
        <v>0</v>
      </c>
      <c r="T71" s="11">
        <f t="shared" si="34"/>
        <v>0</v>
      </c>
      <c r="U71" s="11">
        <f t="shared" si="34"/>
        <v>0</v>
      </c>
      <c r="V71" s="11">
        <f t="shared" si="34"/>
        <v>0</v>
      </c>
      <c r="W71" s="11">
        <f t="shared" si="34"/>
        <v>0</v>
      </c>
      <c r="X71" s="11">
        <f t="shared" si="34"/>
        <v>0</v>
      </c>
      <c r="Y71" s="11">
        <f t="shared" si="34"/>
        <v>0</v>
      </c>
      <c r="Z71" s="11">
        <f t="shared" si="34"/>
        <v>0</v>
      </c>
      <c r="AA71" s="11">
        <f t="shared" si="34"/>
        <v>0</v>
      </c>
      <c r="AB71" s="11">
        <f t="shared" si="34"/>
        <v>0</v>
      </c>
      <c r="AC71" s="11">
        <f t="shared" si="34"/>
        <v>0</v>
      </c>
      <c r="AD71" s="11">
        <f t="shared" si="34"/>
        <v>0</v>
      </c>
      <c r="AE71" s="11">
        <f t="shared" si="34"/>
        <v>0</v>
      </c>
      <c r="AF71" s="11">
        <f t="shared" si="34"/>
        <v>0</v>
      </c>
      <c r="AG71" s="11">
        <f t="shared" si="34"/>
        <v>0</v>
      </c>
      <c r="AH71" s="11">
        <f t="shared" si="34"/>
        <v>0</v>
      </c>
      <c r="AI71" s="11">
        <f t="shared" ref="AI71:BN71" si="35">SUMPRODUCT($B60:$B70,AI60:AI70)</f>
        <v>0</v>
      </c>
      <c r="AJ71" s="11">
        <f t="shared" si="35"/>
        <v>0</v>
      </c>
      <c r="AK71" s="11">
        <f t="shared" si="35"/>
        <v>0</v>
      </c>
      <c r="AL71" s="11">
        <f t="shared" si="35"/>
        <v>0</v>
      </c>
      <c r="AM71" s="11">
        <f t="shared" si="35"/>
        <v>0</v>
      </c>
      <c r="AN71" s="11">
        <f t="shared" si="35"/>
        <v>0</v>
      </c>
      <c r="AO71" s="11">
        <f t="shared" si="35"/>
        <v>0</v>
      </c>
      <c r="AP71" s="11">
        <f t="shared" si="35"/>
        <v>0</v>
      </c>
      <c r="AQ71" s="11">
        <f t="shared" si="35"/>
        <v>0</v>
      </c>
      <c r="AR71" s="11">
        <f t="shared" si="35"/>
        <v>0</v>
      </c>
      <c r="AS71" s="11">
        <f t="shared" si="35"/>
        <v>0</v>
      </c>
      <c r="AT71" s="11">
        <f t="shared" si="35"/>
        <v>0</v>
      </c>
      <c r="AU71" s="11">
        <f t="shared" si="35"/>
        <v>0</v>
      </c>
      <c r="AV71" s="11">
        <f t="shared" si="35"/>
        <v>0</v>
      </c>
      <c r="AW71" s="11">
        <f t="shared" si="35"/>
        <v>0</v>
      </c>
      <c r="AX71" s="11">
        <f t="shared" si="35"/>
        <v>0</v>
      </c>
      <c r="AY71" s="11">
        <f t="shared" si="35"/>
        <v>0</v>
      </c>
      <c r="AZ71" s="11">
        <f t="shared" si="35"/>
        <v>0</v>
      </c>
      <c r="BA71" s="11">
        <f t="shared" si="35"/>
        <v>0</v>
      </c>
      <c r="BB71" s="11">
        <f t="shared" si="35"/>
        <v>0</v>
      </c>
      <c r="BC71" s="11">
        <f t="shared" si="35"/>
        <v>0</v>
      </c>
      <c r="BD71" s="11">
        <f t="shared" si="35"/>
        <v>0</v>
      </c>
      <c r="BE71" s="11">
        <f t="shared" si="35"/>
        <v>0</v>
      </c>
      <c r="BF71" s="11">
        <f t="shared" si="35"/>
        <v>0</v>
      </c>
      <c r="BG71" s="11">
        <f t="shared" si="35"/>
        <v>0</v>
      </c>
      <c r="BH71" s="11">
        <f t="shared" si="35"/>
        <v>0</v>
      </c>
      <c r="BI71" s="11">
        <f t="shared" si="35"/>
        <v>0</v>
      </c>
      <c r="BJ71" s="11">
        <f t="shared" si="35"/>
        <v>0</v>
      </c>
      <c r="BK71" s="11">
        <f t="shared" si="35"/>
        <v>0</v>
      </c>
      <c r="BL71" s="11">
        <f t="shared" si="35"/>
        <v>0</v>
      </c>
      <c r="BM71" s="11">
        <f t="shared" si="35"/>
        <v>0</v>
      </c>
      <c r="BN71" s="11">
        <f t="shared" si="35"/>
        <v>0</v>
      </c>
      <c r="BO71" s="11">
        <f t="shared" ref="BO71:CT71" si="36">SUMPRODUCT($B60:$B70,BO60:BO70)</f>
        <v>0</v>
      </c>
      <c r="BP71" s="11">
        <f t="shared" si="36"/>
        <v>0</v>
      </c>
      <c r="BQ71" s="11">
        <f t="shared" si="36"/>
        <v>0</v>
      </c>
      <c r="BR71" s="11">
        <f t="shared" si="36"/>
        <v>0</v>
      </c>
      <c r="BS71" s="11">
        <f t="shared" si="36"/>
        <v>0</v>
      </c>
      <c r="BT71" s="11">
        <f t="shared" si="36"/>
        <v>0</v>
      </c>
      <c r="BU71" s="11">
        <f t="shared" si="36"/>
        <v>0</v>
      </c>
      <c r="BV71" s="11">
        <f t="shared" si="36"/>
        <v>0</v>
      </c>
      <c r="BW71" s="11">
        <f t="shared" si="36"/>
        <v>0</v>
      </c>
      <c r="BX71" s="11">
        <f t="shared" si="36"/>
        <v>0</v>
      </c>
      <c r="BY71" s="11">
        <f t="shared" si="36"/>
        <v>0</v>
      </c>
      <c r="BZ71" s="11">
        <f t="shared" si="36"/>
        <v>0</v>
      </c>
      <c r="CA71" s="11">
        <f t="shared" si="36"/>
        <v>0</v>
      </c>
      <c r="CB71" s="11">
        <f t="shared" si="36"/>
        <v>0</v>
      </c>
      <c r="CC71" s="11">
        <f t="shared" si="36"/>
        <v>0</v>
      </c>
      <c r="CD71" s="11">
        <f t="shared" si="36"/>
        <v>0</v>
      </c>
      <c r="CE71" s="11">
        <f t="shared" si="36"/>
        <v>0</v>
      </c>
      <c r="CF71" s="11">
        <f t="shared" si="36"/>
        <v>0</v>
      </c>
      <c r="CG71" s="11">
        <f t="shared" si="36"/>
        <v>0</v>
      </c>
      <c r="CH71" s="11">
        <f t="shared" si="36"/>
        <v>0</v>
      </c>
      <c r="CI71" s="11">
        <f t="shared" si="36"/>
        <v>0</v>
      </c>
      <c r="CJ71" s="11">
        <f t="shared" si="36"/>
        <v>0</v>
      </c>
      <c r="CK71" s="11">
        <f t="shared" si="36"/>
        <v>0</v>
      </c>
      <c r="CL71" s="11">
        <f t="shared" si="36"/>
        <v>0</v>
      </c>
      <c r="CM71" s="11">
        <f t="shared" si="36"/>
        <v>0</v>
      </c>
      <c r="CN71" s="11">
        <f t="shared" si="36"/>
        <v>0</v>
      </c>
      <c r="CO71" s="11">
        <f t="shared" si="36"/>
        <v>0</v>
      </c>
      <c r="CP71" s="11">
        <f t="shared" si="36"/>
        <v>0</v>
      </c>
      <c r="CQ71" s="11">
        <f t="shared" si="36"/>
        <v>0</v>
      </c>
      <c r="CR71" s="11">
        <f t="shared" si="36"/>
        <v>0</v>
      </c>
      <c r="CS71" s="11">
        <f t="shared" si="36"/>
        <v>0</v>
      </c>
      <c r="CT71" s="11">
        <f t="shared" si="36"/>
        <v>0</v>
      </c>
      <c r="CU71" s="11">
        <f t="shared" ref="CU71:CZ71" si="37">SUMPRODUCT($B60:$B70,CU60:CU70)</f>
        <v>0</v>
      </c>
      <c r="CV71" s="11">
        <f t="shared" si="37"/>
        <v>0</v>
      </c>
      <c r="CW71" s="11">
        <f t="shared" si="37"/>
        <v>0</v>
      </c>
      <c r="CX71" s="11">
        <f t="shared" si="37"/>
        <v>0</v>
      </c>
      <c r="CY71" s="11">
        <f t="shared" si="37"/>
        <v>0</v>
      </c>
      <c r="CZ71" s="11">
        <f t="shared" si="37"/>
        <v>0</v>
      </c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</row>
    <row r="72" spans="1:122" ht="18" customHeight="1">
      <c r="A72" s="13" t="s">
        <v>85</v>
      </c>
      <c r="B72" s="14">
        <f>IFERROR(VLOOKUP(A72,PRICELIST!$A$3:$D$138,4,0),"-")</f>
        <v>165.86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9">
        <f t="shared" ref="CY72:CZ78" si="38">C72+E72+G72+I72+K72+M72+O72+Q72+S72+U72+W72+Y72+AA72+AC72+AE72+AG72+AI72+AK72+AM72+AO72+AQ72+AS72+AU72+AW72+AY72+BA72+BC72+BE72+BG72+BI72+BK72+BM72+BO72+BQ72+BS72+BU72+BW72+BY72+CA72+CC72+CE72+CG72+CI72+CK72+CM72+CO72+CQ72+CS72+CU72+CW72</f>
        <v>0</v>
      </c>
      <c r="CZ72" s="19">
        <f t="shared" si="38"/>
        <v>0</v>
      </c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</row>
    <row r="73" spans="1:122" ht="18" customHeight="1">
      <c r="A73" s="13" t="s">
        <v>53</v>
      </c>
      <c r="B73" s="14">
        <f>IFERROR(VLOOKUP(A73,PRICELIST!$A$3:$D$138,4,0),"-")</f>
        <v>82.93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9">
        <f t="shared" si="38"/>
        <v>0</v>
      </c>
      <c r="CZ73" s="19">
        <f t="shared" si="38"/>
        <v>0</v>
      </c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</row>
    <row r="74" spans="1:122" ht="18" customHeight="1">
      <c r="A74" s="13" t="s">
        <v>54</v>
      </c>
      <c r="B74" s="14">
        <f>IFERROR(VLOOKUP(A74,PRICELIST!$A$3:$D$138,4,0),"-")</f>
        <v>96.43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9">
        <f t="shared" si="38"/>
        <v>0</v>
      </c>
      <c r="CZ74" s="19">
        <f t="shared" si="38"/>
        <v>0</v>
      </c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</row>
    <row r="75" spans="1:122" ht="18" customHeight="1">
      <c r="A75" s="13" t="s">
        <v>55</v>
      </c>
      <c r="B75" s="14">
        <f>IFERROR(VLOOKUP(A75,PRICELIST!$A$3:$D$138,4,0),"-")</f>
        <v>47.57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9">
        <f t="shared" si="38"/>
        <v>0</v>
      </c>
      <c r="CZ75" s="19">
        <f t="shared" si="38"/>
        <v>0</v>
      </c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</row>
    <row r="76" spans="1:122" ht="18" customHeight="1">
      <c r="A76" s="13" t="s">
        <v>132</v>
      </c>
      <c r="B76" s="14">
        <f>IFERROR(VLOOKUP(A76,PRICELIST!$A$3:$D$138,4,0),"-")</f>
        <v>128.57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9">
        <f t="shared" si="38"/>
        <v>0</v>
      </c>
      <c r="CZ76" s="19">
        <f t="shared" si="38"/>
        <v>0</v>
      </c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</row>
    <row r="77" spans="1:122" ht="18" customHeight="1">
      <c r="A77" s="13" t="s">
        <v>86</v>
      </c>
      <c r="B77" s="14">
        <f>IFERROR(VLOOKUP(A77,PRICELIST!$A$3:$D$138,4,0),"-")</f>
        <v>130.5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9">
        <f t="shared" si="38"/>
        <v>0</v>
      </c>
      <c r="CZ77" s="19">
        <f t="shared" si="38"/>
        <v>0</v>
      </c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</row>
    <row r="78" spans="1:122" ht="18" customHeight="1">
      <c r="A78" s="26" t="s">
        <v>121</v>
      </c>
      <c r="B78" s="14">
        <f>IFERROR(VLOOKUP(A78,PRICELIST!$A$3:$D$138,4,0),"-")</f>
        <v>146.88999999999999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9">
        <f t="shared" si="38"/>
        <v>0</v>
      </c>
      <c r="CZ78" s="19">
        <f t="shared" si="38"/>
        <v>0</v>
      </c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</row>
    <row r="79" spans="1:122" ht="18" customHeight="1">
      <c r="A79" s="9" t="s">
        <v>56</v>
      </c>
      <c r="B79" s="10"/>
      <c r="C79" s="11">
        <f>SUMPRODUCT($B72:$B78,C72:C78)</f>
        <v>0</v>
      </c>
      <c r="D79" s="11">
        <f t="shared" ref="D79:BO79" si="39">SUMPRODUCT($B72:$B78,D72:D78)</f>
        <v>0</v>
      </c>
      <c r="E79" s="11">
        <f t="shared" si="39"/>
        <v>0</v>
      </c>
      <c r="F79" s="11">
        <f t="shared" si="39"/>
        <v>0</v>
      </c>
      <c r="G79" s="11">
        <f t="shared" si="39"/>
        <v>0</v>
      </c>
      <c r="H79" s="11">
        <f t="shared" si="39"/>
        <v>0</v>
      </c>
      <c r="I79" s="11">
        <f t="shared" si="39"/>
        <v>0</v>
      </c>
      <c r="J79" s="11">
        <f t="shared" si="39"/>
        <v>0</v>
      </c>
      <c r="K79" s="11">
        <f t="shared" si="39"/>
        <v>0</v>
      </c>
      <c r="L79" s="11">
        <f t="shared" si="39"/>
        <v>0</v>
      </c>
      <c r="M79" s="11">
        <f t="shared" si="39"/>
        <v>0</v>
      </c>
      <c r="N79" s="11">
        <f t="shared" si="39"/>
        <v>0</v>
      </c>
      <c r="O79" s="11">
        <f t="shared" si="39"/>
        <v>0</v>
      </c>
      <c r="P79" s="11">
        <f t="shared" si="39"/>
        <v>0</v>
      </c>
      <c r="Q79" s="11">
        <f t="shared" si="39"/>
        <v>0</v>
      </c>
      <c r="R79" s="11">
        <f t="shared" si="39"/>
        <v>0</v>
      </c>
      <c r="S79" s="11">
        <f t="shared" si="39"/>
        <v>0</v>
      </c>
      <c r="T79" s="11">
        <f t="shared" si="39"/>
        <v>0</v>
      </c>
      <c r="U79" s="11">
        <f t="shared" si="39"/>
        <v>0</v>
      </c>
      <c r="V79" s="11">
        <f t="shared" si="39"/>
        <v>0</v>
      </c>
      <c r="W79" s="11">
        <f t="shared" si="39"/>
        <v>0</v>
      </c>
      <c r="X79" s="11">
        <f t="shared" si="39"/>
        <v>0</v>
      </c>
      <c r="Y79" s="11">
        <f t="shared" si="39"/>
        <v>0</v>
      </c>
      <c r="Z79" s="11">
        <f t="shared" si="39"/>
        <v>0</v>
      </c>
      <c r="AA79" s="11">
        <f t="shared" si="39"/>
        <v>0</v>
      </c>
      <c r="AB79" s="11">
        <f t="shared" si="39"/>
        <v>0</v>
      </c>
      <c r="AC79" s="11">
        <f t="shared" si="39"/>
        <v>0</v>
      </c>
      <c r="AD79" s="11">
        <f t="shared" si="39"/>
        <v>0</v>
      </c>
      <c r="AE79" s="11">
        <f t="shared" si="39"/>
        <v>0</v>
      </c>
      <c r="AF79" s="11">
        <f t="shared" si="39"/>
        <v>0</v>
      </c>
      <c r="AG79" s="11">
        <f t="shared" si="39"/>
        <v>0</v>
      </c>
      <c r="AH79" s="11">
        <f t="shared" si="39"/>
        <v>0</v>
      </c>
      <c r="AI79" s="11">
        <f t="shared" si="39"/>
        <v>0</v>
      </c>
      <c r="AJ79" s="11">
        <f t="shared" si="39"/>
        <v>0</v>
      </c>
      <c r="AK79" s="11">
        <f t="shared" si="39"/>
        <v>0</v>
      </c>
      <c r="AL79" s="11">
        <f t="shared" si="39"/>
        <v>0</v>
      </c>
      <c r="AM79" s="11">
        <f t="shared" si="39"/>
        <v>0</v>
      </c>
      <c r="AN79" s="11">
        <f t="shared" si="39"/>
        <v>0</v>
      </c>
      <c r="AO79" s="11">
        <f t="shared" si="39"/>
        <v>0</v>
      </c>
      <c r="AP79" s="11">
        <f t="shared" si="39"/>
        <v>0</v>
      </c>
      <c r="AQ79" s="11">
        <f t="shared" si="39"/>
        <v>0</v>
      </c>
      <c r="AR79" s="11">
        <f t="shared" si="39"/>
        <v>0</v>
      </c>
      <c r="AS79" s="11">
        <f t="shared" si="39"/>
        <v>0</v>
      </c>
      <c r="AT79" s="11">
        <f t="shared" si="39"/>
        <v>0</v>
      </c>
      <c r="AU79" s="11">
        <f t="shared" si="39"/>
        <v>0</v>
      </c>
      <c r="AV79" s="11">
        <f t="shared" si="39"/>
        <v>0</v>
      </c>
      <c r="AW79" s="11">
        <f t="shared" si="39"/>
        <v>0</v>
      </c>
      <c r="AX79" s="11">
        <f t="shared" si="39"/>
        <v>0</v>
      </c>
      <c r="AY79" s="11">
        <f t="shared" si="39"/>
        <v>0</v>
      </c>
      <c r="AZ79" s="11">
        <f t="shared" si="39"/>
        <v>0</v>
      </c>
      <c r="BA79" s="11">
        <f t="shared" si="39"/>
        <v>0</v>
      </c>
      <c r="BB79" s="11">
        <f t="shared" si="39"/>
        <v>0</v>
      </c>
      <c r="BC79" s="11">
        <f t="shared" si="39"/>
        <v>0</v>
      </c>
      <c r="BD79" s="11">
        <f t="shared" si="39"/>
        <v>0</v>
      </c>
      <c r="BE79" s="11">
        <f t="shared" si="39"/>
        <v>0</v>
      </c>
      <c r="BF79" s="11">
        <f t="shared" si="39"/>
        <v>0</v>
      </c>
      <c r="BG79" s="11">
        <f t="shared" si="39"/>
        <v>0</v>
      </c>
      <c r="BH79" s="11">
        <f t="shared" si="39"/>
        <v>0</v>
      </c>
      <c r="BI79" s="11">
        <f t="shared" si="39"/>
        <v>0</v>
      </c>
      <c r="BJ79" s="11">
        <f t="shared" si="39"/>
        <v>0</v>
      </c>
      <c r="BK79" s="11">
        <f t="shared" si="39"/>
        <v>0</v>
      </c>
      <c r="BL79" s="11">
        <f t="shared" si="39"/>
        <v>0</v>
      </c>
      <c r="BM79" s="11">
        <f t="shared" si="39"/>
        <v>0</v>
      </c>
      <c r="BN79" s="11">
        <f t="shared" si="39"/>
        <v>0</v>
      </c>
      <c r="BO79" s="11">
        <f t="shared" si="39"/>
        <v>0</v>
      </c>
      <c r="BP79" s="11">
        <f t="shared" ref="BP79:CZ79" si="40">SUMPRODUCT($B72:$B78,BP72:BP78)</f>
        <v>0</v>
      </c>
      <c r="BQ79" s="11">
        <f t="shared" si="40"/>
        <v>0</v>
      </c>
      <c r="BR79" s="11">
        <f t="shared" si="40"/>
        <v>0</v>
      </c>
      <c r="BS79" s="11">
        <f t="shared" si="40"/>
        <v>0</v>
      </c>
      <c r="BT79" s="11">
        <f t="shared" si="40"/>
        <v>0</v>
      </c>
      <c r="BU79" s="11">
        <f t="shared" si="40"/>
        <v>0</v>
      </c>
      <c r="BV79" s="11">
        <f t="shared" si="40"/>
        <v>0</v>
      </c>
      <c r="BW79" s="11">
        <f t="shared" si="40"/>
        <v>0</v>
      </c>
      <c r="BX79" s="11">
        <f t="shared" si="40"/>
        <v>0</v>
      </c>
      <c r="BY79" s="11">
        <f t="shared" si="40"/>
        <v>0</v>
      </c>
      <c r="BZ79" s="11">
        <f t="shared" si="40"/>
        <v>0</v>
      </c>
      <c r="CA79" s="11">
        <f t="shared" si="40"/>
        <v>0</v>
      </c>
      <c r="CB79" s="11">
        <f t="shared" si="40"/>
        <v>0</v>
      </c>
      <c r="CC79" s="11">
        <f t="shared" si="40"/>
        <v>0</v>
      </c>
      <c r="CD79" s="11">
        <f t="shared" si="40"/>
        <v>0</v>
      </c>
      <c r="CE79" s="11">
        <f t="shared" si="40"/>
        <v>0</v>
      </c>
      <c r="CF79" s="11">
        <f t="shared" si="40"/>
        <v>0</v>
      </c>
      <c r="CG79" s="11">
        <f t="shared" si="40"/>
        <v>0</v>
      </c>
      <c r="CH79" s="11">
        <f t="shared" si="40"/>
        <v>0</v>
      </c>
      <c r="CI79" s="11">
        <f t="shared" si="40"/>
        <v>0</v>
      </c>
      <c r="CJ79" s="11">
        <f t="shared" si="40"/>
        <v>0</v>
      </c>
      <c r="CK79" s="11">
        <f t="shared" si="40"/>
        <v>0</v>
      </c>
      <c r="CL79" s="11">
        <f t="shared" si="40"/>
        <v>0</v>
      </c>
      <c r="CM79" s="11">
        <f t="shared" si="40"/>
        <v>0</v>
      </c>
      <c r="CN79" s="11">
        <f t="shared" si="40"/>
        <v>0</v>
      </c>
      <c r="CO79" s="11">
        <f t="shared" si="40"/>
        <v>0</v>
      </c>
      <c r="CP79" s="11">
        <f t="shared" si="40"/>
        <v>0</v>
      </c>
      <c r="CQ79" s="11">
        <f t="shared" si="40"/>
        <v>0</v>
      </c>
      <c r="CR79" s="11">
        <f t="shared" si="40"/>
        <v>0</v>
      </c>
      <c r="CS79" s="11">
        <f t="shared" si="40"/>
        <v>0</v>
      </c>
      <c r="CT79" s="11">
        <f t="shared" si="40"/>
        <v>0</v>
      </c>
      <c r="CU79" s="11">
        <f t="shared" si="40"/>
        <v>0</v>
      </c>
      <c r="CV79" s="11">
        <f t="shared" si="40"/>
        <v>0</v>
      </c>
      <c r="CW79" s="11">
        <f t="shared" si="40"/>
        <v>0</v>
      </c>
      <c r="CX79" s="11">
        <f t="shared" si="40"/>
        <v>0</v>
      </c>
      <c r="CY79" s="11">
        <f t="shared" si="40"/>
        <v>0</v>
      </c>
      <c r="CZ79" s="11">
        <f t="shared" si="40"/>
        <v>0</v>
      </c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</row>
    <row r="80" spans="1:122" ht="18" customHeight="1">
      <c r="A80" s="13" t="s">
        <v>57</v>
      </c>
      <c r="B80" s="14">
        <f>IFERROR(VLOOKUP(A80,PRICELIST!$A$3:$D$138,4,0),"-")</f>
        <v>78.75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9">
        <f>C80+E80+G80+I80+K80+M80+O80+Q80+S80+U80+W80+Y80+AA80+AC80+AE80+AG80+AI80+AK80+AM80+AO80+AQ80+AS80+AU80+AW80+AY80+BA80+BC80+BE80+BG80+BI80+BK80+BM80+BO80+BQ80+BS80+BU80+BW80+BY80+CA80+CC80+CE80+CG80+CI80+CK80+CM80+CO80+CQ80+CS80+CU80+CW80</f>
        <v>0</v>
      </c>
      <c r="CZ80" s="19">
        <f>D80+F80+H80+J80+L80+N80+P80+R80+T80+V80+X80+Z80+AB80+AD80+AF80+AH80+AJ80+AL80+AN80+AP80+AR80+AT80+AV80+AX80+AZ80+BB80+BD80+BF80+BH80+BJ80+BL80+BN80+BP80+BR80+BT80+BV80+BX80+BZ80+CB80+CD80+CF80+CH80+CJ80+CL80+CN80+CP80+CR80+CT80+CV80+CX80</f>
        <v>0</v>
      </c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</row>
    <row r="81" spans="1:122" ht="18" customHeight="1">
      <c r="A81" s="9" t="s">
        <v>58</v>
      </c>
      <c r="B81" s="10"/>
      <c r="C81" s="11">
        <f>SUMPRODUCT($B80*C80)</f>
        <v>0</v>
      </c>
      <c r="D81" s="11">
        <f t="shared" ref="D81:BO81" si="41">SUMPRODUCT($B80*D80)</f>
        <v>0</v>
      </c>
      <c r="E81" s="11">
        <f t="shared" si="41"/>
        <v>0</v>
      </c>
      <c r="F81" s="11">
        <f t="shared" si="41"/>
        <v>0</v>
      </c>
      <c r="G81" s="11">
        <f t="shared" si="41"/>
        <v>0</v>
      </c>
      <c r="H81" s="11">
        <f t="shared" si="41"/>
        <v>0</v>
      </c>
      <c r="I81" s="11">
        <f t="shared" si="41"/>
        <v>0</v>
      </c>
      <c r="J81" s="11">
        <f t="shared" si="41"/>
        <v>0</v>
      </c>
      <c r="K81" s="11">
        <f t="shared" si="41"/>
        <v>0</v>
      </c>
      <c r="L81" s="11">
        <f t="shared" si="41"/>
        <v>0</v>
      </c>
      <c r="M81" s="11">
        <f t="shared" si="41"/>
        <v>0</v>
      </c>
      <c r="N81" s="11">
        <f t="shared" si="41"/>
        <v>0</v>
      </c>
      <c r="O81" s="11">
        <f t="shared" si="41"/>
        <v>0</v>
      </c>
      <c r="P81" s="11">
        <f t="shared" si="41"/>
        <v>0</v>
      </c>
      <c r="Q81" s="11">
        <f t="shared" si="41"/>
        <v>0</v>
      </c>
      <c r="R81" s="11">
        <f t="shared" si="41"/>
        <v>0</v>
      </c>
      <c r="S81" s="11">
        <f t="shared" si="41"/>
        <v>0</v>
      </c>
      <c r="T81" s="11">
        <f t="shared" si="41"/>
        <v>0</v>
      </c>
      <c r="U81" s="11">
        <f t="shared" si="41"/>
        <v>0</v>
      </c>
      <c r="V81" s="11">
        <f t="shared" si="41"/>
        <v>0</v>
      </c>
      <c r="W81" s="11">
        <f t="shared" si="41"/>
        <v>0</v>
      </c>
      <c r="X81" s="11">
        <f t="shared" si="41"/>
        <v>0</v>
      </c>
      <c r="Y81" s="11">
        <f t="shared" si="41"/>
        <v>0</v>
      </c>
      <c r="Z81" s="11">
        <f t="shared" si="41"/>
        <v>0</v>
      </c>
      <c r="AA81" s="11">
        <f t="shared" si="41"/>
        <v>0</v>
      </c>
      <c r="AB81" s="11">
        <f t="shared" si="41"/>
        <v>0</v>
      </c>
      <c r="AC81" s="11">
        <f t="shared" si="41"/>
        <v>0</v>
      </c>
      <c r="AD81" s="11">
        <f t="shared" si="41"/>
        <v>0</v>
      </c>
      <c r="AE81" s="11">
        <f t="shared" si="41"/>
        <v>0</v>
      </c>
      <c r="AF81" s="11">
        <f t="shared" si="41"/>
        <v>0</v>
      </c>
      <c r="AG81" s="11">
        <f t="shared" si="41"/>
        <v>0</v>
      </c>
      <c r="AH81" s="11">
        <f t="shared" si="41"/>
        <v>0</v>
      </c>
      <c r="AI81" s="11">
        <f t="shared" si="41"/>
        <v>0</v>
      </c>
      <c r="AJ81" s="11">
        <f t="shared" si="41"/>
        <v>0</v>
      </c>
      <c r="AK81" s="11">
        <f t="shared" si="41"/>
        <v>0</v>
      </c>
      <c r="AL81" s="11">
        <f t="shared" si="41"/>
        <v>0</v>
      </c>
      <c r="AM81" s="11">
        <f t="shared" si="41"/>
        <v>0</v>
      </c>
      <c r="AN81" s="11">
        <f t="shared" si="41"/>
        <v>0</v>
      </c>
      <c r="AO81" s="11">
        <f t="shared" si="41"/>
        <v>0</v>
      </c>
      <c r="AP81" s="11">
        <f t="shared" si="41"/>
        <v>0</v>
      </c>
      <c r="AQ81" s="11">
        <f t="shared" si="41"/>
        <v>0</v>
      </c>
      <c r="AR81" s="11">
        <f t="shared" si="41"/>
        <v>0</v>
      </c>
      <c r="AS81" s="11">
        <f t="shared" si="41"/>
        <v>0</v>
      </c>
      <c r="AT81" s="11">
        <f t="shared" si="41"/>
        <v>0</v>
      </c>
      <c r="AU81" s="11">
        <f t="shared" si="41"/>
        <v>0</v>
      </c>
      <c r="AV81" s="11">
        <f t="shared" si="41"/>
        <v>0</v>
      </c>
      <c r="AW81" s="11">
        <f t="shared" si="41"/>
        <v>0</v>
      </c>
      <c r="AX81" s="11">
        <f t="shared" si="41"/>
        <v>0</v>
      </c>
      <c r="AY81" s="11">
        <f t="shared" si="41"/>
        <v>0</v>
      </c>
      <c r="AZ81" s="11">
        <f t="shared" si="41"/>
        <v>0</v>
      </c>
      <c r="BA81" s="11">
        <f t="shared" si="41"/>
        <v>0</v>
      </c>
      <c r="BB81" s="11">
        <f t="shared" si="41"/>
        <v>0</v>
      </c>
      <c r="BC81" s="11">
        <f t="shared" si="41"/>
        <v>0</v>
      </c>
      <c r="BD81" s="11">
        <f t="shared" si="41"/>
        <v>0</v>
      </c>
      <c r="BE81" s="11">
        <f t="shared" si="41"/>
        <v>0</v>
      </c>
      <c r="BF81" s="11">
        <f t="shared" si="41"/>
        <v>0</v>
      </c>
      <c r="BG81" s="11">
        <f t="shared" si="41"/>
        <v>0</v>
      </c>
      <c r="BH81" s="11">
        <f t="shared" si="41"/>
        <v>0</v>
      </c>
      <c r="BI81" s="11">
        <f t="shared" si="41"/>
        <v>0</v>
      </c>
      <c r="BJ81" s="11">
        <f t="shared" si="41"/>
        <v>0</v>
      </c>
      <c r="BK81" s="11">
        <f t="shared" si="41"/>
        <v>0</v>
      </c>
      <c r="BL81" s="11">
        <f t="shared" si="41"/>
        <v>0</v>
      </c>
      <c r="BM81" s="11">
        <f t="shared" si="41"/>
        <v>0</v>
      </c>
      <c r="BN81" s="11">
        <f t="shared" si="41"/>
        <v>0</v>
      </c>
      <c r="BO81" s="11">
        <f t="shared" si="41"/>
        <v>0</v>
      </c>
      <c r="BP81" s="11">
        <f t="shared" ref="BP81:CZ81" si="42">SUMPRODUCT($B80*BP80)</f>
        <v>0</v>
      </c>
      <c r="BQ81" s="11">
        <f t="shared" si="42"/>
        <v>0</v>
      </c>
      <c r="BR81" s="11">
        <f t="shared" si="42"/>
        <v>0</v>
      </c>
      <c r="BS81" s="11">
        <f t="shared" si="42"/>
        <v>0</v>
      </c>
      <c r="BT81" s="11">
        <f t="shared" si="42"/>
        <v>0</v>
      </c>
      <c r="BU81" s="11">
        <f t="shared" si="42"/>
        <v>0</v>
      </c>
      <c r="BV81" s="11">
        <f t="shared" si="42"/>
        <v>0</v>
      </c>
      <c r="BW81" s="11">
        <f t="shared" si="42"/>
        <v>0</v>
      </c>
      <c r="BX81" s="11">
        <f t="shared" si="42"/>
        <v>0</v>
      </c>
      <c r="BY81" s="11">
        <f t="shared" si="42"/>
        <v>0</v>
      </c>
      <c r="BZ81" s="11">
        <f t="shared" si="42"/>
        <v>0</v>
      </c>
      <c r="CA81" s="11">
        <f t="shared" si="42"/>
        <v>0</v>
      </c>
      <c r="CB81" s="11">
        <f t="shared" si="42"/>
        <v>0</v>
      </c>
      <c r="CC81" s="11">
        <f t="shared" si="42"/>
        <v>0</v>
      </c>
      <c r="CD81" s="11">
        <f t="shared" si="42"/>
        <v>0</v>
      </c>
      <c r="CE81" s="11">
        <f t="shared" si="42"/>
        <v>0</v>
      </c>
      <c r="CF81" s="11">
        <f t="shared" si="42"/>
        <v>0</v>
      </c>
      <c r="CG81" s="11">
        <f t="shared" si="42"/>
        <v>0</v>
      </c>
      <c r="CH81" s="11">
        <f t="shared" si="42"/>
        <v>0</v>
      </c>
      <c r="CI81" s="11">
        <f t="shared" si="42"/>
        <v>0</v>
      </c>
      <c r="CJ81" s="11">
        <f t="shared" si="42"/>
        <v>0</v>
      </c>
      <c r="CK81" s="11">
        <f t="shared" si="42"/>
        <v>0</v>
      </c>
      <c r="CL81" s="11">
        <f t="shared" si="42"/>
        <v>0</v>
      </c>
      <c r="CM81" s="11">
        <f t="shared" si="42"/>
        <v>0</v>
      </c>
      <c r="CN81" s="11">
        <f t="shared" si="42"/>
        <v>0</v>
      </c>
      <c r="CO81" s="11">
        <f t="shared" si="42"/>
        <v>0</v>
      </c>
      <c r="CP81" s="11">
        <f t="shared" si="42"/>
        <v>0</v>
      </c>
      <c r="CQ81" s="11">
        <f t="shared" si="42"/>
        <v>0</v>
      </c>
      <c r="CR81" s="11">
        <f t="shared" si="42"/>
        <v>0</v>
      </c>
      <c r="CS81" s="11">
        <f t="shared" si="42"/>
        <v>0</v>
      </c>
      <c r="CT81" s="11">
        <f t="shared" si="42"/>
        <v>0</v>
      </c>
      <c r="CU81" s="11">
        <f t="shared" si="42"/>
        <v>0</v>
      </c>
      <c r="CV81" s="11">
        <f t="shared" si="42"/>
        <v>0</v>
      </c>
      <c r="CW81" s="11">
        <f t="shared" si="42"/>
        <v>0</v>
      </c>
      <c r="CX81" s="11">
        <f t="shared" si="42"/>
        <v>0</v>
      </c>
      <c r="CY81" s="11">
        <f t="shared" si="42"/>
        <v>0</v>
      </c>
      <c r="CZ81" s="11">
        <f t="shared" si="42"/>
        <v>0</v>
      </c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</row>
    <row r="82" spans="1:122" ht="18" customHeight="1">
      <c r="A82" s="13" t="s">
        <v>59</v>
      </c>
      <c r="B82" s="14">
        <f>IFERROR(VLOOKUP(A82,PRICELIST!$A$3:$D$138,4,0),"-")</f>
        <v>276.11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9">
        <f t="shared" ref="CY82:CZ84" si="43">C82+E82+G82+I82+K82+M82+O82+Q82+S82+U82+W82+Y82+AA82+AC82+AE82+AG82+AI82+AK82+AM82+AO82+AQ82+AS82+AU82+AW82+AY82+BA82+BC82+BE82+BG82+BI82+BK82+BM82+BO82+BQ82+BS82+BU82+BW82+BY82+CA82+CC82+CE82+CG82+CI82+CK82+CM82+CO82+CQ82+CS82+CU82+CW82</f>
        <v>0</v>
      </c>
      <c r="CZ82" s="19">
        <f t="shared" si="43"/>
        <v>0</v>
      </c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</row>
    <row r="83" spans="1:122" ht="18" customHeight="1">
      <c r="A83" s="13" t="s">
        <v>60</v>
      </c>
      <c r="B83" s="14">
        <f>IFERROR(VLOOKUP(A83,PRICELIST!$A$3:$D$138,4,0),"-")</f>
        <v>75.540000000000006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9">
        <f t="shared" si="43"/>
        <v>0</v>
      </c>
      <c r="CZ83" s="19">
        <f t="shared" si="43"/>
        <v>0</v>
      </c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</row>
    <row r="84" spans="1:122" ht="18" customHeight="1">
      <c r="A84" s="13" t="s">
        <v>61</v>
      </c>
      <c r="B84" s="14">
        <f>IFERROR(VLOOKUP(A84,PRICELIST!$A$3:$D$138,4,0),"-")</f>
        <v>145.93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9">
        <f t="shared" si="43"/>
        <v>0</v>
      </c>
      <c r="CZ84" s="19">
        <f t="shared" si="43"/>
        <v>0</v>
      </c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</row>
    <row r="85" spans="1:122" ht="18" customHeight="1">
      <c r="A85" s="13" t="s">
        <v>62</v>
      </c>
      <c r="B85" s="14">
        <f>IFERROR(VLOOKUP(A85,PRICELIST!$A$3:$D$138,4,0),"-")</f>
        <v>149.79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9">
        <f>C85+E85+G85+I85+K85+M85+O85+Q85+S85+U85+W85+Y85+AA85+AC85+AE85+AG85+AI85+AK85+AM85+AO85+AQ85+AS85+AU85+AW85+AY85+BA85+BC85+BE85+BG85+BI85+BK85+BM85+BO85+BQ85+BS85+BU85+BW85+BY85+CA85+CC85+CE85+CG85+CI85+CK85+CM85+CO85+CQ85+CS85+CU85+CW85</f>
        <v>0</v>
      </c>
      <c r="CZ85" s="19">
        <f>D85+F85+H85+J85+L85+N85+P85+R85+T85+V85+X85+Z85+AB85+AD85+AF85+AH85+AJ85+AL85+AN85+AP85+AR85+AT85+AV85+AX85+AZ85+BB85+BD85+BF85+BH85+BJ85+BL85+BN85+BP85+BR85+BT85+BV85+BX85+BZ85+CB85+CD85+CF85+CH85+CJ85+CL85+CN85+CP85+CR85+CT85+CV85+CX85</f>
        <v>0</v>
      </c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</row>
    <row r="86" spans="1:122" ht="18" customHeight="1">
      <c r="A86" s="13" t="s">
        <v>87</v>
      </c>
      <c r="B86" s="14">
        <f>IFERROR(VLOOKUP(A86,PRICELIST!$A$3:$D$138,4,0),"-")</f>
        <v>192.86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9">
        <f>C86+E86+G86+I86+K86+M86+O86+Q86+S86+U86+W86+Y86+AA86+AC86+AE86+AG86+AI86+AK86+AM86+AO86+AQ86+AS86+AU86+AW86+AY86+BA86+BC86+BE86+BG86+BI86+BK86+BM86+BO86+BQ86+BS86+BU86+BW86+BY86+CA86+CC86+CE86+CG86+CI86+CK86+CM86+CO86+CQ86+CS86+CU86+CW86</f>
        <v>0</v>
      </c>
      <c r="CZ86" s="19">
        <f>D86+F86+H86+J86+L86+N86+P86+R86+T86+V86+X86+Z86+AB86+AD86+AF86+AH86+AJ86+AL86+AN86+AP86+AR86+AT86+AV86+AX86+AZ86+BB86+BD86+BF86+BH86+BJ86+BL86+BN86+BP86+BR86+BT86+BV86+BX86+BZ86+CB86+CD86+CF86+CH86+CJ86+CL86+CN86+CP86+CR86+CT86+CV86+CX86</f>
        <v>0</v>
      </c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</row>
    <row r="87" spans="1:122" ht="18" customHeight="1">
      <c r="A87" s="13" t="s">
        <v>122</v>
      </c>
      <c r="B87" s="14">
        <f>IFERROR(VLOOKUP(A87,PRICELIST!$A$3:$D$138,4,0),"-")</f>
        <v>104.79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9">
        <f t="shared" ref="CY87:CZ87" si="44">C87+E87+G87+I87+K87+M87+O87+Q87+S87+U87+W87+Y87+AA87+AC87+AE87+AG87+AI87+AK87+AM87+AO87+AQ87+AS87+AU87+AW87+AY87+BA87+BC87+BE87+BG87+BI87+BK87+BM87+BO87+BQ87+BS87+BU87+BW87+BY87+CA87+CC87+CE87+CG87+CI87+CK87+CM87+CO87+CQ87+CS87+CU87+CW87</f>
        <v>0</v>
      </c>
      <c r="CZ87" s="19">
        <f t="shared" si="44"/>
        <v>0</v>
      </c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</row>
    <row r="88" spans="1:122" ht="18" customHeight="1">
      <c r="A88" s="9" t="s">
        <v>88</v>
      </c>
      <c r="B88" s="10"/>
      <c r="C88" s="11">
        <f>SUMPRODUCT($B82:$B87,C82:C87)</f>
        <v>0</v>
      </c>
      <c r="D88" s="11">
        <f t="shared" ref="D88:BO88" si="45">SUMPRODUCT($B82:$B87,D82:D87)</f>
        <v>0</v>
      </c>
      <c r="E88" s="11">
        <f t="shared" si="45"/>
        <v>0</v>
      </c>
      <c r="F88" s="11">
        <f t="shared" si="45"/>
        <v>0</v>
      </c>
      <c r="G88" s="11">
        <f t="shared" si="45"/>
        <v>0</v>
      </c>
      <c r="H88" s="11">
        <f t="shared" si="45"/>
        <v>0</v>
      </c>
      <c r="I88" s="11">
        <f t="shared" si="45"/>
        <v>0</v>
      </c>
      <c r="J88" s="11">
        <f t="shared" si="45"/>
        <v>0</v>
      </c>
      <c r="K88" s="11">
        <f t="shared" si="45"/>
        <v>0</v>
      </c>
      <c r="L88" s="11">
        <f t="shared" si="45"/>
        <v>0</v>
      </c>
      <c r="M88" s="11">
        <f t="shared" si="45"/>
        <v>0</v>
      </c>
      <c r="N88" s="11">
        <f t="shared" si="45"/>
        <v>0</v>
      </c>
      <c r="O88" s="11">
        <f t="shared" si="45"/>
        <v>0</v>
      </c>
      <c r="P88" s="11">
        <f t="shared" si="45"/>
        <v>0</v>
      </c>
      <c r="Q88" s="11">
        <f t="shared" si="45"/>
        <v>0</v>
      </c>
      <c r="R88" s="11">
        <f t="shared" si="45"/>
        <v>0</v>
      </c>
      <c r="S88" s="11">
        <f t="shared" si="45"/>
        <v>0</v>
      </c>
      <c r="T88" s="11">
        <f t="shared" si="45"/>
        <v>0</v>
      </c>
      <c r="U88" s="11">
        <f t="shared" si="45"/>
        <v>0</v>
      </c>
      <c r="V88" s="11">
        <f t="shared" si="45"/>
        <v>0</v>
      </c>
      <c r="W88" s="11">
        <f t="shared" si="45"/>
        <v>0</v>
      </c>
      <c r="X88" s="11">
        <f t="shared" si="45"/>
        <v>0</v>
      </c>
      <c r="Y88" s="11">
        <f t="shared" si="45"/>
        <v>0</v>
      </c>
      <c r="Z88" s="11">
        <f t="shared" si="45"/>
        <v>0</v>
      </c>
      <c r="AA88" s="11">
        <f t="shared" si="45"/>
        <v>0</v>
      </c>
      <c r="AB88" s="11">
        <f t="shared" si="45"/>
        <v>0</v>
      </c>
      <c r="AC88" s="11">
        <f t="shared" si="45"/>
        <v>0</v>
      </c>
      <c r="AD88" s="11">
        <f t="shared" si="45"/>
        <v>0</v>
      </c>
      <c r="AE88" s="11">
        <f t="shared" si="45"/>
        <v>0</v>
      </c>
      <c r="AF88" s="11">
        <f t="shared" si="45"/>
        <v>0</v>
      </c>
      <c r="AG88" s="11">
        <f t="shared" si="45"/>
        <v>0</v>
      </c>
      <c r="AH88" s="11">
        <f t="shared" si="45"/>
        <v>0</v>
      </c>
      <c r="AI88" s="11">
        <f t="shared" si="45"/>
        <v>0</v>
      </c>
      <c r="AJ88" s="11">
        <f t="shared" si="45"/>
        <v>0</v>
      </c>
      <c r="AK88" s="11">
        <f t="shared" si="45"/>
        <v>0</v>
      </c>
      <c r="AL88" s="11">
        <f t="shared" si="45"/>
        <v>0</v>
      </c>
      <c r="AM88" s="11">
        <f t="shared" si="45"/>
        <v>0</v>
      </c>
      <c r="AN88" s="11">
        <f t="shared" si="45"/>
        <v>0</v>
      </c>
      <c r="AO88" s="11">
        <f t="shared" si="45"/>
        <v>0</v>
      </c>
      <c r="AP88" s="11">
        <f t="shared" si="45"/>
        <v>0</v>
      </c>
      <c r="AQ88" s="11">
        <f t="shared" si="45"/>
        <v>0</v>
      </c>
      <c r="AR88" s="11">
        <f t="shared" si="45"/>
        <v>0</v>
      </c>
      <c r="AS88" s="11">
        <f t="shared" si="45"/>
        <v>0</v>
      </c>
      <c r="AT88" s="11">
        <f t="shared" si="45"/>
        <v>0</v>
      </c>
      <c r="AU88" s="11">
        <f t="shared" si="45"/>
        <v>0</v>
      </c>
      <c r="AV88" s="11">
        <f t="shared" si="45"/>
        <v>0</v>
      </c>
      <c r="AW88" s="11">
        <f t="shared" si="45"/>
        <v>0</v>
      </c>
      <c r="AX88" s="11">
        <f t="shared" si="45"/>
        <v>0</v>
      </c>
      <c r="AY88" s="11">
        <f t="shared" si="45"/>
        <v>0</v>
      </c>
      <c r="AZ88" s="11">
        <f t="shared" si="45"/>
        <v>0</v>
      </c>
      <c r="BA88" s="11">
        <f t="shared" si="45"/>
        <v>0</v>
      </c>
      <c r="BB88" s="11">
        <f t="shared" si="45"/>
        <v>0</v>
      </c>
      <c r="BC88" s="11">
        <f t="shared" si="45"/>
        <v>0</v>
      </c>
      <c r="BD88" s="11">
        <f t="shared" si="45"/>
        <v>0</v>
      </c>
      <c r="BE88" s="11">
        <f t="shared" si="45"/>
        <v>0</v>
      </c>
      <c r="BF88" s="11">
        <f t="shared" si="45"/>
        <v>0</v>
      </c>
      <c r="BG88" s="11">
        <f t="shared" si="45"/>
        <v>0</v>
      </c>
      <c r="BH88" s="11">
        <f t="shared" si="45"/>
        <v>0</v>
      </c>
      <c r="BI88" s="11">
        <f t="shared" si="45"/>
        <v>0</v>
      </c>
      <c r="BJ88" s="11">
        <f t="shared" si="45"/>
        <v>0</v>
      </c>
      <c r="BK88" s="11">
        <f t="shared" si="45"/>
        <v>0</v>
      </c>
      <c r="BL88" s="11">
        <f t="shared" si="45"/>
        <v>0</v>
      </c>
      <c r="BM88" s="11">
        <f t="shared" si="45"/>
        <v>0</v>
      </c>
      <c r="BN88" s="11">
        <f t="shared" si="45"/>
        <v>0</v>
      </c>
      <c r="BO88" s="11">
        <f t="shared" si="45"/>
        <v>0</v>
      </c>
      <c r="BP88" s="11">
        <f t="shared" ref="BP88:CZ88" si="46">SUMPRODUCT($B82:$B87,BP82:BP87)</f>
        <v>0</v>
      </c>
      <c r="BQ88" s="11">
        <f t="shared" si="46"/>
        <v>0</v>
      </c>
      <c r="BR88" s="11">
        <f t="shared" si="46"/>
        <v>0</v>
      </c>
      <c r="BS88" s="11">
        <f t="shared" si="46"/>
        <v>0</v>
      </c>
      <c r="BT88" s="11">
        <f t="shared" si="46"/>
        <v>0</v>
      </c>
      <c r="BU88" s="11">
        <f t="shared" si="46"/>
        <v>0</v>
      </c>
      <c r="BV88" s="11">
        <f t="shared" si="46"/>
        <v>0</v>
      </c>
      <c r="BW88" s="11">
        <f t="shared" si="46"/>
        <v>0</v>
      </c>
      <c r="BX88" s="11">
        <f t="shared" si="46"/>
        <v>0</v>
      </c>
      <c r="BY88" s="11">
        <f t="shared" si="46"/>
        <v>0</v>
      </c>
      <c r="BZ88" s="11">
        <f t="shared" si="46"/>
        <v>0</v>
      </c>
      <c r="CA88" s="11">
        <f t="shared" si="46"/>
        <v>0</v>
      </c>
      <c r="CB88" s="11">
        <f t="shared" si="46"/>
        <v>0</v>
      </c>
      <c r="CC88" s="11">
        <f t="shared" si="46"/>
        <v>0</v>
      </c>
      <c r="CD88" s="11">
        <f t="shared" si="46"/>
        <v>0</v>
      </c>
      <c r="CE88" s="11">
        <f t="shared" si="46"/>
        <v>0</v>
      </c>
      <c r="CF88" s="11">
        <f t="shared" si="46"/>
        <v>0</v>
      </c>
      <c r="CG88" s="11">
        <f t="shared" si="46"/>
        <v>0</v>
      </c>
      <c r="CH88" s="11">
        <f t="shared" si="46"/>
        <v>0</v>
      </c>
      <c r="CI88" s="11">
        <f t="shared" si="46"/>
        <v>0</v>
      </c>
      <c r="CJ88" s="11">
        <f t="shared" si="46"/>
        <v>0</v>
      </c>
      <c r="CK88" s="11">
        <f t="shared" si="46"/>
        <v>0</v>
      </c>
      <c r="CL88" s="11">
        <f t="shared" si="46"/>
        <v>0</v>
      </c>
      <c r="CM88" s="11">
        <f t="shared" si="46"/>
        <v>0</v>
      </c>
      <c r="CN88" s="11">
        <f t="shared" si="46"/>
        <v>0</v>
      </c>
      <c r="CO88" s="11">
        <f t="shared" si="46"/>
        <v>0</v>
      </c>
      <c r="CP88" s="11">
        <f t="shared" si="46"/>
        <v>0</v>
      </c>
      <c r="CQ88" s="11">
        <f t="shared" si="46"/>
        <v>0</v>
      </c>
      <c r="CR88" s="11">
        <f t="shared" si="46"/>
        <v>0</v>
      </c>
      <c r="CS88" s="11">
        <f t="shared" si="46"/>
        <v>0</v>
      </c>
      <c r="CT88" s="11">
        <f t="shared" si="46"/>
        <v>0</v>
      </c>
      <c r="CU88" s="11">
        <f t="shared" si="46"/>
        <v>0</v>
      </c>
      <c r="CV88" s="11">
        <f t="shared" si="46"/>
        <v>0</v>
      </c>
      <c r="CW88" s="11">
        <f t="shared" si="46"/>
        <v>0</v>
      </c>
      <c r="CX88" s="11">
        <f t="shared" si="46"/>
        <v>0</v>
      </c>
      <c r="CY88" s="11">
        <f t="shared" si="46"/>
        <v>0</v>
      </c>
      <c r="CZ88" s="11">
        <f t="shared" si="46"/>
        <v>0</v>
      </c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</row>
    <row r="89" spans="1:122" ht="18" customHeight="1">
      <c r="A89" s="13" t="s">
        <v>63</v>
      </c>
      <c r="B89" s="14">
        <f>IFERROR(VLOOKUP(A89,PRICELIST!$A$3:$D$138,4,0),"-")</f>
        <v>172.53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9">
        <f t="shared" ref="CY89:CZ91" si="47">C89+E89+G89+I89+K89+M89+O89+Q89+S89+U89+W89+Y89+AA89+AC89+AE89+AG89+AI89+AK89+AM89+AO89+AQ89+AS89+AU89+AW89+AY89+BA89+BC89+BE89+BG89+BI89+BK89+BM89+BO89+BQ89+BS89+BU89+BW89+BY89+CA89+CC89+CE89+CG89+CI89+CK89+CM89+CO89+CQ89+CS89+CU89+CW89</f>
        <v>0</v>
      </c>
      <c r="CZ89" s="19">
        <f t="shared" si="47"/>
        <v>0</v>
      </c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</row>
    <row r="90" spans="1:122" ht="18" customHeight="1">
      <c r="A90" s="13" t="s">
        <v>64</v>
      </c>
      <c r="B90" s="14">
        <f>IFERROR(VLOOKUP(A90,PRICELIST!$A$3:$D$138,4,0),"-")</f>
        <v>50.46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9">
        <f t="shared" si="47"/>
        <v>0</v>
      </c>
      <c r="CZ90" s="19">
        <f t="shared" si="47"/>
        <v>0</v>
      </c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</row>
    <row r="91" spans="1:122" ht="18" customHeight="1">
      <c r="A91" s="13" t="s">
        <v>65</v>
      </c>
      <c r="B91" s="14">
        <f>IFERROR(VLOOKUP(A91,PRICELIST!$A$3:$D$138,4,0),"-")</f>
        <v>99.64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9">
        <f t="shared" si="47"/>
        <v>0</v>
      </c>
      <c r="CZ91" s="19">
        <f t="shared" si="47"/>
        <v>0</v>
      </c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</row>
    <row r="92" spans="1:122" ht="18" customHeight="1">
      <c r="A92" s="9" t="s">
        <v>66</v>
      </c>
      <c r="B92" s="10"/>
      <c r="C92" s="11">
        <f>SUMPRODUCT($B89:$B91,C89:C91)</f>
        <v>0</v>
      </c>
      <c r="D92" s="11">
        <f t="shared" ref="D92:BO92" si="48">SUMPRODUCT($B89:$B91,D89:D91)</f>
        <v>0</v>
      </c>
      <c r="E92" s="11">
        <f t="shared" si="48"/>
        <v>0</v>
      </c>
      <c r="F92" s="11">
        <f t="shared" si="48"/>
        <v>0</v>
      </c>
      <c r="G92" s="11">
        <f t="shared" si="48"/>
        <v>0</v>
      </c>
      <c r="H92" s="11">
        <f t="shared" si="48"/>
        <v>0</v>
      </c>
      <c r="I92" s="11">
        <f t="shared" si="48"/>
        <v>0</v>
      </c>
      <c r="J92" s="11">
        <f t="shared" si="48"/>
        <v>0</v>
      </c>
      <c r="K92" s="11">
        <f t="shared" si="48"/>
        <v>0</v>
      </c>
      <c r="L92" s="11">
        <f t="shared" si="48"/>
        <v>0</v>
      </c>
      <c r="M92" s="11">
        <f t="shared" si="48"/>
        <v>0</v>
      </c>
      <c r="N92" s="11">
        <f t="shared" si="48"/>
        <v>0</v>
      </c>
      <c r="O92" s="11">
        <f t="shared" si="48"/>
        <v>0</v>
      </c>
      <c r="P92" s="11">
        <f t="shared" si="48"/>
        <v>0</v>
      </c>
      <c r="Q92" s="11">
        <f t="shared" si="48"/>
        <v>0</v>
      </c>
      <c r="R92" s="11">
        <f t="shared" si="48"/>
        <v>0</v>
      </c>
      <c r="S92" s="11">
        <f t="shared" si="48"/>
        <v>0</v>
      </c>
      <c r="T92" s="11">
        <f t="shared" si="48"/>
        <v>0</v>
      </c>
      <c r="U92" s="11">
        <f t="shared" si="48"/>
        <v>0</v>
      </c>
      <c r="V92" s="11">
        <f t="shared" si="48"/>
        <v>0</v>
      </c>
      <c r="W92" s="11">
        <f t="shared" si="48"/>
        <v>0</v>
      </c>
      <c r="X92" s="11">
        <f t="shared" si="48"/>
        <v>0</v>
      </c>
      <c r="Y92" s="11">
        <f t="shared" si="48"/>
        <v>0</v>
      </c>
      <c r="Z92" s="11">
        <f t="shared" si="48"/>
        <v>0</v>
      </c>
      <c r="AA92" s="11">
        <f t="shared" si="48"/>
        <v>0</v>
      </c>
      <c r="AB92" s="11">
        <f t="shared" si="48"/>
        <v>0</v>
      </c>
      <c r="AC92" s="11">
        <f t="shared" si="48"/>
        <v>0</v>
      </c>
      <c r="AD92" s="11">
        <f t="shared" si="48"/>
        <v>0</v>
      </c>
      <c r="AE92" s="11">
        <f t="shared" si="48"/>
        <v>0</v>
      </c>
      <c r="AF92" s="11">
        <f t="shared" si="48"/>
        <v>0</v>
      </c>
      <c r="AG92" s="11">
        <f t="shared" si="48"/>
        <v>0</v>
      </c>
      <c r="AH92" s="11">
        <f t="shared" si="48"/>
        <v>0</v>
      </c>
      <c r="AI92" s="11">
        <f t="shared" si="48"/>
        <v>0</v>
      </c>
      <c r="AJ92" s="11">
        <f t="shared" si="48"/>
        <v>0</v>
      </c>
      <c r="AK92" s="11">
        <f t="shared" si="48"/>
        <v>0</v>
      </c>
      <c r="AL92" s="11">
        <f t="shared" si="48"/>
        <v>0</v>
      </c>
      <c r="AM92" s="11">
        <f t="shared" si="48"/>
        <v>0</v>
      </c>
      <c r="AN92" s="11">
        <f t="shared" si="48"/>
        <v>0</v>
      </c>
      <c r="AO92" s="11">
        <f t="shared" si="48"/>
        <v>0</v>
      </c>
      <c r="AP92" s="11">
        <f t="shared" si="48"/>
        <v>0</v>
      </c>
      <c r="AQ92" s="11">
        <f t="shared" si="48"/>
        <v>0</v>
      </c>
      <c r="AR92" s="11">
        <f t="shared" si="48"/>
        <v>0</v>
      </c>
      <c r="AS92" s="11">
        <f t="shared" si="48"/>
        <v>0</v>
      </c>
      <c r="AT92" s="11">
        <f t="shared" si="48"/>
        <v>0</v>
      </c>
      <c r="AU92" s="11">
        <f t="shared" si="48"/>
        <v>0</v>
      </c>
      <c r="AV92" s="11">
        <f t="shared" si="48"/>
        <v>0</v>
      </c>
      <c r="AW92" s="11">
        <f t="shared" si="48"/>
        <v>0</v>
      </c>
      <c r="AX92" s="11">
        <f t="shared" si="48"/>
        <v>0</v>
      </c>
      <c r="AY92" s="11">
        <f t="shared" si="48"/>
        <v>0</v>
      </c>
      <c r="AZ92" s="11">
        <f t="shared" si="48"/>
        <v>0</v>
      </c>
      <c r="BA92" s="11">
        <f t="shared" si="48"/>
        <v>0</v>
      </c>
      <c r="BB92" s="11">
        <f t="shared" si="48"/>
        <v>0</v>
      </c>
      <c r="BC92" s="11">
        <f t="shared" si="48"/>
        <v>0</v>
      </c>
      <c r="BD92" s="11">
        <f t="shared" si="48"/>
        <v>0</v>
      </c>
      <c r="BE92" s="11">
        <f t="shared" si="48"/>
        <v>0</v>
      </c>
      <c r="BF92" s="11">
        <f t="shared" si="48"/>
        <v>0</v>
      </c>
      <c r="BG92" s="11">
        <f t="shared" si="48"/>
        <v>0</v>
      </c>
      <c r="BH92" s="11">
        <f t="shared" si="48"/>
        <v>0</v>
      </c>
      <c r="BI92" s="11">
        <f t="shared" si="48"/>
        <v>0</v>
      </c>
      <c r="BJ92" s="11">
        <f t="shared" si="48"/>
        <v>0</v>
      </c>
      <c r="BK92" s="11">
        <f t="shared" si="48"/>
        <v>0</v>
      </c>
      <c r="BL92" s="11">
        <f t="shared" si="48"/>
        <v>0</v>
      </c>
      <c r="BM92" s="11">
        <f t="shared" si="48"/>
        <v>0</v>
      </c>
      <c r="BN92" s="11">
        <f t="shared" si="48"/>
        <v>0</v>
      </c>
      <c r="BO92" s="11">
        <f t="shared" si="48"/>
        <v>0</v>
      </c>
      <c r="BP92" s="11">
        <f t="shared" ref="BP92:CZ92" si="49">SUMPRODUCT($B89:$B91,BP89:BP91)</f>
        <v>0</v>
      </c>
      <c r="BQ92" s="11">
        <f t="shared" si="49"/>
        <v>0</v>
      </c>
      <c r="BR92" s="11">
        <f t="shared" si="49"/>
        <v>0</v>
      </c>
      <c r="BS92" s="11">
        <f t="shared" si="49"/>
        <v>0</v>
      </c>
      <c r="BT92" s="11">
        <f t="shared" si="49"/>
        <v>0</v>
      </c>
      <c r="BU92" s="11">
        <f t="shared" si="49"/>
        <v>0</v>
      </c>
      <c r="BV92" s="11">
        <f t="shared" si="49"/>
        <v>0</v>
      </c>
      <c r="BW92" s="11">
        <f t="shared" si="49"/>
        <v>0</v>
      </c>
      <c r="BX92" s="11">
        <f t="shared" si="49"/>
        <v>0</v>
      </c>
      <c r="BY92" s="11">
        <f t="shared" si="49"/>
        <v>0</v>
      </c>
      <c r="BZ92" s="11">
        <f t="shared" si="49"/>
        <v>0</v>
      </c>
      <c r="CA92" s="11">
        <f t="shared" si="49"/>
        <v>0</v>
      </c>
      <c r="CB92" s="11">
        <f t="shared" si="49"/>
        <v>0</v>
      </c>
      <c r="CC92" s="11">
        <f t="shared" si="49"/>
        <v>0</v>
      </c>
      <c r="CD92" s="11">
        <f t="shared" si="49"/>
        <v>0</v>
      </c>
      <c r="CE92" s="11">
        <f t="shared" si="49"/>
        <v>0</v>
      </c>
      <c r="CF92" s="11">
        <f t="shared" si="49"/>
        <v>0</v>
      </c>
      <c r="CG92" s="11">
        <f t="shared" si="49"/>
        <v>0</v>
      </c>
      <c r="CH92" s="11">
        <f t="shared" si="49"/>
        <v>0</v>
      </c>
      <c r="CI92" s="11">
        <f t="shared" si="49"/>
        <v>0</v>
      </c>
      <c r="CJ92" s="11">
        <f t="shared" si="49"/>
        <v>0</v>
      </c>
      <c r="CK92" s="11">
        <f t="shared" si="49"/>
        <v>0</v>
      </c>
      <c r="CL92" s="11">
        <f t="shared" si="49"/>
        <v>0</v>
      </c>
      <c r="CM92" s="11">
        <f t="shared" si="49"/>
        <v>0</v>
      </c>
      <c r="CN92" s="11">
        <f t="shared" si="49"/>
        <v>0</v>
      </c>
      <c r="CO92" s="11">
        <f t="shared" si="49"/>
        <v>0</v>
      </c>
      <c r="CP92" s="11">
        <f t="shared" si="49"/>
        <v>0</v>
      </c>
      <c r="CQ92" s="11">
        <f t="shared" si="49"/>
        <v>0</v>
      </c>
      <c r="CR92" s="11">
        <f t="shared" si="49"/>
        <v>0</v>
      </c>
      <c r="CS92" s="11">
        <f t="shared" si="49"/>
        <v>0</v>
      </c>
      <c r="CT92" s="11">
        <f t="shared" si="49"/>
        <v>0</v>
      </c>
      <c r="CU92" s="11">
        <f t="shared" si="49"/>
        <v>0</v>
      </c>
      <c r="CV92" s="11">
        <f t="shared" si="49"/>
        <v>0</v>
      </c>
      <c r="CW92" s="11">
        <f t="shared" si="49"/>
        <v>0</v>
      </c>
      <c r="CX92" s="11">
        <f t="shared" si="49"/>
        <v>0</v>
      </c>
      <c r="CY92" s="11">
        <f t="shared" si="49"/>
        <v>0</v>
      </c>
      <c r="CZ92" s="11">
        <f t="shared" si="49"/>
        <v>0</v>
      </c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</row>
    <row r="93" spans="1:122" ht="18" customHeight="1">
      <c r="A93" s="13" t="s">
        <v>67</v>
      </c>
      <c r="B93" s="14">
        <f>IFERROR(VLOOKUP(A93,PRICELIST!$A$3:$D$138,4,0),"-")</f>
        <v>140.13999999999999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9">
        <f t="shared" ref="CY93:CZ94" si="50">C93+E93+G93+I93+K93+M93+O93+Q93+S93+U93+W93+Y93+AA93+AC93+AE93+AG93+AI93+AK93+AM93+AO93+AQ93+AS93+AU93+AW93+AY93+BA93+BC93+BE93+BG93+BI93+BK93+BM93+BO93+BQ93+BS93+BU93+BW93+BY93+CA93+CC93+CE93+CG93+CI93+CK93+CM93+CO93+CQ93+CS93+CU93+CW93</f>
        <v>0</v>
      </c>
      <c r="CZ93" s="19">
        <f t="shared" si="50"/>
        <v>0</v>
      </c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</row>
    <row r="94" spans="1:122" ht="18" customHeight="1">
      <c r="A94" s="13" t="s">
        <v>68</v>
      </c>
      <c r="B94" s="14">
        <f>IFERROR(VLOOKUP(A94,PRICELIST!$A$3:$D$138,4,0),"-")</f>
        <v>203.14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9">
        <f t="shared" si="50"/>
        <v>0</v>
      </c>
      <c r="CZ94" s="19">
        <f t="shared" si="50"/>
        <v>0</v>
      </c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</row>
    <row r="95" spans="1:122" ht="18" customHeight="1">
      <c r="A95" s="9" t="s">
        <v>69</v>
      </c>
      <c r="B95" s="10"/>
      <c r="C95" s="11">
        <f>SUMPRODUCT($B93:$B94,C93:C94)</f>
        <v>0</v>
      </c>
      <c r="D95" s="11">
        <f t="shared" ref="D95:BO95" si="51">SUMPRODUCT($B93:$B94,D93:D94)</f>
        <v>0</v>
      </c>
      <c r="E95" s="11">
        <f t="shared" si="51"/>
        <v>0</v>
      </c>
      <c r="F95" s="11">
        <f t="shared" si="51"/>
        <v>0</v>
      </c>
      <c r="G95" s="11">
        <f t="shared" si="51"/>
        <v>0</v>
      </c>
      <c r="H95" s="11">
        <f t="shared" si="51"/>
        <v>0</v>
      </c>
      <c r="I95" s="11">
        <f t="shared" si="51"/>
        <v>0</v>
      </c>
      <c r="J95" s="11">
        <f t="shared" si="51"/>
        <v>0</v>
      </c>
      <c r="K95" s="11">
        <f t="shared" si="51"/>
        <v>0</v>
      </c>
      <c r="L95" s="11">
        <f t="shared" si="51"/>
        <v>0</v>
      </c>
      <c r="M95" s="11">
        <f t="shared" si="51"/>
        <v>0</v>
      </c>
      <c r="N95" s="11">
        <f t="shared" si="51"/>
        <v>0</v>
      </c>
      <c r="O95" s="11">
        <f t="shared" si="51"/>
        <v>0</v>
      </c>
      <c r="P95" s="11">
        <f t="shared" si="51"/>
        <v>0</v>
      </c>
      <c r="Q95" s="11">
        <f t="shared" si="51"/>
        <v>0</v>
      </c>
      <c r="R95" s="11">
        <f t="shared" si="51"/>
        <v>0</v>
      </c>
      <c r="S95" s="11">
        <f t="shared" si="51"/>
        <v>0</v>
      </c>
      <c r="T95" s="11">
        <f t="shared" si="51"/>
        <v>0</v>
      </c>
      <c r="U95" s="11">
        <f t="shared" si="51"/>
        <v>0</v>
      </c>
      <c r="V95" s="11">
        <f t="shared" si="51"/>
        <v>0</v>
      </c>
      <c r="W95" s="11">
        <f t="shared" si="51"/>
        <v>0</v>
      </c>
      <c r="X95" s="11">
        <f t="shared" si="51"/>
        <v>0</v>
      </c>
      <c r="Y95" s="11">
        <f t="shared" si="51"/>
        <v>0</v>
      </c>
      <c r="Z95" s="11">
        <f t="shared" si="51"/>
        <v>0</v>
      </c>
      <c r="AA95" s="11">
        <f t="shared" si="51"/>
        <v>0</v>
      </c>
      <c r="AB95" s="11">
        <f t="shared" si="51"/>
        <v>0</v>
      </c>
      <c r="AC95" s="11">
        <f t="shared" si="51"/>
        <v>0</v>
      </c>
      <c r="AD95" s="11">
        <f t="shared" si="51"/>
        <v>0</v>
      </c>
      <c r="AE95" s="11">
        <f t="shared" si="51"/>
        <v>0</v>
      </c>
      <c r="AF95" s="11">
        <f t="shared" si="51"/>
        <v>0</v>
      </c>
      <c r="AG95" s="11">
        <f t="shared" si="51"/>
        <v>0</v>
      </c>
      <c r="AH95" s="11">
        <f t="shared" si="51"/>
        <v>0</v>
      </c>
      <c r="AI95" s="11">
        <f t="shared" si="51"/>
        <v>0</v>
      </c>
      <c r="AJ95" s="11">
        <f t="shared" si="51"/>
        <v>0</v>
      </c>
      <c r="AK95" s="11">
        <f t="shared" si="51"/>
        <v>0</v>
      </c>
      <c r="AL95" s="11">
        <f t="shared" si="51"/>
        <v>0</v>
      </c>
      <c r="AM95" s="11">
        <f t="shared" si="51"/>
        <v>0</v>
      </c>
      <c r="AN95" s="11">
        <f t="shared" si="51"/>
        <v>0</v>
      </c>
      <c r="AO95" s="11">
        <f t="shared" si="51"/>
        <v>0</v>
      </c>
      <c r="AP95" s="11">
        <f t="shared" si="51"/>
        <v>0</v>
      </c>
      <c r="AQ95" s="11">
        <f t="shared" si="51"/>
        <v>0</v>
      </c>
      <c r="AR95" s="11">
        <f t="shared" si="51"/>
        <v>0</v>
      </c>
      <c r="AS95" s="11">
        <f t="shared" si="51"/>
        <v>0</v>
      </c>
      <c r="AT95" s="11">
        <f t="shared" si="51"/>
        <v>0</v>
      </c>
      <c r="AU95" s="11">
        <f t="shared" si="51"/>
        <v>0</v>
      </c>
      <c r="AV95" s="11">
        <f t="shared" si="51"/>
        <v>0</v>
      </c>
      <c r="AW95" s="11">
        <f t="shared" si="51"/>
        <v>0</v>
      </c>
      <c r="AX95" s="11">
        <f t="shared" si="51"/>
        <v>0</v>
      </c>
      <c r="AY95" s="11">
        <f t="shared" si="51"/>
        <v>0</v>
      </c>
      <c r="AZ95" s="11">
        <f t="shared" si="51"/>
        <v>0</v>
      </c>
      <c r="BA95" s="11">
        <f t="shared" si="51"/>
        <v>0</v>
      </c>
      <c r="BB95" s="11">
        <f t="shared" si="51"/>
        <v>0</v>
      </c>
      <c r="BC95" s="11">
        <f t="shared" si="51"/>
        <v>0</v>
      </c>
      <c r="BD95" s="11">
        <f t="shared" si="51"/>
        <v>0</v>
      </c>
      <c r="BE95" s="11">
        <f t="shared" si="51"/>
        <v>0</v>
      </c>
      <c r="BF95" s="11">
        <f t="shared" si="51"/>
        <v>0</v>
      </c>
      <c r="BG95" s="11">
        <f t="shared" si="51"/>
        <v>0</v>
      </c>
      <c r="BH95" s="11">
        <f t="shared" si="51"/>
        <v>0</v>
      </c>
      <c r="BI95" s="11">
        <f t="shared" si="51"/>
        <v>0</v>
      </c>
      <c r="BJ95" s="11">
        <f t="shared" si="51"/>
        <v>0</v>
      </c>
      <c r="BK95" s="11">
        <f t="shared" si="51"/>
        <v>0</v>
      </c>
      <c r="BL95" s="11">
        <f t="shared" si="51"/>
        <v>0</v>
      </c>
      <c r="BM95" s="11">
        <f t="shared" si="51"/>
        <v>0</v>
      </c>
      <c r="BN95" s="11">
        <f t="shared" si="51"/>
        <v>0</v>
      </c>
      <c r="BO95" s="11">
        <f t="shared" si="51"/>
        <v>0</v>
      </c>
      <c r="BP95" s="11">
        <f t="shared" ref="BP95:CZ95" si="52">SUMPRODUCT($B93:$B94,BP93:BP94)</f>
        <v>0</v>
      </c>
      <c r="BQ95" s="11">
        <f t="shared" si="52"/>
        <v>0</v>
      </c>
      <c r="BR95" s="11">
        <f t="shared" si="52"/>
        <v>0</v>
      </c>
      <c r="BS95" s="11">
        <f t="shared" si="52"/>
        <v>0</v>
      </c>
      <c r="BT95" s="11">
        <f t="shared" si="52"/>
        <v>0</v>
      </c>
      <c r="BU95" s="11">
        <f t="shared" si="52"/>
        <v>0</v>
      </c>
      <c r="BV95" s="11">
        <f t="shared" si="52"/>
        <v>0</v>
      </c>
      <c r="BW95" s="11">
        <f t="shared" si="52"/>
        <v>0</v>
      </c>
      <c r="BX95" s="11">
        <f t="shared" si="52"/>
        <v>0</v>
      </c>
      <c r="BY95" s="11">
        <f t="shared" si="52"/>
        <v>0</v>
      </c>
      <c r="BZ95" s="11">
        <f t="shared" si="52"/>
        <v>0</v>
      </c>
      <c r="CA95" s="11">
        <f t="shared" si="52"/>
        <v>0</v>
      </c>
      <c r="CB95" s="11">
        <f t="shared" si="52"/>
        <v>0</v>
      </c>
      <c r="CC95" s="11">
        <f t="shared" si="52"/>
        <v>0</v>
      </c>
      <c r="CD95" s="11">
        <f t="shared" si="52"/>
        <v>0</v>
      </c>
      <c r="CE95" s="11">
        <f t="shared" si="52"/>
        <v>0</v>
      </c>
      <c r="CF95" s="11">
        <f t="shared" si="52"/>
        <v>0</v>
      </c>
      <c r="CG95" s="11">
        <f t="shared" si="52"/>
        <v>0</v>
      </c>
      <c r="CH95" s="11">
        <f t="shared" si="52"/>
        <v>0</v>
      </c>
      <c r="CI95" s="11">
        <f t="shared" si="52"/>
        <v>0</v>
      </c>
      <c r="CJ95" s="11">
        <f t="shared" si="52"/>
        <v>0</v>
      </c>
      <c r="CK95" s="11">
        <f t="shared" si="52"/>
        <v>0</v>
      </c>
      <c r="CL95" s="11">
        <f t="shared" si="52"/>
        <v>0</v>
      </c>
      <c r="CM95" s="11">
        <f t="shared" si="52"/>
        <v>0</v>
      </c>
      <c r="CN95" s="11">
        <f t="shared" si="52"/>
        <v>0</v>
      </c>
      <c r="CO95" s="11">
        <f t="shared" si="52"/>
        <v>0</v>
      </c>
      <c r="CP95" s="11">
        <f t="shared" si="52"/>
        <v>0</v>
      </c>
      <c r="CQ95" s="11">
        <f t="shared" si="52"/>
        <v>0</v>
      </c>
      <c r="CR95" s="11">
        <f t="shared" si="52"/>
        <v>0</v>
      </c>
      <c r="CS95" s="11">
        <f t="shared" si="52"/>
        <v>0</v>
      </c>
      <c r="CT95" s="11">
        <f t="shared" si="52"/>
        <v>0</v>
      </c>
      <c r="CU95" s="11">
        <f t="shared" si="52"/>
        <v>0</v>
      </c>
      <c r="CV95" s="11">
        <f t="shared" si="52"/>
        <v>0</v>
      </c>
      <c r="CW95" s="11">
        <f t="shared" si="52"/>
        <v>0</v>
      </c>
      <c r="CX95" s="11">
        <f t="shared" si="52"/>
        <v>0</v>
      </c>
      <c r="CY95" s="11">
        <f t="shared" si="52"/>
        <v>0</v>
      </c>
      <c r="CZ95" s="11">
        <f t="shared" si="52"/>
        <v>0</v>
      </c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</row>
    <row r="96" spans="1:122" ht="18" customHeight="1">
      <c r="A96" s="34" t="s">
        <v>126</v>
      </c>
      <c r="B96" s="14">
        <f>IFERROR(VLOOKUP(A96,PRICELIST!$A$3:$D$138,4,0),"-")</f>
        <v>201.54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9">
        <f t="shared" ref="CY96:CZ98" si="53">C96+E96+G96+I96+K96+M96+O96+Q96+S96+U96+W96+Y96+AA96+AC96+AE96+AG96+AI96+AK96+AM96+AO96+AQ96+AS96+AU96+AW96+AY96+BA96+BC96+BE96+BG96+BI96+BK96+BM96+BO96+BQ96+BS96+BU96+BW96+BY96+CA96+CC96+CE96+CG96+CI96+CK96+CM96+CO96+CQ96+CS96+CU96+CW96</f>
        <v>0</v>
      </c>
      <c r="CZ96" s="19">
        <f t="shared" si="53"/>
        <v>0</v>
      </c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</row>
    <row r="97" spans="1:122" ht="18" customHeight="1">
      <c r="A97" s="13" t="s">
        <v>123</v>
      </c>
      <c r="B97" s="14">
        <f>IFERROR(VLOOKUP(A97,PRICELIST!$A$3:$D$138,4,0),"-")</f>
        <v>225.64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9">
        <f t="shared" si="53"/>
        <v>0</v>
      </c>
      <c r="CZ97" s="19">
        <f t="shared" si="53"/>
        <v>0</v>
      </c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</row>
    <row r="98" spans="1:122" ht="18" customHeight="1">
      <c r="A98" s="13" t="s">
        <v>131</v>
      </c>
      <c r="B98" s="14">
        <f>IFERROR(VLOOKUP(A98,PRICELIST!$A$3:$D$138,4,0),"-")</f>
        <v>198.64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9">
        <f t="shared" si="53"/>
        <v>0</v>
      </c>
      <c r="CZ98" s="19">
        <f t="shared" si="53"/>
        <v>0</v>
      </c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</row>
    <row r="99" spans="1:122" ht="18" customHeight="1">
      <c r="A99" s="9" t="s">
        <v>70</v>
      </c>
      <c r="B99" s="10"/>
      <c r="C99" s="11">
        <f t="shared" ref="C99:BN99" si="54">SUMPRODUCT($B96:$B98,C96:C98)</f>
        <v>0</v>
      </c>
      <c r="D99" s="11">
        <f t="shared" si="54"/>
        <v>0</v>
      </c>
      <c r="E99" s="11">
        <f t="shared" si="54"/>
        <v>0</v>
      </c>
      <c r="F99" s="11">
        <f t="shared" si="54"/>
        <v>0</v>
      </c>
      <c r="G99" s="11">
        <f t="shared" si="54"/>
        <v>0</v>
      </c>
      <c r="H99" s="11">
        <f t="shared" si="54"/>
        <v>0</v>
      </c>
      <c r="I99" s="11">
        <f t="shared" si="54"/>
        <v>0</v>
      </c>
      <c r="J99" s="11">
        <f t="shared" si="54"/>
        <v>0</v>
      </c>
      <c r="K99" s="11">
        <f t="shared" si="54"/>
        <v>0</v>
      </c>
      <c r="L99" s="11">
        <f t="shared" si="54"/>
        <v>0</v>
      </c>
      <c r="M99" s="11">
        <f t="shared" si="54"/>
        <v>0</v>
      </c>
      <c r="N99" s="11">
        <f t="shared" si="54"/>
        <v>0</v>
      </c>
      <c r="O99" s="11">
        <f t="shared" si="54"/>
        <v>0</v>
      </c>
      <c r="P99" s="11">
        <f t="shared" si="54"/>
        <v>0</v>
      </c>
      <c r="Q99" s="11">
        <f t="shared" si="54"/>
        <v>0</v>
      </c>
      <c r="R99" s="11">
        <f t="shared" si="54"/>
        <v>0</v>
      </c>
      <c r="S99" s="11">
        <f t="shared" si="54"/>
        <v>0</v>
      </c>
      <c r="T99" s="11">
        <f t="shared" si="54"/>
        <v>0</v>
      </c>
      <c r="U99" s="11">
        <f t="shared" si="54"/>
        <v>0</v>
      </c>
      <c r="V99" s="11">
        <f t="shared" si="54"/>
        <v>0</v>
      </c>
      <c r="W99" s="11">
        <f t="shared" si="54"/>
        <v>0</v>
      </c>
      <c r="X99" s="11">
        <f t="shared" si="54"/>
        <v>0</v>
      </c>
      <c r="Y99" s="11">
        <f t="shared" si="54"/>
        <v>0</v>
      </c>
      <c r="Z99" s="11">
        <f t="shared" si="54"/>
        <v>0</v>
      </c>
      <c r="AA99" s="11">
        <f t="shared" si="54"/>
        <v>0</v>
      </c>
      <c r="AB99" s="11">
        <f t="shared" si="54"/>
        <v>0</v>
      </c>
      <c r="AC99" s="11">
        <f t="shared" si="54"/>
        <v>0</v>
      </c>
      <c r="AD99" s="11">
        <f t="shared" si="54"/>
        <v>0</v>
      </c>
      <c r="AE99" s="11">
        <f t="shared" si="54"/>
        <v>0</v>
      </c>
      <c r="AF99" s="11">
        <f t="shared" si="54"/>
        <v>0</v>
      </c>
      <c r="AG99" s="11">
        <f t="shared" si="54"/>
        <v>0</v>
      </c>
      <c r="AH99" s="11">
        <f t="shared" si="54"/>
        <v>0</v>
      </c>
      <c r="AI99" s="11">
        <f t="shared" si="54"/>
        <v>0</v>
      </c>
      <c r="AJ99" s="11">
        <f t="shared" si="54"/>
        <v>0</v>
      </c>
      <c r="AK99" s="11">
        <f t="shared" si="54"/>
        <v>0</v>
      </c>
      <c r="AL99" s="11">
        <f t="shared" si="54"/>
        <v>0</v>
      </c>
      <c r="AM99" s="11">
        <f t="shared" si="54"/>
        <v>0</v>
      </c>
      <c r="AN99" s="11">
        <f t="shared" si="54"/>
        <v>0</v>
      </c>
      <c r="AO99" s="11">
        <f t="shared" si="54"/>
        <v>0</v>
      </c>
      <c r="AP99" s="11">
        <f t="shared" si="54"/>
        <v>0</v>
      </c>
      <c r="AQ99" s="11">
        <f t="shared" si="54"/>
        <v>0</v>
      </c>
      <c r="AR99" s="11">
        <f t="shared" si="54"/>
        <v>0</v>
      </c>
      <c r="AS99" s="11">
        <f t="shared" si="54"/>
        <v>0</v>
      </c>
      <c r="AT99" s="11">
        <f t="shared" si="54"/>
        <v>0</v>
      </c>
      <c r="AU99" s="11">
        <f t="shared" si="54"/>
        <v>0</v>
      </c>
      <c r="AV99" s="11">
        <f t="shared" si="54"/>
        <v>0</v>
      </c>
      <c r="AW99" s="11">
        <f t="shared" si="54"/>
        <v>0</v>
      </c>
      <c r="AX99" s="11">
        <f t="shared" si="54"/>
        <v>0</v>
      </c>
      <c r="AY99" s="11">
        <f t="shared" si="54"/>
        <v>0</v>
      </c>
      <c r="AZ99" s="11">
        <f t="shared" si="54"/>
        <v>0</v>
      </c>
      <c r="BA99" s="11">
        <f t="shared" si="54"/>
        <v>0</v>
      </c>
      <c r="BB99" s="11">
        <f t="shared" si="54"/>
        <v>0</v>
      </c>
      <c r="BC99" s="11">
        <f t="shared" si="54"/>
        <v>0</v>
      </c>
      <c r="BD99" s="11">
        <f t="shared" si="54"/>
        <v>0</v>
      </c>
      <c r="BE99" s="11">
        <f t="shared" si="54"/>
        <v>0</v>
      </c>
      <c r="BF99" s="11">
        <f t="shared" si="54"/>
        <v>0</v>
      </c>
      <c r="BG99" s="11">
        <f t="shared" si="54"/>
        <v>0</v>
      </c>
      <c r="BH99" s="11">
        <f t="shared" si="54"/>
        <v>0</v>
      </c>
      <c r="BI99" s="11">
        <f t="shared" si="54"/>
        <v>0</v>
      </c>
      <c r="BJ99" s="11">
        <f t="shared" si="54"/>
        <v>0</v>
      </c>
      <c r="BK99" s="11">
        <f t="shared" si="54"/>
        <v>0</v>
      </c>
      <c r="BL99" s="11">
        <f t="shared" si="54"/>
        <v>0</v>
      </c>
      <c r="BM99" s="11">
        <f t="shared" si="54"/>
        <v>0</v>
      </c>
      <c r="BN99" s="11">
        <f t="shared" si="54"/>
        <v>0</v>
      </c>
      <c r="BO99" s="11">
        <f t="shared" ref="BO99:CZ99" si="55">SUMPRODUCT($B96:$B98,BO96:BO98)</f>
        <v>0</v>
      </c>
      <c r="BP99" s="11">
        <f t="shared" si="55"/>
        <v>0</v>
      </c>
      <c r="BQ99" s="11">
        <f t="shared" si="55"/>
        <v>0</v>
      </c>
      <c r="BR99" s="11">
        <f t="shared" si="55"/>
        <v>0</v>
      </c>
      <c r="BS99" s="11">
        <f t="shared" si="55"/>
        <v>0</v>
      </c>
      <c r="BT99" s="11">
        <f t="shared" si="55"/>
        <v>0</v>
      </c>
      <c r="BU99" s="11">
        <f t="shared" si="55"/>
        <v>0</v>
      </c>
      <c r="BV99" s="11">
        <f t="shared" si="55"/>
        <v>0</v>
      </c>
      <c r="BW99" s="11">
        <f t="shared" si="55"/>
        <v>0</v>
      </c>
      <c r="BX99" s="11">
        <f t="shared" si="55"/>
        <v>0</v>
      </c>
      <c r="BY99" s="11">
        <f t="shared" si="55"/>
        <v>0</v>
      </c>
      <c r="BZ99" s="11">
        <f t="shared" si="55"/>
        <v>0</v>
      </c>
      <c r="CA99" s="11">
        <f t="shared" si="55"/>
        <v>0</v>
      </c>
      <c r="CB99" s="11">
        <f t="shared" si="55"/>
        <v>0</v>
      </c>
      <c r="CC99" s="11">
        <f t="shared" si="55"/>
        <v>0</v>
      </c>
      <c r="CD99" s="11">
        <f t="shared" si="55"/>
        <v>0</v>
      </c>
      <c r="CE99" s="11">
        <f t="shared" si="55"/>
        <v>0</v>
      </c>
      <c r="CF99" s="11">
        <f t="shared" si="55"/>
        <v>0</v>
      </c>
      <c r="CG99" s="11">
        <f t="shared" si="55"/>
        <v>0</v>
      </c>
      <c r="CH99" s="11">
        <f t="shared" si="55"/>
        <v>0</v>
      </c>
      <c r="CI99" s="11">
        <f t="shared" si="55"/>
        <v>0</v>
      </c>
      <c r="CJ99" s="11">
        <f t="shared" si="55"/>
        <v>0</v>
      </c>
      <c r="CK99" s="11">
        <f t="shared" si="55"/>
        <v>0</v>
      </c>
      <c r="CL99" s="11">
        <f t="shared" si="55"/>
        <v>0</v>
      </c>
      <c r="CM99" s="11">
        <f t="shared" si="55"/>
        <v>0</v>
      </c>
      <c r="CN99" s="11">
        <f t="shared" si="55"/>
        <v>0</v>
      </c>
      <c r="CO99" s="11">
        <f t="shared" si="55"/>
        <v>0</v>
      </c>
      <c r="CP99" s="11">
        <f t="shared" si="55"/>
        <v>0</v>
      </c>
      <c r="CQ99" s="11">
        <f t="shared" si="55"/>
        <v>0</v>
      </c>
      <c r="CR99" s="11">
        <f t="shared" si="55"/>
        <v>0</v>
      </c>
      <c r="CS99" s="11">
        <f t="shared" si="55"/>
        <v>0</v>
      </c>
      <c r="CT99" s="11">
        <f t="shared" si="55"/>
        <v>0</v>
      </c>
      <c r="CU99" s="11">
        <f t="shared" si="55"/>
        <v>0</v>
      </c>
      <c r="CV99" s="11">
        <f t="shared" si="55"/>
        <v>0</v>
      </c>
      <c r="CW99" s="11">
        <f t="shared" si="55"/>
        <v>0</v>
      </c>
      <c r="CX99" s="11">
        <f t="shared" si="55"/>
        <v>0</v>
      </c>
      <c r="CY99" s="11">
        <f t="shared" si="55"/>
        <v>0</v>
      </c>
      <c r="CZ99" s="11">
        <f t="shared" si="55"/>
        <v>0</v>
      </c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</row>
    <row r="100" spans="1:122" ht="18" customHeight="1">
      <c r="A100" s="13" t="s">
        <v>134</v>
      </c>
      <c r="B100" s="14">
        <f>IFERROR(VLOOKUP(A100,PRICELIST!$A$3:$D$138,4,0),"-")</f>
        <v>52.46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9">
        <f t="shared" ref="CY100:CZ109" si="56">C100+E100+G100+I100+K100+M100+O100+Q100+S100+U100+W100+Y100+AA100+AC100+AE100+AG100+AI100+AK100+AM100+AO100+AQ100+AS100+AU100+AW100+AY100+BA100+BC100+BE100+BG100+BI100+BK100+BM100+BO100+BQ100+BS100+BU100+BW100+BY100+CA100+CC100+CE100+CG100+CI100+CK100+CM100+CO100+CQ100+CS100+CU100+CW100</f>
        <v>0</v>
      </c>
      <c r="CZ100" s="19">
        <f t="shared" si="56"/>
        <v>0</v>
      </c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</row>
    <row r="101" spans="1:122" ht="18" customHeight="1">
      <c r="A101" s="13" t="s">
        <v>135</v>
      </c>
      <c r="B101" s="14">
        <f>IFERROR(VLOOKUP(A101,PRICELIST!$A$3:$D$138,4,0),"-")</f>
        <v>89.62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9">
        <f t="shared" si="56"/>
        <v>0</v>
      </c>
      <c r="CZ101" s="19">
        <f t="shared" si="56"/>
        <v>0</v>
      </c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</row>
    <row r="102" spans="1:122" ht="18" customHeight="1">
      <c r="A102" s="13" t="s">
        <v>136</v>
      </c>
      <c r="B102" s="14">
        <f>IFERROR(VLOOKUP(A102,PRICELIST!$A$3:$D$138,4,0),"-")</f>
        <v>83.41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9">
        <f t="shared" si="56"/>
        <v>0</v>
      </c>
      <c r="CZ102" s="19">
        <f t="shared" si="56"/>
        <v>0</v>
      </c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</row>
    <row r="103" spans="1:122" ht="18" customHeight="1">
      <c r="A103" s="13" t="s">
        <v>137</v>
      </c>
      <c r="B103" s="14">
        <f>IFERROR(VLOOKUP(A103,PRICELIST!$A$3:$D$138,4,0),"-")</f>
        <v>109.58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9">
        <f t="shared" si="56"/>
        <v>0</v>
      </c>
      <c r="CZ103" s="19">
        <f t="shared" si="56"/>
        <v>0</v>
      </c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</row>
    <row r="104" spans="1:122" ht="18" customHeight="1">
      <c r="A104" s="13" t="s">
        <v>140</v>
      </c>
      <c r="B104" s="14">
        <f>IFERROR(VLOOKUP(A104,PRICELIST!$A$3:$D$138,4,0),"-")</f>
        <v>28.8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9">
        <f>C104+E104+G104+I104+K104+M104+O104+Q104+S104+U104+W104+Y104+AA104+AC104+AE104+AG104+AI104+AK104+AM104+AO104+AQ104+AS104+AU104+AW104+AY104+BA104+BC104+BE104+BG104+BI104+BK104+BM104+BO104+BQ104+BS104+BU104+BW104+BY104+CA104+CC104+CE104+CG104+CI104+CK104+CM104+CO104+CQ104+CS104+CU104+CW104</f>
        <v>0</v>
      </c>
      <c r="CZ104" s="19">
        <f>D104+F104+H104+J104+L104+N104+P104+R104+T104+V104+X104+Z104+AB104+AD104+AF104+AH104+AJ104+AL104+AN104+AP104+AR104+AT104+AV104+AX104+AZ104+BB104+BD104+BF104+BH104+BJ104+BL104+BN104+BP104+BR104+BT104+BV104+BX104+BZ104+CB104+CD104+CF104+CH104+CJ104+CL104+CN104+CP104+CR104+CT104+CV104+CX104</f>
        <v>0</v>
      </c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</row>
    <row r="105" spans="1:122" ht="18" customHeight="1">
      <c r="A105" s="13" t="s">
        <v>141</v>
      </c>
      <c r="B105" s="14">
        <f>IFERROR(VLOOKUP(A105,PRICELIST!$A$3:$D$138,4,0),"-")</f>
        <v>60.43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9">
        <f>C105+E105+G105+I105+K105+M105+O105+Q105+S105+U105+W105+Y105+AA105+AC105+AE105+AG105+AI105+AK105+AM105+AO105+AQ105+AS105+AU105+AW105+AY105+BA105+BC105+BE105+BG105+BI105+BK105+BM105+BO105+BQ105+BS105+BU105+BW105+BY105+CA105+CC105+CE105+CG105+CI105+CK105+CM105+CO105+CQ105+CS105+CU105+CW105</f>
        <v>0</v>
      </c>
      <c r="CZ105" s="19">
        <f>D105+F105+H105+J105+L105+N105+P105+R105+T105+V105+X105+Z105+AB105+AD105+AF105+AH105+AJ105+AL105+AN105+AP105+AR105+AT105+AV105+AX105+AZ105+BB105+BD105+BF105+BH105+BJ105+BL105+BN105+BP105+BR105+BT105+BV105+BX105+BZ105+CB105+CD105+CF105+CH105+CJ105+CL105+CN105+CP105+CR105+CT105+CV105+CX105</f>
        <v>0</v>
      </c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</row>
    <row r="106" spans="1:122" ht="18" customHeight="1">
      <c r="A106" s="13" t="s">
        <v>138</v>
      </c>
      <c r="B106" s="14">
        <f>IFERROR(VLOOKUP(A106,PRICELIST!$A$3:$D$138,4,0),"-")</f>
        <v>96.43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9">
        <f t="shared" si="56"/>
        <v>0</v>
      </c>
      <c r="CZ106" s="19">
        <f t="shared" si="56"/>
        <v>0</v>
      </c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</row>
    <row r="107" spans="1:122" ht="18" customHeight="1">
      <c r="A107" s="13" t="s">
        <v>139</v>
      </c>
      <c r="B107" s="14">
        <f>IFERROR(VLOOKUP(A107,PRICELIST!$A$3:$D$138,4,0),"-")</f>
        <v>123.43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9">
        <f t="shared" si="56"/>
        <v>0</v>
      </c>
      <c r="CZ107" s="19">
        <f t="shared" si="56"/>
        <v>0</v>
      </c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</row>
    <row r="108" spans="1:122" ht="18" customHeight="1">
      <c r="A108" s="13" t="s">
        <v>142</v>
      </c>
      <c r="B108" s="14">
        <f>IFERROR(VLOOKUP(A108,PRICELIST!$A$3:$D$138,4,0),"-")</f>
        <v>121.5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9">
        <f t="shared" si="56"/>
        <v>0</v>
      </c>
      <c r="CZ108" s="19">
        <f t="shared" si="56"/>
        <v>0</v>
      </c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</row>
    <row r="109" spans="1:122" ht="18" customHeight="1">
      <c r="A109" s="13" t="s">
        <v>143</v>
      </c>
      <c r="B109" s="14">
        <f>IFERROR(VLOOKUP(A109,PRICELIST!$A$3:$D$138,4,0),"-")</f>
        <v>109.23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9">
        <f t="shared" si="56"/>
        <v>0</v>
      </c>
      <c r="CZ109" s="19">
        <f t="shared" si="56"/>
        <v>0</v>
      </c>
    </row>
    <row r="110" spans="1:122" ht="18" customHeight="1">
      <c r="A110" s="9" t="s">
        <v>144</v>
      </c>
      <c r="B110" s="10"/>
      <c r="C110" s="11">
        <f t="shared" ref="C110:AH110" si="57">SUMPRODUCT($B100:$B109,C100:C109)</f>
        <v>0</v>
      </c>
      <c r="D110" s="11">
        <f t="shared" si="57"/>
        <v>0</v>
      </c>
      <c r="E110" s="11">
        <f t="shared" si="57"/>
        <v>0</v>
      </c>
      <c r="F110" s="11">
        <f t="shared" si="57"/>
        <v>0</v>
      </c>
      <c r="G110" s="11">
        <f t="shared" si="57"/>
        <v>0</v>
      </c>
      <c r="H110" s="11">
        <f t="shared" si="57"/>
        <v>0</v>
      </c>
      <c r="I110" s="11">
        <f t="shared" si="57"/>
        <v>0</v>
      </c>
      <c r="J110" s="11">
        <f t="shared" si="57"/>
        <v>0</v>
      </c>
      <c r="K110" s="11">
        <f t="shared" si="57"/>
        <v>0</v>
      </c>
      <c r="L110" s="11">
        <f t="shared" si="57"/>
        <v>0</v>
      </c>
      <c r="M110" s="11">
        <f t="shared" si="57"/>
        <v>0</v>
      </c>
      <c r="N110" s="11">
        <f t="shared" si="57"/>
        <v>0</v>
      </c>
      <c r="O110" s="11">
        <f t="shared" si="57"/>
        <v>0</v>
      </c>
      <c r="P110" s="11">
        <f t="shared" si="57"/>
        <v>0</v>
      </c>
      <c r="Q110" s="11">
        <f t="shared" si="57"/>
        <v>0</v>
      </c>
      <c r="R110" s="11">
        <f t="shared" si="57"/>
        <v>0</v>
      </c>
      <c r="S110" s="11">
        <f t="shared" si="57"/>
        <v>0</v>
      </c>
      <c r="T110" s="11">
        <f t="shared" si="57"/>
        <v>0</v>
      </c>
      <c r="U110" s="11">
        <f t="shared" si="57"/>
        <v>0</v>
      </c>
      <c r="V110" s="11">
        <f t="shared" si="57"/>
        <v>0</v>
      </c>
      <c r="W110" s="11">
        <f t="shared" si="57"/>
        <v>0</v>
      </c>
      <c r="X110" s="11">
        <f t="shared" si="57"/>
        <v>0</v>
      </c>
      <c r="Y110" s="11">
        <f t="shared" si="57"/>
        <v>0</v>
      </c>
      <c r="Z110" s="11">
        <f t="shared" si="57"/>
        <v>0</v>
      </c>
      <c r="AA110" s="11">
        <f t="shared" si="57"/>
        <v>0</v>
      </c>
      <c r="AB110" s="11">
        <f t="shared" si="57"/>
        <v>0</v>
      </c>
      <c r="AC110" s="11">
        <f t="shared" si="57"/>
        <v>0</v>
      </c>
      <c r="AD110" s="11">
        <f t="shared" si="57"/>
        <v>0</v>
      </c>
      <c r="AE110" s="11">
        <f t="shared" si="57"/>
        <v>0</v>
      </c>
      <c r="AF110" s="11">
        <f t="shared" si="57"/>
        <v>0</v>
      </c>
      <c r="AG110" s="11">
        <f t="shared" si="57"/>
        <v>0</v>
      </c>
      <c r="AH110" s="11">
        <f t="shared" si="57"/>
        <v>0</v>
      </c>
      <c r="AI110" s="11">
        <f t="shared" ref="AI110:BN110" si="58">SUMPRODUCT($B100:$B109,AI100:AI109)</f>
        <v>0</v>
      </c>
      <c r="AJ110" s="11">
        <f t="shared" si="58"/>
        <v>0</v>
      </c>
      <c r="AK110" s="11">
        <f t="shared" si="58"/>
        <v>0</v>
      </c>
      <c r="AL110" s="11">
        <f t="shared" si="58"/>
        <v>0</v>
      </c>
      <c r="AM110" s="11">
        <f t="shared" si="58"/>
        <v>0</v>
      </c>
      <c r="AN110" s="11">
        <f t="shared" si="58"/>
        <v>0</v>
      </c>
      <c r="AO110" s="11">
        <f t="shared" si="58"/>
        <v>0</v>
      </c>
      <c r="AP110" s="11">
        <f t="shared" si="58"/>
        <v>0</v>
      </c>
      <c r="AQ110" s="11">
        <f t="shared" si="58"/>
        <v>0</v>
      </c>
      <c r="AR110" s="11">
        <f t="shared" si="58"/>
        <v>0</v>
      </c>
      <c r="AS110" s="11">
        <f t="shared" si="58"/>
        <v>0</v>
      </c>
      <c r="AT110" s="11">
        <f t="shared" si="58"/>
        <v>0</v>
      </c>
      <c r="AU110" s="11">
        <f t="shared" si="58"/>
        <v>0</v>
      </c>
      <c r="AV110" s="11">
        <f t="shared" si="58"/>
        <v>0</v>
      </c>
      <c r="AW110" s="11">
        <f t="shared" si="58"/>
        <v>0</v>
      </c>
      <c r="AX110" s="11">
        <f t="shared" si="58"/>
        <v>0</v>
      </c>
      <c r="AY110" s="11">
        <f t="shared" si="58"/>
        <v>0</v>
      </c>
      <c r="AZ110" s="11">
        <f t="shared" si="58"/>
        <v>0</v>
      </c>
      <c r="BA110" s="11">
        <f t="shared" si="58"/>
        <v>0</v>
      </c>
      <c r="BB110" s="11">
        <f t="shared" si="58"/>
        <v>0</v>
      </c>
      <c r="BC110" s="11">
        <f t="shared" si="58"/>
        <v>0</v>
      </c>
      <c r="BD110" s="11">
        <f t="shared" si="58"/>
        <v>0</v>
      </c>
      <c r="BE110" s="11">
        <f t="shared" si="58"/>
        <v>0</v>
      </c>
      <c r="BF110" s="11">
        <f t="shared" si="58"/>
        <v>0</v>
      </c>
      <c r="BG110" s="11">
        <f t="shared" si="58"/>
        <v>0</v>
      </c>
      <c r="BH110" s="11">
        <f t="shared" si="58"/>
        <v>0</v>
      </c>
      <c r="BI110" s="11">
        <f t="shared" si="58"/>
        <v>0</v>
      </c>
      <c r="BJ110" s="11">
        <f t="shared" si="58"/>
        <v>0</v>
      </c>
      <c r="BK110" s="11">
        <f t="shared" si="58"/>
        <v>0</v>
      </c>
      <c r="BL110" s="11">
        <f t="shared" si="58"/>
        <v>0</v>
      </c>
      <c r="BM110" s="11">
        <f t="shared" si="58"/>
        <v>0</v>
      </c>
      <c r="BN110" s="11">
        <f t="shared" si="58"/>
        <v>0</v>
      </c>
      <c r="BO110" s="11">
        <f t="shared" ref="BO110:CT110" si="59">SUMPRODUCT($B100:$B109,BO100:BO109)</f>
        <v>0</v>
      </c>
      <c r="BP110" s="11">
        <f t="shared" si="59"/>
        <v>0</v>
      </c>
      <c r="BQ110" s="11">
        <f t="shared" si="59"/>
        <v>0</v>
      </c>
      <c r="BR110" s="11">
        <f t="shared" si="59"/>
        <v>0</v>
      </c>
      <c r="BS110" s="11">
        <f t="shared" si="59"/>
        <v>0</v>
      </c>
      <c r="BT110" s="11">
        <f t="shared" si="59"/>
        <v>0</v>
      </c>
      <c r="BU110" s="11">
        <f t="shared" si="59"/>
        <v>0</v>
      </c>
      <c r="BV110" s="11">
        <f t="shared" si="59"/>
        <v>0</v>
      </c>
      <c r="BW110" s="11">
        <f t="shared" si="59"/>
        <v>0</v>
      </c>
      <c r="BX110" s="11">
        <f t="shared" si="59"/>
        <v>0</v>
      </c>
      <c r="BY110" s="11">
        <f t="shared" si="59"/>
        <v>0</v>
      </c>
      <c r="BZ110" s="11">
        <f t="shared" si="59"/>
        <v>0</v>
      </c>
      <c r="CA110" s="11">
        <f t="shared" si="59"/>
        <v>0</v>
      </c>
      <c r="CB110" s="11">
        <f t="shared" si="59"/>
        <v>0</v>
      </c>
      <c r="CC110" s="11">
        <f t="shared" si="59"/>
        <v>0</v>
      </c>
      <c r="CD110" s="11">
        <f t="shared" si="59"/>
        <v>0</v>
      </c>
      <c r="CE110" s="11">
        <f t="shared" si="59"/>
        <v>0</v>
      </c>
      <c r="CF110" s="11">
        <f t="shared" si="59"/>
        <v>0</v>
      </c>
      <c r="CG110" s="11">
        <f t="shared" si="59"/>
        <v>0</v>
      </c>
      <c r="CH110" s="11">
        <f t="shared" si="59"/>
        <v>0</v>
      </c>
      <c r="CI110" s="11">
        <f t="shared" si="59"/>
        <v>0</v>
      </c>
      <c r="CJ110" s="11">
        <f t="shared" si="59"/>
        <v>0</v>
      </c>
      <c r="CK110" s="11">
        <f t="shared" si="59"/>
        <v>0</v>
      </c>
      <c r="CL110" s="11">
        <f t="shared" si="59"/>
        <v>0</v>
      </c>
      <c r="CM110" s="11">
        <f t="shared" si="59"/>
        <v>0</v>
      </c>
      <c r="CN110" s="11">
        <f t="shared" si="59"/>
        <v>0</v>
      </c>
      <c r="CO110" s="11">
        <f t="shared" si="59"/>
        <v>0</v>
      </c>
      <c r="CP110" s="11">
        <f t="shared" si="59"/>
        <v>0</v>
      </c>
      <c r="CQ110" s="11">
        <f t="shared" si="59"/>
        <v>0</v>
      </c>
      <c r="CR110" s="11">
        <f t="shared" si="59"/>
        <v>0</v>
      </c>
      <c r="CS110" s="11">
        <f t="shared" si="59"/>
        <v>0</v>
      </c>
      <c r="CT110" s="11">
        <f t="shared" si="59"/>
        <v>0</v>
      </c>
      <c r="CU110" s="11">
        <f t="shared" ref="CU110:CZ110" si="60">SUMPRODUCT($B100:$B109,CU100:CU109)</f>
        <v>0</v>
      </c>
      <c r="CV110" s="11">
        <f t="shared" si="60"/>
        <v>0</v>
      </c>
      <c r="CW110" s="11">
        <f t="shared" si="60"/>
        <v>0</v>
      </c>
      <c r="CX110" s="11">
        <f t="shared" si="60"/>
        <v>0</v>
      </c>
      <c r="CY110" s="11">
        <f t="shared" si="60"/>
        <v>0</v>
      </c>
      <c r="CZ110" s="11">
        <f t="shared" si="60"/>
        <v>0</v>
      </c>
    </row>
    <row r="111" spans="1:122">
      <c r="A111" s="13" t="s">
        <v>146</v>
      </c>
      <c r="B111" s="14">
        <f>IFERROR(VLOOKUP(A111,PRICELIST!$A$3:$D$138,4,0),"-")</f>
        <v>31.29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9">
        <f t="shared" ref="CY111:CZ114" si="61">C111+E111+G111+I111+K111+M111+O111+Q111+S111+U111+W111+Y111+AA111+AC111+AE111+AG111+AI111+AK111+AM111+AO111+AQ111+AS111+AU111+AW111+AY111+BA111+BC111+BE111+BG111+BI111+BK111+BM111+BO111+BQ111+BS111+BU111+BW111+BY111+CA111+CC111+CE111+CG111+CI111+CK111+CM111+CO111+CQ111+CS111+CU111+CW111</f>
        <v>0</v>
      </c>
      <c r="CZ111" s="19">
        <f t="shared" si="61"/>
        <v>0</v>
      </c>
    </row>
    <row r="112" spans="1:122">
      <c r="A112" s="13" t="s">
        <v>147</v>
      </c>
      <c r="B112" s="14">
        <f>IFERROR(VLOOKUP(A112,PRICELIST!$A$3:$D$138,4,0),"-")</f>
        <v>68.36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9">
        <f t="shared" si="61"/>
        <v>0</v>
      </c>
      <c r="CZ112" s="19">
        <f t="shared" si="61"/>
        <v>0</v>
      </c>
    </row>
    <row r="113" spans="1:104">
      <c r="A113" s="13" t="s">
        <v>148</v>
      </c>
      <c r="B113" s="14">
        <f>IFERROR(VLOOKUP(A113,PRICELIST!$A$3:$D$138,4,0),"-")</f>
        <v>210.72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9">
        <f t="shared" si="61"/>
        <v>0</v>
      </c>
      <c r="CZ113" s="19">
        <f t="shared" si="61"/>
        <v>0</v>
      </c>
    </row>
    <row r="114" spans="1:104">
      <c r="A114" s="13" t="s">
        <v>149</v>
      </c>
      <c r="B114" s="14">
        <f>IFERROR(VLOOKUP(A114,PRICELIST!$A$3:$D$138,4,0),"-")</f>
        <v>180.9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9">
        <f t="shared" si="61"/>
        <v>0</v>
      </c>
      <c r="CZ114" s="19">
        <f t="shared" si="61"/>
        <v>0</v>
      </c>
    </row>
    <row r="115" spans="1:104">
      <c r="A115" s="9" t="s">
        <v>145</v>
      </c>
      <c r="B115" s="10"/>
      <c r="C115" s="11">
        <f>SUMPRODUCT($B111:$B114,C111:C114)</f>
        <v>0</v>
      </c>
      <c r="D115" s="11">
        <f t="shared" ref="D115:BO115" si="62">SUMPRODUCT($B111:$B114,D111:D114)</f>
        <v>0</v>
      </c>
      <c r="E115" s="11">
        <f t="shared" si="62"/>
        <v>0</v>
      </c>
      <c r="F115" s="11">
        <f t="shared" si="62"/>
        <v>0</v>
      </c>
      <c r="G115" s="11">
        <f t="shared" si="62"/>
        <v>0</v>
      </c>
      <c r="H115" s="11">
        <f t="shared" si="62"/>
        <v>0</v>
      </c>
      <c r="I115" s="11">
        <f t="shared" si="62"/>
        <v>0</v>
      </c>
      <c r="J115" s="11">
        <f t="shared" si="62"/>
        <v>0</v>
      </c>
      <c r="K115" s="11">
        <f t="shared" si="62"/>
        <v>0</v>
      </c>
      <c r="L115" s="11">
        <f t="shared" si="62"/>
        <v>0</v>
      </c>
      <c r="M115" s="11">
        <f t="shared" si="62"/>
        <v>0</v>
      </c>
      <c r="N115" s="11">
        <f t="shared" si="62"/>
        <v>0</v>
      </c>
      <c r="O115" s="11">
        <f t="shared" si="62"/>
        <v>0</v>
      </c>
      <c r="P115" s="11">
        <f t="shared" si="62"/>
        <v>0</v>
      </c>
      <c r="Q115" s="11">
        <f t="shared" si="62"/>
        <v>0</v>
      </c>
      <c r="R115" s="11">
        <f t="shared" si="62"/>
        <v>0</v>
      </c>
      <c r="S115" s="11">
        <f t="shared" si="62"/>
        <v>0</v>
      </c>
      <c r="T115" s="11">
        <f t="shared" si="62"/>
        <v>0</v>
      </c>
      <c r="U115" s="11">
        <f t="shared" si="62"/>
        <v>0</v>
      </c>
      <c r="V115" s="11">
        <f t="shared" si="62"/>
        <v>0</v>
      </c>
      <c r="W115" s="11">
        <f t="shared" si="62"/>
        <v>0</v>
      </c>
      <c r="X115" s="11">
        <f t="shared" si="62"/>
        <v>0</v>
      </c>
      <c r="Y115" s="11">
        <f t="shared" si="62"/>
        <v>0</v>
      </c>
      <c r="Z115" s="11">
        <f t="shared" si="62"/>
        <v>0</v>
      </c>
      <c r="AA115" s="11">
        <f t="shared" si="62"/>
        <v>0</v>
      </c>
      <c r="AB115" s="11">
        <f t="shared" si="62"/>
        <v>0</v>
      </c>
      <c r="AC115" s="11">
        <f t="shared" si="62"/>
        <v>0</v>
      </c>
      <c r="AD115" s="11">
        <f t="shared" si="62"/>
        <v>0</v>
      </c>
      <c r="AE115" s="11">
        <f t="shared" si="62"/>
        <v>0</v>
      </c>
      <c r="AF115" s="11">
        <f t="shared" si="62"/>
        <v>0</v>
      </c>
      <c r="AG115" s="11">
        <f t="shared" si="62"/>
        <v>0</v>
      </c>
      <c r="AH115" s="11">
        <f t="shared" si="62"/>
        <v>0</v>
      </c>
      <c r="AI115" s="11">
        <f t="shared" si="62"/>
        <v>0</v>
      </c>
      <c r="AJ115" s="11">
        <f t="shared" si="62"/>
        <v>0</v>
      </c>
      <c r="AK115" s="11">
        <f t="shared" si="62"/>
        <v>0</v>
      </c>
      <c r="AL115" s="11">
        <f t="shared" si="62"/>
        <v>0</v>
      </c>
      <c r="AM115" s="11">
        <f t="shared" si="62"/>
        <v>0</v>
      </c>
      <c r="AN115" s="11">
        <f t="shared" si="62"/>
        <v>0</v>
      </c>
      <c r="AO115" s="11">
        <f t="shared" si="62"/>
        <v>0</v>
      </c>
      <c r="AP115" s="11">
        <f t="shared" si="62"/>
        <v>0</v>
      </c>
      <c r="AQ115" s="11">
        <f t="shared" si="62"/>
        <v>0</v>
      </c>
      <c r="AR115" s="11">
        <f t="shared" si="62"/>
        <v>0</v>
      </c>
      <c r="AS115" s="11">
        <f t="shared" si="62"/>
        <v>0</v>
      </c>
      <c r="AT115" s="11">
        <f t="shared" si="62"/>
        <v>0</v>
      </c>
      <c r="AU115" s="11">
        <f t="shared" si="62"/>
        <v>0</v>
      </c>
      <c r="AV115" s="11">
        <f t="shared" si="62"/>
        <v>0</v>
      </c>
      <c r="AW115" s="11">
        <f t="shared" si="62"/>
        <v>0</v>
      </c>
      <c r="AX115" s="11">
        <f t="shared" si="62"/>
        <v>0</v>
      </c>
      <c r="AY115" s="11">
        <f t="shared" si="62"/>
        <v>0</v>
      </c>
      <c r="AZ115" s="11">
        <f t="shared" si="62"/>
        <v>0</v>
      </c>
      <c r="BA115" s="11">
        <f t="shared" si="62"/>
        <v>0</v>
      </c>
      <c r="BB115" s="11">
        <f t="shared" si="62"/>
        <v>0</v>
      </c>
      <c r="BC115" s="11">
        <f t="shared" si="62"/>
        <v>0</v>
      </c>
      <c r="BD115" s="11">
        <f t="shared" si="62"/>
        <v>0</v>
      </c>
      <c r="BE115" s="11">
        <f t="shared" si="62"/>
        <v>0</v>
      </c>
      <c r="BF115" s="11">
        <f t="shared" si="62"/>
        <v>0</v>
      </c>
      <c r="BG115" s="11">
        <f t="shared" si="62"/>
        <v>0</v>
      </c>
      <c r="BH115" s="11">
        <f t="shared" si="62"/>
        <v>0</v>
      </c>
      <c r="BI115" s="11">
        <f t="shared" si="62"/>
        <v>0</v>
      </c>
      <c r="BJ115" s="11">
        <f t="shared" si="62"/>
        <v>0</v>
      </c>
      <c r="BK115" s="11">
        <f t="shared" si="62"/>
        <v>0</v>
      </c>
      <c r="BL115" s="11">
        <f t="shared" si="62"/>
        <v>0</v>
      </c>
      <c r="BM115" s="11">
        <f t="shared" si="62"/>
        <v>0</v>
      </c>
      <c r="BN115" s="11">
        <f t="shared" si="62"/>
        <v>0</v>
      </c>
      <c r="BO115" s="11">
        <f t="shared" si="62"/>
        <v>0</v>
      </c>
      <c r="BP115" s="11">
        <f t="shared" ref="BP115:CZ115" si="63">SUMPRODUCT($B111:$B114,BP111:BP114)</f>
        <v>0</v>
      </c>
      <c r="BQ115" s="11">
        <f t="shared" si="63"/>
        <v>0</v>
      </c>
      <c r="BR115" s="11">
        <f t="shared" si="63"/>
        <v>0</v>
      </c>
      <c r="BS115" s="11">
        <f t="shared" si="63"/>
        <v>0</v>
      </c>
      <c r="BT115" s="11">
        <f t="shared" si="63"/>
        <v>0</v>
      </c>
      <c r="BU115" s="11">
        <f t="shared" si="63"/>
        <v>0</v>
      </c>
      <c r="BV115" s="11">
        <f t="shared" si="63"/>
        <v>0</v>
      </c>
      <c r="BW115" s="11">
        <f t="shared" si="63"/>
        <v>0</v>
      </c>
      <c r="BX115" s="11">
        <f t="shared" si="63"/>
        <v>0</v>
      </c>
      <c r="BY115" s="11">
        <f t="shared" si="63"/>
        <v>0</v>
      </c>
      <c r="BZ115" s="11">
        <f t="shared" si="63"/>
        <v>0</v>
      </c>
      <c r="CA115" s="11">
        <f t="shared" si="63"/>
        <v>0</v>
      </c>
      <c r="CB115" s="11">
        <f t="shared" si="63"/>
        <v>0</v>
      </c>
      <c r="CC115" s="11">
        <f t="shared" si="63"/>
        <v>0</v>
      </c>
      <c r="CD115" s="11">
        <f t="shared" si="63"/>
        <v>0</v>
      </c>
      <c r="CE115" s="11">
        <f t="shared" si="63"/>
        <v>0</v>
      </c>
      <c r="CF115" s="11">
        <f t="shared" si="63"/>
        <v>0</v>
      </c>
      <c r="CG115" s="11">
        <f t="shared" si="63"/>
        <v>0</v>
      </c>
      <c r="CH115" s="11">
        <f t="shared" si="63"/>
        <v>0</v>
      </c>
      <c r="CI115" s="11">
        <f t="shared" si="63"/>
        <v>0</v>
      </c>
      <c r="CJ115" s="11">
        <f t="shared" si="63"/>
        <v>0</v>
      </c>
      <c r="CK115" s="11">
        <f t="shared" si="63"/>
        <v>0</v>
      </c>
      <c r="CL115" s="11">
        <f t="shared" si="63"/>
        <v>0</v>
      </c>
      <c r="CM115" s="11">
        <f t="shared" si="63"/>
        <v>0</v>
      </c>
      <c r="CN115" s="11">
        <f t="shared" si="63"/>
        <v>0</v>
      </c>
      <c r="CO115" s="11">
        <f t="shared" si="63"/>
        <v>0</v>
      </c>
      <c r="CP115" s="11">
        <f t="shared" si="63"/>
        <v>0</v>
      </c>
      <c r="CQ115" s="11">
        <f t="shared" si="63"/>
        <v>0</v>
      </c>
      <c r="CR115" s="11">
        <f t="shared" si="63"/>
        <v>0</v>
      </c>
      <c r="CS115" s="11">
        <f t="shared" si="63"/>
        <v>0</v>
      </c>
      <c r="CT115" s="11">
        <f t="shared" si="63"/>
        <v>0</v>
      </c>
      <c r="CU115" s="11">
        <f t="shared" si="63"/>
        <v>0</v>
      </c>
      <c r="CV115" s="11">
        <f t="shared" si="63"/>
        <v>0</v>
      </c>
      <c r="CW115" s="11">
        <f t="shared" si="63"/>
        <v>0</v>
      </c>
      <c r="CX115" s="11">
        <f t="shared" si="63"/>
        <v>0</v>
      </c>
      <c r="CY115" s="11">
        <f t="shared" si="63"/>
        <v>0</v>
      </c>
      <c r="CZ115" s="11">
        <f t="shared" si="63"/>
        <v>0</v>
      </c>
    </row>
    <row r="116" spans="1:104">
      <c r="A116" s="4"/>
      <c r="B116" s="14" t="str">
        <f>IFERROR(VLOOKUP(A116,PRICELIST!$A$3:$D$138,4,0),"-")</f>
        <v>-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9">
        <f t="shared" ref="CY116:CZ118" si="64">C116+E116+G116+I116+K116+M116+O116+Q116+S116+U116+W116+Y116+AA116+AC116+AE116+AG116+AI116+AK116+AM116+AO116+AQ116+AS116+AU116+AW116+AY116+BA116+BC116+BE116+BG116+BI116+BK116+BM116+BO116+BQ116+BS116+BU116+BW116+BY116+CA116+CC116+CE116+CG116+CI116+CK116+CM116+CO116+CQ116+CS116+CU116+CW116</f>
        <v>0</v>
      </c>
      <c r="CZ116" s="19">
        <f t="shared" si="64"/>
        <v>0</v>
      </c>
    </row>
    <row r="117" spans="1:104">
      <c r="A117" s="4"/>
      <c r="B117" s="14" t="str">
        <f>IFERROR(VLOOKUP(A117,PRICELIST!$A$3:$D$138,4,0),"-")</f>
        <v>-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9">
        <f t="shared" si="64"/>
        <v>0</v>
      </c>
      <c r="CZ117" s="19">
        <f t="shared" si="64"/>
        <v>0</v>
      </c>
    </row>
    <row r="118" spans="1:104">
      <c r="A118" s="4"/>
      <c r="B118" s="14" t="str">
        <f>IFERROR(VLOOKUP(A118,PRICELIST!$A$3:$D$138,4,0),"-")</f>
        <v>-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9">
        <f t="shared" si="64"/>
        <v>0</v>
      </c>
      <c r="CZ118" s="19">
        <f t="shared" si="64"/>
        <v>0</v>
      </c>
    </row>
    <row r="119" spans="1:104">
      <c r="A119" s="9"/>
      <c r="B119" s="15"/>
      <c r="C119" s="5">
        <f>SUMPRODUCT($B116:$B118,C116:C118)</f>
        <v>0</v>
      </c>
      <c r="D119" s="5">
        <f t="shared" ref="D119:BO119" si="65">SUMPRODUCT($B116:$B118,D116:D118)</f>
        <v>0</v>
      </c>
      <c r="E119" s="5">
        <f t="shared" si="65"/>
        <v>0</v>
      </c>
      <c r="F119" s="5">
        <f t="shared" si="65"/>
        <v>0</v>
      </c>
      <c r="G119" s="5">
        <f t="shared" si="65"/>
        <v>0</v>
      </c>
      <c r="H119" s="5">
        <f t="shared" si="65"/>
        <v>0</v>
      </c>
      <c r="I119" s="5">
        <f t="shared" si="65"/>
        <v>0</v>
      </c>
      <c r="J119" s="5">
        <f t="shared" si="65"/>
        <v>0</v>
      </c>
      <c r="K119" s="5">
        <f t="shared" si="65"/>
        <v>0</v>
      </c>
      <c r="L119" s="5">
        <f t="shared" si="65"/>
        <v>0</v>
      </c>
      <c r="M119" s="5">
        <f t="shared" si="65"/>
        <v>0</v>
      </c>
      <c r="N119" s="5">
        <f t="shared" si="65"/>
        <v>0</v>
      </c>
      <c r="O119" s="5">
        <f t="shared" si="65"/>
        <v>0</v>
      </c>
      <c r="P119" s="5">
        <f t="shared" si="65"/>
        <v>0</v>
      </c>
      <c r="Q119" s="5">
        <f t="shared" si="65"/>
        <v>0</v>
      </c>
      <c r="R119" s="5">
        <f t="shared" si="65"/>
        <v>0</v>
      </c>
      <c r="S119" s="5">
        <f t="shared" si="65"/>
        <v>0</v>
      </c>
      <c r="T119" s="5">
        <f t="shared" si="65"/>
        <v>0</v>
      </c>
      <c r="U119" s="5">
        <f t="shared" si="65"/>
        <v>0</v>
      </c>
      <c r="V119" s="5">
        <f t="shared" si="65"/>
        <v>0</v>
      </c>
      <c r="W119" s="5">
        <f t="shared" si="65"/>
        <v>0</v>
      </c>
      <c r="X119" s="5">
        <f t="shared" si="65"/>
        <v>0</v>
      </c>
      <c r="Y119" s="5">
        <f t="shared" si="65"/>
        <v>0</v>
      </c>
      <c r="Z119" s="5">
        <f t="shared" si="65"/>
        <v>0</v>
      </c>
      <c r="AA119" s="5">
        <f t="shared" si="65"/>
        <v>0</v>
      </c>
      <c r="AB119" s="5">
        <f t="shared" si="65"/>
        <v>0</v>
      </c>
      <c r="AC119" s="5">
        <f t="shared" si="65"/>
        <v>0</v>
      </c>
      <c r="AD119" s="5">
        <f t="shared" si="65"/>
        <v>0</v>
      </c>
      <c r="AE119" s="5">
        <f t="shared" si="65"/>
        <v>0</v>
      </c>
      <c r="AF119" s="5">
        <f t="shared" si="65"/>
        <v>0</v>
      </c>
      <c r="AG119" s="5">
        <f t="shared" si="65"/>
        <v>0</v>
      </c>
      <c r="AH119" s="5">
        <f t="shared" si="65"/>
        <v>0</v>
      </c>
      <c r="AI119" s="5">
        <f t="shared" si="65"/>
        <v>0</v>
      </c>
      <c r="AJ119" s="5">
        <f t="shared" si="65"/>
        <v>0</v>
      </c>
      <c r="AK119" s="5">
        <f t="shared" si="65"/>
        <v>0</v>
      </c>
      <c r="AL119" s="5">
        <f t="shared" si="65"/>
        <v>0</v>
      </c>
      <c r="AM119" s="5">
        <f t="shared" si="65"/>
        <v>0</v>
      </c>
      <c r="AN119" s="5">
        <f t="shared" si="65"/>
        <v>0</v>
      </c>
      <c r="AO119" s="5">
        <f t="shared" si="65"/>
        <v>0</v>
      </c>
      <c r="AP119" s="5">
        <f t="shared" si="65"/>
        <v>0</v>
      </c>
      <c r="AQ119" s="5">
        <f t="shared" si="65"/>
        <v>0</v>
      </c>
      <c r="AR119" s="5">
        <f t="shared" si="65"/>
        <v>0</v>
      </c>
      <c r="AS119" s="5">
        <f t="shared" si="65"/>
        <v>0</v>
      </c>
      <c r="AT119" s="5">
        <f t="shared" si="65"/>
        <v>0</v>
      </c>
      <c r="AU119" s="5">
        <f t="shared" si="65"/>
        <v>0</v>
      </c>
      <c r="AV119" s="5">
        <f t="shared" si="65"/>
        <v>0</v>
      </c>
      <c r="AW119" s="5">
        <f t="shared" si="65"/>
        <v>0</v>
      </c>
      <c r="AX119" s="5">
        <f t="shared" si="65"/>
        <v>0</v>
      </c>
      <c r="AY119" s="5">
        <f t="shared" si="65"/>
        <v>0</v>
      </c>
      <c r="AZ119" s="5">
        <f t="shared" si="65"/>
        <v>0</v>
      </c>
      <c r="BA119" s="5">
        <f t="shared" si="65"/>
        <v>0</v>
      </c>
      <c r="BB119" s="5">
        <f t="shared" si="65"/>
        <v>0</v>
      </c>
      <c r="BC119" s="5">
        <f t="shared" si="65"/>
        <v>0</v>
      </c>
      <c r="BD119" s="5">
        <f t="shared" si="65"/>
        <v>0</v>
      </c>
      <c r="BE119" s="5">
        <f t="shared" si="65"/>
        <v>0</v>
      </c>
      <c r="BF119" s="5">
        <f t="shared" si="65"/>
        <v>0</v>
      </c>
      <c r="BG119" s="5">
        <f t="shared" si="65"/>
        <v>0</v>
      </c>
      <c r="BH119" s="5">
        <f t="shared" si="65"/>
        <v>0</v>
      </c>
      <c r="BI119" s="5">
        <f t="shared" si="65"/>
        <v>0</v>
      </c>
      <c r="BJ119" s="5">
        <f t="shared" si="65"/>
        <v>0</v>
      </c>
      <c r="BK119" s="5">
        <f t="shared" si="65"/>
        <v>0</v>
      </c>
      <c r="BL119" s="5">
        <f t="shared" si="65"/>
        <v>0</v>
      </c>
      <c r="BM119" s="5">
        <f t="shared" si="65"/>
        <v>0</v>
      </c>
      <c r="BN119" s="5">
        <f t="shared" si="65"/>
        <v>0</v>
      </c>
      <c r="BO119" s="5">
        <f t="shared" si="65"/>
        <v>0</v>
      </c>
      <c r="BP119" s="5">
        <f t="shared" ref="BP119:CZ119" si="66">SUMPRODUCT($B116:$B118,BP116:BP118)</f>
        <v>0</v>
      </c>
      <c r="BQ119" s="5">
        <f t="shared" si="66"/>
        <v>0</v>
      </c>
      <c r="BR119" s="5">
        <f t="shared" si="66"/>
        <v>0</v>
      </c>
      <c r="BS119" s="5">
        <f t="shared" si="66"/>
        <v>0</v>
      </c>
      <c r="BT119" s="5">
        <f t="shared" si="66"/>
        <v>0</v>
      </c>
      <c r="BU119" s="5">
        <f t="shared" si="66"/>
        <v>0</v>
      </c>
      <c r="BV119" s="5">
        <f t="shared" si="66"/>
        <v>0</v>
      </c>
      <c r="BW119" s="5">
        <f t="shared" si="66"/>
        <v>0</v>
      </c>
      <c r="BX119" s="5">
        <f t="shared" si="66"/>
        <v>0</v>
      </c>
      <c r="BY119" s="5">
        <f t="shared" si="66"/>
        <v>0</v>
      </c>
      <c r="BZ119" s="5">
        <f t="shared" si="66"/>
        <v>0</v>
      </c>
      <c r="CA119" s="5">
        <f t="shared" si="66"/>
        <v>0</v>
      </c>
      <c r="CB119" s="5">
        <f t="shared" si="66"/>
        <v>0</v>
      </c>
      <c r="CC119" s="5">
        <f t="shared" si="66"/>
        <v>0</v>
      </c>
      <c r="CD119" s="5">
        <f t="shared" si="66"/>
        <v>0</v>
      </c>
      <c r="CE119" s="5">
        <f t="shared" si="66"/>
        <v>0</v>
      </c>
      <c r="CF119" s="5">
        <f t="shared" si="66"/>
        <v>0</v>
      </c>
      <c r="CG119" s="5">
        <f t="shared" si="66"/>
        <v>0</v>
      </c>
      <c r="CH119" s="5">
        <f t="shared" si="66"/>
        <v>0</v>
      </c>
      <c r="CI119" s="5">
        <f t="shared" si="66"/>
        <v>0</v>
      </c>
      <c r="CJ119" s="5">
        <f t="shared" si="66"/>
        <v>0</v>
      </c>
      <c r="CK119" s="5">
        <f t="shared" si="66"/>
        <v>0</v>
      </c>
      <c r="CL119" s="5">
        <f t="shared" si="66"/>
        <v>0</v>
      </c>
      <c r="CM119" s="5">
        <f t="shared" si="66"/>
        <v>0</v>
      </c>
      <c r="CN119" s="5">
        <f t="shared" si="66"/>
        <v>0</v>
      </c>
      <c r="CO119" s="5">
        <f t="shared" si="66"/>
        <v>0</v>
      </c>
      <c r="CP119" s="5">
        <f t="shared" si="66"/>
        <v>0</v>
      </c>
      <c r="CQ119" s="5">
        <f t="shared" si="66"/>
        <v>0</v>
      </c>
      <c r="CR119" s="5">
        <f t="shared" si="66"/>
        <v>0</v>
      </c>
      <c r="CS119" s="5">
        <f t="shared" si="66"/>
        <v>0</v>
      </c>
      <c r="CT119" s="5">
        <f t="shared" si="66"/>
        <v>0</v>
      </c>
      <c r="CU119" s="5">
        <f t="shared" si="66"/>
        <v>0</v>
      </c>
      <c r="CV119" s="5">
        <f t="shared" si="66"/>
        <v>0</v>
      </c>
      <c r="CW119" s="5">
        <f t="shared" si="66"/>
        <v>0</v>
      </c>
      <c r="CX119" s="5">
        <f t="shared" si="66"/>
        <v>0</v>
      </c>
      <c r="CY119" s="5">
        <f t="shared" si="66"/>
        <v>0</v>
      </c>
      <c r="CZ119" s="5">
        <f t="shared" si="66"/>
        <v>0</v>
      </c>
    </row>
    <row r="120" spans="1:104" ht="15.5">
      <c r="A120" s="16" t="s">
        <v>71</v>
      </c>
      <c r="B120" s="17"/>
      <c r="C120" s="6">
        <f t="shared" ref="C120:AH120" si="67">SUM(C10,C20,C24,C27,C34,C37,C40,C47,C49,C53,C59,C71,C79,C81,C88,C92,C95,C99,C110,C115,C119)/100000</f>
        <v>0</v>
      </c>
      <c r="D120" s="6">
        <f t="shared" si="67"/>
        <v>0</v>
      </c>
      <c r="E120" s="6">
        <f t="shared" si="67"/>
        <v>0</v>
      </c>
      <c r="F120" s="6">
        <f t="shared" si="67"/>
        <v>0</v>
      </c>
      <c r="G120" s="6">
        <f t="shared" si="67"/>
        <v>0</v>
      </c>
      <c r="H120" s="6">
        <f t="shared" si="67"/>
        <v>0</v>
      </c>
      <c r="I120" s="6">
        <f t="shared" si="67"/>
        <v>0</v>
      </c>
      <c r="J120" s="6">
        <f t="shared" si="67"/>
        <v>0</v>
      </c>
      <c r="K120" s="6">
        <f t="shared" si="67"/>
        <v>0</v>
      </c>
      <c r="L120" s="6">
        <f t="shared" si="67"/>
        <v>0</v>
      </c>
      <c r="M120" s="6">
        <f t="shared" si="67"/>
        <v>0</v>
      </c>
      <c r="N120" s="6">
        <f t="shared" si="67"/>
        <v>0</v>
      </c>
      <c r="O120" s="6">
        <f t="shared" si="67"/>
        <v>0</v>
      </c>
      <c r="P120" s="6">
        <f t="shared" si="67"/>
        <v>0</v>
      </c>
      <c r="Q120" s="6">
        <f t="shared" si="67"/>
        <v>0</v>
      </c>
      <c r="R120" s="6">
        <f t="shared" si="67"/>
        <v>0</v>
      </c>
      <c r="S120" s="6">
        <f t="shared" si="67"/>
        <v>0</v>
      </c>
      <c r="T120" s="6">
        <f t="shared" si="67"/>
        <v>0</v>
      </c>
      <c r="U120" s="6">
        <f t="shared" si="67"/>
        <v>0</v>
      </c>
      <c r="V120" s="6">
        <f t="shared" si="67"/>
        <v>0</v>
      </c>
      <c r="W120" s="6">
        <f t="shared" si="67"/>
        <v>0</v>
      </c>
      <c r="X120" s="6">
        <f t="shared" si="67"/>
        <v>0</v>
      </c>
      <c r="Y120" s="6">
        <f t="shared" si="67"/>
        <v>0</v>
      </c>
      <c r="Z120" s="6">
        <f t="shared" si="67"/>
        <v>0</v>
      </c>
      <c r="AA120" s="6">
        <f t="shared" si="67"/>
        <v>0</v>
      </c>
      <c r="AB120" s="6">
        <f t="shared" si="67"/>
        <v>0</v>
      </c>
      <c r="AC120" s="6">
        <f t="shared" si="67"/>
        <v>0</v>
      </c>
      <c r="AD120" s="6">
        <f t="shared" si="67"/>
        <v>0</v>
      </c>
      <c r="AE120" s="6">
        <f t="shared" si="67"/>
        <v>0</v>
      </c>
      <c r="AF120" s="6">
        <f t="shared" si="67"/>
        <v>0</v>
      </c>
      <c r="AG120" s="6">
        <f t="shared" si="67"/>
        <v>0</v>
      </c>
      <c r="AH120" s="6">
        <f t="shared" si="67"/>
        <v>0</v>
      </c>
      <c r="AI120" s="6">
        <f t="shared" ref="AI120:BN120" si="68">SUM(AI10,AI20,AI24,AI27,AI34,AI37,AI40,AI47,AI49,AI53,AI59,AI71,AI79,AI81,AI88,AI92,AI95,AI99,AI110,AI115,AI119)/100000</f>
        <v>0</v>
      </c>
      <c r="AJ120" s="6">
        <f t="shared" si="68"/>
        <v>0</v>
      </c>
      <c r="AK120" s="6">
        <f t="shared" si="68"/>
        <v>0</v>
      </c>
      <c r="AL120" s="6">
        <f t="shared" si="68"/>
        <v>0</v>
      </c>
      <c r="AM120" s="6">
        <f t="shared" si="68"/>
        <v>0</v>
      </c>
      <c r="AN120" s="6">
        <f t="shared" si="68"/>
        <v>0</v>
      </c>
      <c r="AO120" s="6">
        <f t="shared" si="68"/>
        <v>0</v>
      </c>
      <c r="AP120" s="6">
        <f t="shared" si="68"/>
        <v>0</v>
      </c>
      <c r="AQ120" s="6">
        <f t="shared" si="68"/>
        <v>0</v>
      </c>
      <c r="AR120" s="6">
        <f t="shared" si="68"/>
        <v>0</v>
      </c>
      <c r="AS120" s="6">
        <f t="shared" si="68"/>
        <v>0</v>
      </c>
      <c r="AT120" s="6">
        <f t="shared" si="68"/>
        <v>0</v>
      </c>
      <c r="AU120" s="6">
        <f t="shared" si="68"/>
        <v>0</v>
      </c>
      <c r="AV120" s="6">
        <f t="shared" si="68"/>
        <v>0</v>
      </c>
      <c r="AW120" s="6">
        <f t="shared" si="68"/>
        <v>0</v>
      </c>
      <c r="AX120" s="6">
        <f t="shared" si="68"/>
        <v>0</v>
      </c>
      <c r="AY120" s="6">
        <f t="shared" si="68"/>
        <v>0</v>
      </c>
      <c r="AZ120" s="6">
        <f t="shared" si="68"/>
        <v>0</v>
      </c>
      <c r="BA120" s="6">
        <f t="shared" si="68"/>
        <v>0</v>
      </c>
      <c r="BB120" s="6">
        <f t="shared" si="68"/>
        <v>0</v>
      </c>
      <c r="BC120" s="6">
        <f t="shared" si="68"/>
        <v>0</v>
      </c>
      <c r="BD120" s="6">
        <f t="shared" si="68"/>
        <v>0</v>
      </c>
      <c r="BE120" s="6">
        <f t="shared" si="68"/>
        <v>0</v>
      </c>
      <c r="BF120" s="6">
        <f t="shared" si="68"/>
        <v>0</v>
      </c>
      <c r="BG120" s="6">
        <f t="shared" si="68"/>
        <v>0</v>
      </c>
      <c r="BH120" s="6">
        <f t="shared" si="68"/>
        <v>0</v>
      </c>
      <c r="BI120" s="6">
        <f t="shared" si="68"/>
        <v>0</v>
      </c>
      <c r="BJ120" s="6">
        <f t="shared" si="68"/>
        <v>0</v>
      </c>
      <c r="BK120" s="6">
        <f t="shared" si="68"/>
        <v>0</v>
      </c>
      <c r="BL120" s="6">
        <f t="shared" si="68"/>
        <v>0</v>
      </c>
      <c r="BM120" s="6">
        <f t="shared" si="68"/>
        <v>0</v>
      </c>
      <c r="BN120" s="6">
        <f t="shared" si="68"/>
        <v>0</v>
      </c>
      <c r="BO120" s="6">
        <f t="shared" ref="BO120:CT120" si="69">SUM(BO10,BO20,BO24,BO27,BO34,BO37,BO40,BO47,BO49,BO53,BO59,BO71,BO79,BO81,BO88,BO92,BO95,BO99,BO110,BO115,BO119)/100000</f>
        <v>0</v>
      </c>
      <c r="BP120" s="6">
        <f t="shared" si="69"/>
        <v>0</v>
      </c>
      <c r="BQ120" s="6">
        <f t="shared" si="69"/>
        <v>0</v>
      </c>
      <c r="BR120" s="6">
        <f t="shared" si="69"/>
        <v>0</v>
      </c>
      <c r="BS120" s="6">
        <f t="shared" si="69"/>
        <v>0</v>
      </c>
      <c r="BT120" s="6">
        <f t="shared" si="69"/>
        <v>0</v>
      </c>
      <c r="BU120" s="6">
        <f t="shared" si="69"/>
        <v>0</v>
      </c>
      <c r="BV120" s="6">
        <f t="shared" si="69"/>
        <v>0</v>
      </c>
      <c r="BW120" s="6">
        <f t="shared" si="69"/>
        <v>0</v>
      </c>
      <c r="BX120" s="6">
        <f t="shared" si="69"/>
        <v>0</v>
      </c>
      <c r="BY120" s="6">
        <f t="shared" si="69"/>
        <v>0</v>
      </c>
      <c r="BZ120" s="6">
        <f t="shared" si="69"/>
        <v>0</v>
      </c>
      <c r="CA120" s="6">
        <f t="shared" si="69"/>
        <v>0</v>
      </c>
      <c r="CB120" s="6">
        <f t="shared" si="69"/>
        <v>0</v>
      </c>
      <c r="CC120" s="6">
        <f t="shared" si="69"/>
        <v>0</v>
      </c>
      <c r="CD120" s="6">
        <f t="shared" si="69"/>
        <v>0</v>
      </c>
      <c r="CE120" s="6">
        <f t="shared" si="69"/>
        <v>0</v>
      </c>
      <c r="CF120" s="6">
        <f t="shared" si="69"/>
        <v>0</v>
      </c>
      <c r="CG120" s="6">
        <f t="shared" si="69"/>
        <v>0</v>
      </c>
      <c r="CH120" s="6">
        <f t="shared" si="69"/>
        <v>0</v>
      </c>
      <c r="CI120" s="6">
        <f t="shared" si="69"/>
        <v>0</v>
      </c>
      <c r="CJ120" s="6">
        <f t="shared" si="69"/>
        <v>0</v>
      </c>
      <c r="CK120" s="6">
        <f t="shared" si="69"/>
        <v>0</v>
      </c>
      <c r="CL120" s="6">
        <f t="shared" si="69"/>
        <v>0</v>
      </c>
      <c r="CM120" s="6">
        <f t="shared" si="69"/>
        <v>0</v>
      </c>
      <c r="CN120" s="6">
        <f t="shared" si="69"/>
        <v>0</v>
      </c>
      <c r="CO120" s="6">
        <f t="shared" si="69"/>
        <v>0</v>
      </c>
      <c r="CP120" s="6">
        <f t="shared" si="69"/>
        <v>0</v>
      </c>
      <c r="CQ120" s="6">
        <f t="shared" si="69"/>
        <v>0</v>
      </c>
      <c r="CR120" s="6">
        <f t="shared" si="69"/>
        <v>0</v>
      </c>
      <c r="CS120" s="6">
        <f t="shared" si="69"/>
        <v>0</v>
      </c>
      <c r="CT120" s="6">
        <f t="shared" si="69"/>
        <v>0</v>
      </c>
      <c r="CU120" s="6">
        <f t="shared" ref="CU120:CZ120" si="70">SUM(CU10,CU20,CU24,CU27,CU34,CU37,CU40,CU47,CU49,CU53,CU59,CU71,CU79,CU81,CU88,CU92,CU95,CU99,CU110,CU115,CU119)/100000</f>
        <v>0</v>
      </c>
      <c r="CV120" s="6">
        <f t="shared" si="70"/>
        <v>0</v>
      </c>
      <c r="CW120" s="6">
        <f t="shared" si="70"/>
        <v>0</v>
      </c>
      <c r="CX120" s="6">
        <f t="shared" si="70"/>
        <v>0</v>
      </c>
      <c r="CY120" s="6">
        <f t="shared" si="70"/>
        <v>0</v>
      </c>
      <c r="CZ120" s="6">
        <f t="shared" si="70"/>
        <v>0</v>
      </c>
    </row>
  </sheetData>
  <sheetProtection formatCells="0" selectLockedCells="1" autoFilter="0"/>
  <autoFilter ref="A2:CZ110" xr:uid="{00000000-0009-0000-0000-000004000000}"/>
  <mergeCells count="52">
    <mergeCell ref="CS1:CT1"/>
    <mergeCell ref="CU1:CV1"/>
    <mergeCell ref="CW1:CX1"/>
    <mergeCell ref="CY1:CZ1"/>
    <mergeCell ref="CG1:CH1"/>
    <mergeCell ref="CI1:CJ1"/>
    <mergeCell ref="CK1:CL1"/>
    <mergeCell ref="CM1:CN1"/>
    <mergeCell ref="CO1:CP1"/>
    <mergeCell ref="CQ1:CR1"/>
    <mergeCell ref="CE1:CF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BG1:BH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AI1:AJ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K1:L1"/>
    <mergeCell ref="A1:A2"/>
    <mergeCell ref="C1:D1"/>
    <mergeCell ref="E1:F1"/>
    <mergeCell ref="G1:H1"/>
    <mergeCell ref="I1:J1"/>
  </mergeCells>
  <pageMargins left="0.69930555555555596" right="0.69930555555555596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R12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:CZ121"/>
    </sheetView>
  </sheetViews>
  <sheetFormatPr defaultColWidth="9.1796875" defaultRowHeight="14.5"/>
  <cols>
    <col min="1" max="1" width="31.54296875" style="2" customWidth="1"/>
    <col min="2" max="2" width="8.81640625" style="3" customWidth="1"/>
    <col min="3" max="3" width="10" style="3" bestFit="1" customWidth="1"/>
    <col min="4" max="41" width="9.1796875" style="3"/>
    <col min="42" max="42" width="8.54296875" style="3" customWidth="1"/>
    <col min="43" max="43" width="7.54296875" style="3" customWidth="1"/>
    <col min="44" max="44" width="8.54296875" style="3" customWidth="1"/>
    <col min="45" max="45" width="7.54296875" style="3" customWidth="1"/>
    <col min="46" max="46" width="8.54296875" style="3" customWidth="1"/>
    <col min="47" max="47" width="7.54296875" style="3" customWidth="1"/>
    <col min="48" max="48" width="8.54296875" style="3" customWidth="1"/>
    <col min="49" max="49" width="7.54296875" style="3" customWidth="1"/>
    <col min="50" max="50" width="8.54296875" style="3" customWidth="1"/>
    <col min="51" max="51" width="7.54296875" style="3" customWidth="1"/>
    <col min="52" max="52" width="8.54296875" style="3" customWidth="1"/>
    <col min="53" max="53" width="7.54296875" style="3" customWidth="1"/>
    <col min="54" max="54" width="8.54296875" style="3" customWidth="1"/>
    <col min="55" max="55" width="7.54296875" style="3" customWidth="1"/>
    <col min="56" max="56" width="8.54296875" style="3" customWidth="1"/>
    <col min="57" max="57" width="7.54296875" style="3" customWidth="1"/>
    <col min="58" max="58" width="8.54296875" style="3" customWidth="1"/>
    <col min="59" max="59" width="7.54296875" style="3" customWidth="1"/>
    <col min="60" max="60" width="8.54296875" style="3" customWidth="1"/>
    <col min="61" max="61" width="7.54296875" style="3" customWidth="1"/>
    <col min="62" max="62" width="8.54296875" style="3" customWidth="1"/>
    <col min="63" max="63" width="7.54296875" style="3" customWidth="1"/>
    <col min="64" max="64" width="8.54296875" style="3" customWidth="1"/>
    <col min="65" max="65" width="7.54296875" style="3" customWidth="1"/>
    <col min="66" max="66" width="8.54296875" style="3" customWidth="1"/>
    <col min="67" max="67" width="7.54296875" style="3" customWidth="1"/>
    <col min="68" max="68" width="8.54296875" style="3" customWidth="1"/>
    <col min="69" max="69" width="7.54296875" style="3" customWidth="1"/>
    <col min="70" max="70" width="8.54296875" style="3" customWidth="1"/>
    <col min="71" max="71" width="7.54296875" style="3" customWidth="1"/>
    <col min="72" max="72" width="8.54296875" style="3" customWidth="1"/>
    <col min="73" max="73" width="7.54296875" style="3" customWidth="1"/>
    <col min="74" max="74" width="8.54296875" style="3" customWidth="1"/>
    <col min="75" max="75" width="7.54296875" style="3" customWidth="1"/>
    <col min="76" max="76" width="8.54296875" style="3" customWidth="1"/>
    <col min="77" max="77" width="7.54296875" style="3" customWidth="1"/>
    <col min="78" max="78" width="8.54296875" style="3" customWidth="1"/>
    <col min="79" max="79" width="7.54296875" style="3" customWidth="1"/>
    <col min="80" max="80" width="8.54296875" style="3" customWidth="1"/>
    <col min="81" max="81" width="7.54296875" style="3" customWidth="1"/>
    <col min="82" max="82" width="8.54296875" style="3" customWidth="1"/>
    <col min="83" max="83" width="7.54296875" style="3" customWidth="1"/>
    <col min="84" max="84" width="8.54296875" style="3" customWidth="1"/>
    <col min="85" max="85" width="7.54296875" style="3" customWidth="1"/>
    <col min="86" max="86" width="8.54296875" style="3" customWidth="1"/>
    <col min="87" max="87" width="7.54296875" style="3" customWidth="1"/>
    <col min="88" max="88" width="8.54296875" style="3" customWidth="1"/>
    <col min="89" max="89" width="7.54296875" style="3" customWidth="1"/>
    <col min="90" max="90" width="8.54296875" style="3" customWidth="1"/>
    <col min="91" max="91" width="7.54296875" style="3" customWidth="1"/>
    <col min="92" max="92" width="8.54296875" style="3" customWidth="1"/>
    <col min="93" max="93" width="7.54296875" style="3" customWidth="1"/>
    <col min="94" max="94" width="8.54296875" style="3" customWidth="1"/>
    <col min="95" max="95" width="7.54296875" style="3" customWidth="1"/>
    <col min="96" max="96" width="8.54296875" style="3" customWidth="1"/>
    <col min="97" max="97" width="7.54296875" style="3" customWidth="1"/>
    <col min="98" max="98" width="8.54296875" style="3" customWidth="1"/>
    <col min="99" max="99" width="7.54296875" style="3" customWidth="1"/>
    <col min="100" max="100" width="8.54296875" style="3" customWidth="1"/>
    <col min="101" max="101" width="7.54296875" style="3" customWidth="1"/>
    <col min="102" max="102" width="8.54296875" style="3" customWidth="1"/>
    <col min="103" max="103" width="11.81640625" style="3" customWidth="1"/>
    <col min="104" max="104" width="12.453125" style="3" customWidth="1"/>
    <col min="105" max="107" width="9.1796875" style="2"/>
    <col min="108" max="108" width="8" style="2" customWidth="1"/>
    <col min="109" max="16384" width="9.1796875" style="2"/>
  </cols>
  <sheetData>
    <row r="1" spans="1:122" s="37" customFormat="1" ht="19.5" customHeight="1">
      <c r="A1" s="44" t="s">
        <v>0</v>
      </c>
      <c r="B1" s="12"/>
      <c r="C1" s="46" t="str">
        <f>APRIL!C1</f>
        <v>VASU PHARMA DRUGS PVT LTD</v>
      </c>
      <c r="D1" s="46"/>
      <c r="E1" s="46" t="str">
        <f>APRIL!E1</f>
        <v>PRAKASH PHARMA DISTRIBUTORS</v>
      </c>
      <c r="F1" s="46"/>
      <c r="G1" s="46" t="str">
        <f>APRIL!G1</f>
        <v>Divya Pharma</v>
      </c>
      <c r="H1" s="46"/>
      <c r="I1" s="46" t="str">
        <f>APRIL!I1</f>
        <v>KEIMED PRIVATE LIMITED</v>
      </c>
      <c r="J1" s="46"/>
      <c r="K1" s="46" t="str">
        <f>APRIL!K1</f>
        <v>SAI SRIDHAR PHARMA PVT LTD</v>
      </c>
      <c r="L1" s="46"/>
      <c r="M1" s="46" t="str">
        <f>APRIL!M1</f>
        <v>SRI VENKATARAGHAVA AGENCIES</v>
      </c>
      <c r="N1" s="46"/>
      <c r="O1" s="46" t="str">
        <f>APRIL!O1</f>
        <v>SHREEJI DIST PVT LTD</v>
      </c>
      <c r="P1" s="46"/>
      <c r="Q1" s="46" t="str">
        <f>APRIL!Q1</f>
        <v>SVS PHARMA</v>
      </c>
      <c r="R1" s="46"/>
      <c r="S1" s="46" t="str">
        <f>APRIL!S1</f>
        <v>PHARMA DISTRIBUTORS</v>
      </c>
      <c r="T1" s="46"/>
      <c r="U1" s="46" t="str">
        <f>APRIL!U1</f>
        <v>SAI PHARMA DISTRIBUTERS PVT LTD</v>
      </c>
      <c r="V1" s="46"/>
      <c r="W1" s="46" t="str">
        <f>APRIL!W1</f>
        <v>ALANKRITA AGENCIES</v>
      </c>
      <c r="X1" s="46"/>
      <c r="Y1" s="46" t="str">
        <f>APRIL!Y1</f>
        <v>JAYA SURG &amp; PHARMA PVT LTD</v>
      </c>
      <c r="Z1" s="46"/>
      <c r="AA1" s="46" t="str">
        <f>APRIL!AA1</f>
        <v>MANASA MEDICAL AGENCIES</v>
      </c>
      <c r="AB1" s="46"/>
      <c r="AC1" s="46" t="str">
        <f>APRIL!AC1</f>
        <v>KARTHICK AGENCIES</v>
      </c>
      <c r="AD1" s="46"/>
      <c r="AE1" s="46" t="str">
        <f>APRIL!AE1</f>
        <v>NIRMALA AGENCIES</v>
      </c>
      <c r="AF1" s="46"/>
      <c r="AG1" s="46" t="str">
        <f>APRIL!AG1</f>
        <v>HIMALAYA MEDICAL AGENCIES</v>
      </c>
      <c r="AH1" s="46"/>
      <c r="AI1" s="46" t="str">
        <f>APRIL!AI1</f>
        <v xml:space="preserve">Maruthi </v>
      </c>
      <c r="AJ1" s="46"/>
      <c r="AK1" s="46" t="str">
        <f>APRIL!AK1</f>
        <v>LAXMI SAI MEDICAL AGENCIES</v>
      </c>
      <c r="AL1" s="46"/>
      <c r="AM1" s="46" t="str">
        <f>APRIL!AM1</f>
        <v>Patwari Pharma</v>
      </c>
      <c r="AN1" s="46"/>
      <c r="AO1" s="46" t="str">
        <f>APRIL!AO1</f>
        <v>Vishnu &amp; Co</v>
      </c>
      <c r="AP1" s="46"/>
      <c r="AQ1" s="46" t="str">
        <f>APRIL!AQ1</f>
        <v>SUMAN AGENCIES HYD PVT LTD</v>
      </c>
      <c r="AR1" s="46"/>
      <c r="AS1" s="46" t="str">
        <f>APRIL!AS1</f>
        <v>Sri Nirmala</v>
      </c>
      <c r="AT1" s="46"/>
      <c r="AU1" s="46" t="str">
        <f>APRIL!AU1</f>
        <v>SHREE SHARADA PHARMA</v>
      </c>
      <c r="AV1" s="46"/>
      <c r="AW1" s="46" t="str">
        <f>APRIL!AW1</f>
        <v>ALLIED PHARMA</v>
      </c>
      <c r="AX1" s="46"/>
      <c r="AY1" s="46" t="str">
        <f>APRIL!AY1</f>
        <v>GOEL DISTRIBUTER</v>
      </c>
      <c r="AZ1" s="46"/>
      <c r="BA1" s="46" t="str">
        <f>APRIL!BA1</f>
        <v>KAMALESH PHARMA</v>
      </c>
      <c r="BB1" s="46"/>
      <c r="BC1" s="46" t="str">
        <f>APRIL!BC1</f>
        <v>ARVIND PHARMA DISTRIBUTER</v>
      </c>
      <c r="BD1" s="46"/>
      <c r="BE1" s="46" t="str">
        <f>APRIL!BE1</f>
        <v>GOEL PHARMA</v>
      </c>
      <c r="BF1" s="46"/>
      <c r="BG1" s="46" t="str">
        <f>APRIL!BG1</f>
        <v>KRISHNA  PHARMACEUTICALS</v>
      </c>
      <c r="BH1" s="46"/>
      <c r="BI1" s="46" t="str">
        <f>APRIL!BI1</f>
        <v>AP DRUGS</v>
      </c>
      <c r="BJ1" s="46"/>
      <c r="BK1" s="46" t="str">
        <f>APRIL!BK1</f>
        <v>MAWA PHARMACEUTICALS</v>
      </c>
      <c r="BL1" s="46"/>
      <c r="BM1" s="46" t="str">
        <f>APRIL!BM1</f>
        <v>TIRUMALA AGENCIES</v>
      </c>
      <c r="BN1" s="46"/>
      <c r="BO1" s="46" t="str">
        <f>APRIL!BO1</f>
        <v>SREE HARI MEDICALS</v>
      </c>
      <c r="BP1" s="46"/>
      <c r="BQ1" s="46" t="str">
        <f>APRIL!BQ1</f>
        <v>SREE VENKATESHWARA MEDISOLUTIONS</v>
      </c>
      <c r="BR1" s="46"/>
      <c r="BS1" s="46" t="str">
        <f>APRIL!BS1</f>
        <v>SRI BALAJI DRUGS</v>
      </c>
      <c r="BT1" s="46"/>
      <c r="BU1" s="46" t="str">
        <f>APRIL!BU1</f>
        <v>VISHNU MEDICAL HALL</v>
      </c>
      <c r="BV1" s="46"/>
      <c r="BW1" s="46" t="str">
        <f>APRIL!BW1</f>
        <v>HYDERABAD SPECIALITY DRUGS</v>
      </c>
      <c r="BX1" s="46"/>
      <c r="BY1" s="46" t="str">
        <f>APRIL!BY1</f>
        <v>LORVEN PHARMA &amp; SURGICALS (CORP)</v>
      </c>
      <c r="BZ1" s="46"/>
      <c r="CA1" s="46" t="str">
        <f>APRIL!CA1</f>
        <v>AK PHARMA</v>
      </c>
      <c r="CB1" s="46"/>
      <c r="CC1" s="46" t="str">
        <f>APRIL!CC1</f>
        <v>OPTIVAL HEALTHSOLUTIONS</v>
      </c>
      <c r="CD1" s="46"/>
      <c r="CE1" s="46" t="str">
        <f>APRIL!CE1</f>
        <v>BALAJI MEDICAL AGENCIES</v>
      </c>
      <c r="CF1" s="46"/>
      <c r="CG1" s="46" t="str">
        <f>APRIL!CG1</f>
        <v>S42</v>
      </c>
      <c r="CH1" s="46"/>
      <c r="CI1" s="46" t="str">
        <f>APRIL!CI1</f>
        <v>S43</v>
      </c>
      <c r="CJ1" s="46"/>
      <c r="CK1" s="46" t="str">
        <f>APRIL!CK1</f>
        <v>S44</v>
      </c>
      <c r="CL1" s="46"/>
      <c r="CM1" s="46" t="str">
        <f>APRIL!CM1</f>
        <v>S45</v>
      </c>
      <c r="CN1" s="46"/>
      <c r="CO1" s="46" t="str">
        <f>APRIL!CO1</f>
        <v>S46</v>
      </c>
      <c r="CP1" s="46"/>
      <c r="CQ1" s="46" t="str">
        <f>APRIL!CQ1</f>
        <v>S47</v>
      </c>
      <c r="CR1" s="46"/>
      <c r="CS1" s="46" t="str">
        <f>APRIL!CS1</f>
        <v>S48</v>
      </c>
      <c r="CT1" s="46"/>
      <c r="CU1" s="46" t="str">
        <f>APRIL!CU1</f>
        <v>S49</v>
      </c>
      <c r="CV1" s="46"/>
      <c r="CW1" s="46" t="str">
        <f>APRIL!CW1</f>
        <v>S50</v>
      </c>
      <c r="CX1" s="46"/>
      <c r="CY1" s="43" t="s">
        <v>1</v>
      </c>
      <c r="CZ1" s="43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</row>
    <row r="2" spans="1:122" ht="43.5">
      <c r="A2" s="44"/>
      <c r="B2" s="12" t="s">
        <v>2</v>
      </c>
      <c r="C2" s="7" t="s">
        <v>90</v>
      </c>
      <c r="D2" s="7" t="s">
        <v>91</v>
      </c>
      <c r="E2" s="7" t="s">
        <v>90</v>
      </c>
      <c r="F2" s="7" t="s">
        <v>91</v>
      </c>
      <c r="G2" s="7" t="s">
        <v>90</v>
      </c>
      <c r="H2" s="7" t="s">
        <v>91</v>
      </c>
      <c r="I2" s="7" t="s">
        <v>90</v>
      </c>
      <c r="J2" s="7" t="s">
        <v>91</v>
      </c>
      <c r="K2" s="7" t="s">
        <v>90</v>
      </c>
      <c r="L2" s="7" t="s">
        <v>91</v>
      </c>
      <c r="M2" s="7" t="s">
        <v>90</v>
      </c>
      <c r="N2" s="7" t="s">
        <v>91</v>
      </c>
      <c r="O2" s="7" t="s">
        <v>90</v>
      </c>
      <c r="P2" s="7" t="s">
        <v>91</v>
      </c>
      <c r="Q2" s="7" t="s">
        <v>90</v>
      </c>
      <c r="R2" s="7" t="s">
        <v>91</v>
      </c>
      <c r="S2" s="7" t="s">
        <v>90</v>
      </c>
      <c r="T2" s="7" t="s">
        <v>91</v>
      </c>
      <c r="U2" s="7" t="s">
        <v>90</v>
      </c>
      <c r="V2" s="7" t="s">
        <v>91</v>
      </c>
      <c r="W2" s="7" t="s">
        <v>90</v>
      </c>
      <c r="X2" s="7" t="s">
        <v>91</v>
      </c>
      <c r="Y2" s="7" t="s">
        <v>90</v>
      </c>
      <c r="Z2" s="7" t="s">
        <v>91</v>
      </c>
      <c r="AA2" s="7" t="s">
        <v>90</v>
      </c>
      <c r="AB2" s="7" t="s">
        <v>91</v>
      </c>
      <c r="AC2" s="7" t="s">
        <v>90</v>
      </c>
      <c r="AD2" s="7" t="s">
        <v>91</v>
      </c>
      <c r="AE2" s="7" t="s">
        <v>90</v>
      </c>
      <c r="AF2" s="7" t="s">
        <v>91</v>
      </c>
      <c r="AG2" s="7" t="s">
        <v>90</v>
      </c>
      <c r="AH2" s="7" t="s">
        <v>91</v>
      </c>
      <c r="AI2" s="7" t="s">
        <v>90</v>
      </c>
      <c r="AJ2" s="7" t="s">
        <v>91</v>
      </c>
      <c r="AK2" s="7" t="s">
        <v>90</v>
      </c>
      <c r="AL2" s="7" t="s">
        <v>91</v>
      </c>
      <c r="AM2" s="7" t="s">
        <v>90</v>
      </c>
      <c r="AN2" s="7" t="s">
        <v>91</v>
      </c>
      <c r="AO2" s="7" t="s">
        <v>90</v>
      </c>
      <c r="AP2" s="7" t="s">
        <v>91</v>
      </c>
      <c r="AQ2" s="7" t="s">
        <v>90</v>
      </c>
      <c r="AR2" s="7" t="s">
        <v>91</v>
      </c>
      <c r="AS2" s="7" t="s">
        <v>90</v>
      </c>
      <c r="AT2" s="7" t="s">
        <v>91</v>
      </c>
      <c r="AU2" s="7" t="s">
        <v>90</v>
      </c>
      <c r="AV2" s="7" t="s">
        <v>91</v>
      </c>
      <c r="AW2" s="7" t="s">
        <v>90</v>
      </c>
      <c r="AX2" s="7" t="s">
        <v>91</v>
      </c>
      <c r="AY2" s="7" t="s">
        <v>90</v>
      </c>
      <c r="AZ2" s="7" t="s">
        <v>91</v>
      </c>
      <c r="BA2" s="7" t="s">
        <v>90</v>
      </c>
      <c r="BB2" s="7" t="s">
        <v>91</v>
      </c>
      <c r="BC2" s="7" t="s">
        <v>90</v>
      </c>
      <c r="BD2" s="7" t="s">
        <v>91</v>
      </c>
      <c r="BE2" s="7" t="s">
        <v>90</v>
      </c>
      <c r="BF2" s="7" t="s">
        <v>91</v>
      </c>
      <c r="BG2" s="7" t="s">
        <v>90</v>
      </c>
      <c r="BH2" s="7" t="s">
        <v>91</v>
      </c>
      <c r="BI2" s="7" t="s">
        <v>90</v>
      </c>
      <c r="BJ2" s="7" t="s">
        <v>91</v>
      </c>
      <c r="BK2" s="7" t="s">
        <v>90</v>
      </c>
      <c r="BL2" s="7" t="s">
        <v>91</v>
      </c>
      <c r="BM2" s="7" t="s">
        <v>90</v>
      </c>
      <c r="BN2" s="7" t="s">
        <v>91</v>
      </c>
      <c r="BO2" s="7" t="s">
        <v>90</v>
      </c>
      <c r="BP2" s="7" t="s">
        <v>91</v>
      </c>
      <c r="BQ2" s="7" t="s">
        <v>90</v>
      </c>
      <c r="BR2" s="7" t="s">
        <v>91</v>
      </c>
      <c r="BS2" s="7" t="s">
        <v>90</v>
      </c>
      <c r="BT2" s="7" t="s">
        <v>91</v>
      </c>
      <c r="BU2" s="7" t="s">
        <v>90</v>
      </c>
      <c r="BV2" s="7" t="s">
        <v>91</v>
      </c>
      <c r="BW2" s="7" t="s">
        <v>90</v>
      </c>
      <c r="BX2" s="7" t="s">
        <v>91</v>
      </c>
      <c r="BY2" s="7" t="s">
        <v>90</v>
      </c>
      <c r="BZ2" s="7" t="s">
        <v>91</v>
      </c>
      <c r="CA2" s="7" t="s">
        <v>90</v>
      </c>
      <c r="CB2" s="7" t="s">
        <v>91</v>
      </c>
      <c r="CC2" s="7" t="s">
        <v>90</v>
      </c>
      <c r="CD2" s="7" t="s">
        <v>91</v>
      </c>
      <c r="CE2" s="7" t="s">
        <v>90</v>
      </c>
      <c r="CF2" s="7" t="s">
        <v>91</v>
      </c>
      <c r="CG2" s="7" t="s">
        <v>90</v>
      </c>
      <c r="CH2" s="7" t="s">
        <v>91</v>
      </c>
      <c r="CI2" s="7" t="s">
        <v>90</v>
      </c>
      <c r="CJ2" s="7" t="s">
        <v>91</v>
      </c>
      <c r="CK2" s="7" t="s">
        <v>90</v>
      </c>
      <c r="CL2" s="7" t="s">
        <v>91</v>
      </c>
      <c r="CM2" s="7" t="s">
        <v>90</v>
      </c>
      <c r="CN2" s="7" t="s">
        <v>91</v>
      </c>
      <c r="CO2" s="7" t="s">
        <v>90</v>
      </c>
      <c r="CP2" s="7" t="s">
        <v>91</v>
      </c>
      <c r="CQ2" s="7" t="s">
        <v>90</v>
      </c>
      <c r="CR2" s="7" t="s">
        <v>91</v>
      </c>
      <c r="CS2" s="7" t="s">
        <v>90</v>
      </c>
      <c r="CT2" s="7" t="s">
        <v>91</v>
      </c>
      <c r="CU2" s="7" t="s">
        <v>90</v>
      </c>
      <c r="CV2" s="7" t="s">
        <v>91</v>
      </c>
      <c r="CW2" s="7" t="s">
        <v>90</v>
      </c>
      <c r="CX2" s="7" t="s">
        <v>91</v>
      </c>
      <c r="CY2" s="7" t="s">
        <v>90</v>
      </c>
      <c r="CZ2" s="7" t="s">
        <v>91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</row>
    <row r="3" spans="1:122" ht="18" customHeight="1">
      <c r="A3" s="13" t="s">
        <v>3</v>
      </c>
      <c r="B3" s="14">
        <f>IFERROR(VLOOKUP(A3,PRICELIST!$A$3:$D$138,4,0),"-")</f>
        <v>167.79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9">
        <f>C3+E3+G3+I3+K3+M3+O3+Q3+S3+U3+W3+Y3+AA3+AC3+AE3+AG3+AI3+AK3+AM3+AO3+AQ3+AS3+AU3+AW3+AY3+BA3+BC3+BE3+BG3+BI3+BK3+BM3+BO3+BQ3+BS3+BU3+BW3+BY3+CA3+CC3+CE3+CG3+CI3+CK3+CM3+CO3+CQ3+CS3+CU3+CW3</f>
        <v>0</v>
      </c>
      <c r="CZ3" s="19">
        <f>D3+F3+H3+J3+L3+N3+P3+R3+T3+V3+X3+Z3+AB3+AD3+AF3+AH3+AJ3+AL3+AN3+AP3+AR3+AT3+AV3+AX3+AZ3+BB3+BD3+BF3+BH3+BJ3+BL3+BN3+BP3+BR3+BT3+BV3+BX3+BZ3+CB3+CD3+CF3+CH3+CJ3+CL3+CN3+CP3+CR3+CT3+CV3+CX3</f>
        <v>0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</row>
    <row r="4" spans="1:122" ht="18" customHeight="1">
      <c r="A4" s="13" t="s">
        <v>4</v>
      </c>
      <c r="B4" s="14">
        <f>IFERROR(VLOOKUP(A4,PRICELIST!$A$3:$D$138,4,0),"-")</f>
        <v>112.5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9">
        <f t="shared" ref="CY4:CZ9" si="0">C4+E4+G4+I4+K4+M4+O4+Q4+S4+U4+W4+Y4+AA4+AC4+AE4+AG4+AI4+AK4+AM4+AO4+AQ4+AS4+AU4+AW4+AY4+BA4+BC4+BE4+BG4+BI4+BK4+BM4+BO4+BQ4+BS4+BU4+BW4+BY4+CA4+CC4+CE4+CG4+CI4+CK4+CM4+CO4+CQ4+CS4+CU4+CW4</f>
        <v>0</v>
      </c>
      <c r="CZ4" s="19">
        <f t="shared" si="0"/>
        <v>0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</row>
    <row r="5" spans="1:122" ht="18" customHeight="1">
      <c r="A5" s="13" t="s">
        <v>5</v>
      </c>
      <c r="B5" s="14">
        <f>IFERROR(VLOOKUP(A5,PRICELIST!$A$3:$D$138,4,0),"-")</f>
        <v>127.87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9">
        <f t="shared" si="0"/>
        <v>0</v>
      </c>
      <c r="CZ5" s="19">
        <f t="shared" si="0"/>
        <v>0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</row>
    <row r="6" spans="1:122" ht="18" customHeight="1">
      <c r="A6" s="13" t="s">
        <v>6</v>
      </c>
      <c r="B6" s="14">
        <f>IFERROR(VLOOKUP(A6,PRICELIST!$A$3:$D$138,4,0),"-")</f>
        <v>88.7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9">
        <f t="shared" si="0"/>
        <v>0</v>
      </c>
      <c r="CZ6" s="19">
        <f t="shared" si="0"/>
        <v>0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</row>
    <row r="7" spans="1:122" ht="18" customHeight="1">
      <c r="A7" s="13" t="s">
        <v>78</v>
      </c>
      <c r="B7" s="14">
        <f>IFERROR(VLOOKUP(A7,PRICELIST!$A$3:$D$138,4,0),"-")</f>
        <v>171.64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9">
        <f t="shared" si="0"/>
        <v>0</v>
      </c>
      <c r="CZ7" s="19">
        <f t="shared" si="0"/>
        <v>0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</row>
    <row r="8" spans="1:122" ht="18" customHeight="1">
      <c r="A8" s="13" t="s">
        <v>7</v>
      </c>
      <c r="B8" s="14">
        <f>IFERROR(VLOOKUP(A8,PRICELIST!$A$3:$D$138,4,0),"-")</f>
        <v>216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9">
        <f t="shared" si="0"/>
        <v>0</v>
      </c>
      <c r="CZ8" s="19">
        <f t="shared" si="0"/>
        <v>0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</row>
    <row r="9" spans="1:122" ht="18" customHeight="1">
      <c r="A9" s="13" t="s">
        <v>8</v>
      </c>
      <c r="B9" s="14">
        <f>IFERROR(VLOOKUP(A9,PRICELIST!$A$3:$D$138,4,0),"-")</f>
        <v>163.93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9">
        <f t="shared" si="0"/>
        <v>0</v>
      </c>
      <c r="CZ9" s="19">
        <f t="shared" si="0"/>
        <v>0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</row>
    <row r="10" spans="1:122" ht="18" customHeight="1">
      <c r="A10" s="9" t="s">
        <v>9</v>
      </c>
      <c r="B10" s="10"/>
      <c r="C10" s="11">
        <f>SUMPRODUCT($B3:$B9,C3:C9)</f>
        <v>0</v>
      </c>
      <c r="D10" s="11">
        <f t="shared" ref="D10:BO10" si="1">SUMPRODUCT($B3:$B9,D3:D9)</f>
        <v>0</v>
      </c>
      <c r="E10" s="11">
        <f t="shared" si="1"/>
        <v>0</v>
      </c>
      <c r="F10" s="11">
        <f t="shared" si="1"/>
        <v>0</v>
      </c>
      <c r="G10" s="11">
        <f t="shared" si="1"/>
        <v>0</v>
      </c>
      <c r="H10" s="11">
        <f t="shared" si="1"/>
        <v>0</v>
      </c>
      <c r="I10" s="11">
        <f t="shared" si="1"/>
        <v>0</v>
      </c>
      <c r="J10" s="11">
        <f t="shared" si="1"/>
        <v>0</v>
      </c>
      <c r="K10" s="11">
        <f t="shared" si="1"/>
        <v>0</v>
      </c>
      <c r="L10" s="11">
        <f t="shared" si="1"/>
        <v>0</v>
      </c>
      <c r="M10" s="11">
        <f t="shared" si="1"/>
        <v>0</v>
      </c>
      <c r="N10" s="11">
        <f t="shared" si="1"/>
        <v>0</v>
      </c>
      <c r="O10" s="11">
        <f t="shared" si="1"/>
        <v>0</v>
      </c>
      <c r="P10" s="11">
        <f t="shared" si="1"/>
        <v>0</v>
      </c>
      <c r="Q10" s="11">
        <f t="shared" si="1"/>
        <v>0</v>
      </c>
      <c r="R10" s="11">
        <f t="shared" si="1"/>
        <v>0</v>
      </c>
      <c r="S10" s="11">
        <f t="shared" si="1"/>
        <v>0</v>
      </c>
      <c r="T10" s="11">
        <f t="shared" si="1"/>
        <v>0</v>
      </c>
      <c r="U10" s="11">
        <f t="shared" si="1"/>
        <v>0</v>
      </c>
      <c r="V10" s="11">
        <f t="shared" si="1"/>
        <v>0</v>
      </c>
      <c r="W10" s="11">
        <f t="shared" si="1"/>
        <v>0</v>
      </c>
      <c r="X10" s="11">
        <f t="shared" si="1"/>
        <v>0</v>
      </c>
      <c r="Y10" s="11">
        <f t="shared" si="1"/>
        <v>0</v>
      </c>
      <c r="Z10" s="11">
        <f t="shared" si="1"/>
        <v>0</v>
      </c>
      <c r="AA10" s="11">
        <f t="shared" si="1"/>
        <v>0</v>
      </c>
      <c r="AB10" s="11">
        <f t="shared" si="1"/>
        <v>0</v>
      </c>
      <c r="AC10" s="11">
        <f t="shared" si="1"/>
        <v>0</v>
      </c>
      <c r="AD10" s="11">
        <f t="shared" si="1"/>
        <v>0</v>
      </c>
      <c r="AE10" s="11">
        <f t="shared" si="1"/>
        <v>0</v>
      </c>
      <c r="AF10" s="11">
        <f t="shared" si="1"/>
        <v>0</v>
      </c>
      <c r="AG10" s="11">
        <f t="shared" si="1"/>
        <v>0</v>
      </c>
      <c r="AH10" s="11">
        <f t="shared" si="1"/>
        <v>0</v>
      </c>
      <c r="AI10" s="11">
        <f t="shared" si="1"/>
        <v>0</v>
      </c>
      <c r="AJ10" s="11">
        <f t="shared" si="1"/>
        <v>0</v>
      </c>
      <c r="AK10" s="11">
        <f t="shared" si="1"/>
        <v>0</v>
      </c>
      <c r="AL10" s="11">
        <f t="shared" si="1"/>
        <v>0</v>
      </c>
      <c r="AM10" s="11">
        <f t="shared" si="1"/>
        <v>0</v>
      </c>
      <c r="AN10" s="11">
        <f t="shared" si="1"/>
        <v>0</v>
      </c>
      <c r="AO10" s="11">
        <f t="shared" si="1"/>
        <v>0</v>
      </c>
      <c r="AP10" s="11">
        <f t="shared" si="1"/>
        <v>0</v>
      </c>
      <c r="AQ10" s="11">
        <f t="shared" si="1"/>
        <v>0</v>
      </c>
      <c r="AR10" s="11">
        <f t="shared" si="1"/>
        <v>0</v>
      </c>
      <c r="AS10" s="11">
        <f t="shared" si="1"/>
        <v>0</v>
      </c>
      <c r="AT10" s="11">
        <f t="shared" si="1"/>
        <v>0</v>
      </c>
      <c r="AU10" s="11">
        <f t="shared" si="1"/>
        <v>0</v>
      </c>
      <c r="AV10" s="11">
        <f t="shared" si="1"/>
        <v>0</v>
      </c>
      <c r="AW10" s="11">
        <f t="shared" si="1"/>
        <v>0</v>
      </c>
      <c r="AX10" s="11">
        <f t="shared" si="1"/>
        <v>0</v>
      </c>
      <c r="AY10" s="11">
        <f t="shared" si="1"/>
        <v>0</v>
      </c>
      <c r="AZ10" s="11">
        <f t="shared" si="1"/>
        <v>0</v>
      </c>
      <c r="BA10" s="11">
        <f t="shared" si="1"/>
        <v>0</v>
      </c>
      <c r="BB10" s="11">
        <f t="shared" si="1"/>
        <v>0</v>
      </c>
      <c r="BC10" s="11">
        <f t="shared" si="1"/>
        <v>0</v>
      </c>
      <c r="BD10" s="11">
        <f t="shared" si="1"/>
        <v>0</v>
      </c>
      <c r="BE10" s="11">
        <f t="shared" si="1"/>
        <v>0</v>
      </c>
      <c r="BF10" s="11">
        <f t="shared" si="1"/>
        <v>0</v>
      </c>
      <c r="BG10" s="11">
        <f t="shared" si="1"/>
        <v>0</v>
      </c>
      <c r="BH10" s="11">
        <f t="shared" si="1"/>
        <v>0</v>
      </c>
      <c r="BI10" s="11">
        <f t="shared" si="1"/>
        <v>0</v>
      </c>
      <c r="BJ10" s="11">
        <f t="shared" si="1"/>
        <v>0</v>
      </c>
      <c r="BK10" s="11">
        <f t="shared" si="1"/>
        <v>0</v>
      </c>
      <c r="BL10" s="11">
        <f t="shared" si="1"/>
        <v>0</v>
      </c>
      <c r="BM10" s="11">
        <f t="shared" si="1"/>
        <v>0</v>
      </c>
      <c r="BN10" s="11">
        <f t="shared" si="1"/>
        <v>0</v>
      </c>
      <c r="BO10" s="11">
        <f t="shared" si="1"/>
        <v>0</v>
      </c>
      <c r="BP10" s="11">
        <f t="shared" ref="BP10:CZ10" si="2">SUMPRODUCT($B3:$B9,BP3:BP9)</f>
        <v>0</v>
      </c>
      <c r="BQ10" s="11">
        <f t="shared" si="2"/>
        <v>0</v>
      </c>
      <c r="BR10" s="11">
        <f t="shared" si="2"/>
        <v>0</v>
      </c>
      <c r="BS10" s="11">
        <f t="shared" si="2"/>
        <v>0</v>
      </c>
      <c r="BT10" s="11">
        <f t="shared" si="2"/>
        <v>0</v>
      </c>
      <c r="BU10" s="11">
        <f t="shared" si="2"/>
        <v>0</v>
      </c>
      <c r="BV10" s="11">
        <f t="shared" si="2"/>
        <v>0</v>
      </c>
      <c r="BW10" s="11">
        <f t="shared" si="2"/>
        <v>0</v>
      </c>
      <c r="BX10" s="11">
        <f t="shared" si="2"/>
        <v>0</v>
      </c>
      <c r="BY10" s="11">
        <f t="shared" si="2"/>
        <v>0</v>
      </c>
      <c r="BZ10" s="11">
        <f t="shared" si="2"/>
        <v>0</v>
      </c>
      <c r="CA10" s="11">
        <f t="shared" si="2"/>
        <v>0</v>
      </c>
      <c r="CB10" s="11">
        <f t="shared" si="2"/>
        <v>0</v>
      </c>
      <c r="CC10" s="11">
        <f t="shared" si="2"/>
        <v>0</v>
      </c>
      <c r="CD10" s="11">
        <f t="shared" si="2"/>
        <v>0</v>
      </c>
      <c r="CE10" s="11">
        <f t="shared" si="2"/>
        <v>0</v>
      </c>
      <c r="CF10" s="11">
        <f t="shared" si="2"/>
        <v>0</v>
      </c>
      <c r="CG10" s="11">
        <f t="shared" si="2"/>
        <v>0</v>
      </c>
      <c r="CH10" s="11">
        <f t="shared" si="2"/>
        <v>0</v>
      </c>
      <c r="CI10" s="11">
        <f t="shared" si="2"/>
        <v>0</v>
      </c>
      <c r="CJ10" s="11">
        <f t="shared" si="2"/>
        <v>0</v>
      </c>
      <c r="CK10" s="11">
        <f t="shared" si="2"/>
        <v>0</v>
      </c>
      <c r="CL10" s="11">
        <f t="shared" si="2"/>
        <v>0</v>
      </c>
      <c r="CM10" s="11">
        <f t="shared" si="2"/>
        <v>0</v>
      </c>
      <c r="CN10" s="11">
        <f t="shared" si="2"/>
        <v>0</v>
      </c>
      <c r="CO10" s="11">
        <f t="shared" si="2"/>
        <v>0</v>
      </c>
      <c r="CP10" s="11">
        <f t="shared" si="2"/>
        <v>0</v>
      </c>
      <c r="CQ10" s="11">
        <f t="shared" si="2"/>
        <v>0</v>
      </c>
      <c r="CR10" s="11">
        <f t="shared" si="2"/>
        <v>0</v>
      </c>
      <c r="CS10" s="11">
        <f t="shared" si="2"/>
        <v>0</v>
      </c>
      <c r="CT10" s="11">
        <f t="shared" si="2"/>
        <v>0</v>
      </c>
      <c r="CU10" s="11">
        <f t="shared" si="2"/>
        <v>0</v>
      </c>
      <c r="CV10" s="11">
        <f t="shared" si="2"/>
        <v>0</v>
      </c>
      <c r="CW10" s="11">
        <f t="shared" si="2"/>
        <v>0</v>
      </c>
      <c r="CX10" s="11">
        <f t="shared" si="2"/>
        <v>0</v>
      </c>
      <c r="CY10" s="11">
        <f t="shared" si="2"/>
        <v>0</v>
      </c>
      <c r="CZ10" s="11">
        <f t="shared" si="2"/>
        <v>0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</row>
    <row r="11" spans="1:122" ht="18" customHeight="1">
      <c r="A11" s="4" t="s">
        <v>127</v>
      </c>
      <c r="B11" s="14">
        <f>IFERROR(VLOOKUP(A11,PRICELIST!$A$3:$D$138,4,0),"-")</f>
        <v>432.21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9">
        <f t="shared" ref="CY11:CZ19" si="3">C11+E11+G11+I11+K11+M11+O11+Q11+S11+U11+W11+Y11+AA11+AC11+AE11+AG11+AI11+AK11+AM11+AO11+AQ11+AS11+AU11+AW11+AY11+BA11+BC11+BE11+BG11+BI11+BK11+BM11+BO11+BQ11+BS11+BU11+BW11+BY11+CA11+CC11+CE11+CG11+CI11+CK11+CM11+CO11+CQ11+CS11+CU11+CW11</f>
        <v>0</v>
      </c>
      <c r="CZ11" s="19">
        <f t="shared" si="3"/>
        <v>0</v>
      </c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</row>
    <row r="12" spans="1:122" ht="18" customHeight="1">
      <c r="A12" s="4" t="s">
        <v>128</v>
      </c>
      <c r="B12" s="14">
        <f>IFERROR(VLOOKUP(A12,PRICELIST!$A$3:$D$138,4,0),"-")</f>
        <v>107.11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9">
        <f t="shared" si="3"/>
        <v>0</v>
      </c>
      <c r="CZ12" s="19">
        <f t="shared" si="3"/>
        <v>0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</row>
    <row r="13" spans="1:122" ht="18" customHeight="1">
      <c r="A13" s="4" t="s">
        <v>129</v>
      </c>
      <c r="B13" s="14">
        <f>IFERROR(VLOOKUP(A13,PRICELIST!$A$3:$D$138,4,0),"-")</f>
        <v>205.07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9">
        <f t="shared" si="3"/>
        <v>0</v>
      </c>
      <c r="CZ13" s="19">
        <f t="shared" si="3"/>
        <v>0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</row>
    <row r="14" spans="1:122" ht="18" customHeight="1">
      <c r="A14" s="4" t="s">
        <v>130</v>
      </c>
      <c r="B14" s="14">
        <f>IFERROR(VLOOKUP(A14,PRICELIST!$A$3:$D$138,4,0),"-")</f>
        <v>322.70999999999998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9">
        <f t="shared" si="3"/>
        <v>0</v>
      </c>
      <c r="CZ14" s="19">
        <f t="shared" si="3"/>
        <v>0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</row>
    <row r="15" spans="1:122" ht="18" customHeight="1">
      <c r="A15" s="4" t="s">
        <v>118</v>
      </c>
      <c r="B15" s="14">
        <f>IFERROR(VLOOKUP(A15,PRICELIST!$A$3:$D$138,4,0),"-")</f>
        <v>272.23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9">
        <f t="shared" si="3"/>
        <v>0</v>
      </c>
      <c r="CZ15" s="19">
        <f t="shared" si="3"/>
        <v>0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</row>
    <row r="16" spans="1:122" ht="18" customHeight="1">
      <c r="A16" s="4" t="s">
        <v>119</v>
      </c>
      <c r="B16" s="14">
        <f>IFERROR(VLOOKUP(A16,PRICELIST!$A$3:$D$138,4,0),"-")</f>
        <v>352.76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9">
        <f t="shared" si="3"/>
        <v>0</v>
      </c>
      <c r="CZ16" s="19">
        <f t="shared" si="3"/>
        <v>0</v>
      </c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</row>
    <row r="17" spans="1:122" ht="18" customHeight="1">
      <c r="A17" s="4" t="s">
        <v>120</v>
      </c>
      <c r="B17" s="14">
        <f>IFERROR(VLOOKUP(A17,PRICELIST!$A$3:$D$138,4,0),"-")</f>
        <v>137.57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9">
        <f t="shared" si="3"/>
        <v>0</v>
      </c>
      <c r="CZ17" s="19">
        <f t="shared" si="3"/>
        <v>0</v>
      </c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</row>
    <row r="18" spans="1:122" ht="18" customHeight="1">
      <c r="A18" s="32" t="s">
        <v>124</v>
      </c>
      <c r="B18" s="14">
        <f>IFERROR(VLOOKUP(A18,PRICELIST!$A$3:$D$138,4,0),"-")</f>
        <v>647.36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9">
        <f t="shared" si="3"/>
        <v>0</v>
      </c>
      <c r="CZ18" s="19">
        <f t="shared" si="3"/>
        <v>0</v>
      </c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</row>
    <row r="19" spans="1:122" ht="18" customHeight="1">
      <c r="A19" s="4" t="s">
        <v>79</v>
      </c>
      <c r="B19" s="14">
        <f>IFERROR(VLOOKUP(A19,PRICELIST!$A$3:$D$138,4,0),"-")</f>
        <v>110.25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9">
        <f t="shared" si="3"/>
        <v>0</v>
      </c>
      <c r="CZ19" s="19">
        <f t="shared" si="3"/>
        <v>0</v>
      </c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</row>
    <row r="20" spans="1:122" ht="18" customHeight="1">
      <c r="A20" s="33" t="s">
        <v>125</v>
      </c>
      <c r="B20" s="15"/>
      <c r="C20" s="11">
        <f t="shared" ref="C20:BN20" si="4">SUMPRODUCT($B11:$B19,C11:C19)</f>
        <v>0</v>
      </c>
      <c r="D20" s="11">
        <f t="shared" si="4"/>
        <v>0</v>
      </c>
      <c r="E20" s="11">
        <f t="shared" si="4"/>
        <v>0</v>
      </c>
      <c r="F20" s="11">
        <f t="shared" si="4"/>
        <v>0</v>
      </c>
      <c r="G20" s="11">
        <f t="shared" si="4"/>
        <v>0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0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0</v>
      </c>
      <c r="X20" s="11">
        <f t="shared" si="4"/>
        <v>0</v>
      </c>
      <c r="Y20" s="11">
        <f t="shared" si="4"/>
        <v>0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  <c r="AI20" s="11">
        <f t="shared" si="4"/>
        <v>0</v>
      </c>
      <c r="AJ20" s="11">
        <f t="shared" si="4"/>
        <v>0</v>
      </c>
      <c r="AK20" s="11">
        <f t="shared" si="4"/>
        <v>0</v>
      </c>
      <c r="AL20" s="11">
        <f t="shared" si="4"/>
        <v>0</v>
      </c>
      <c r="AM20" s="11">
        <f t="shared" si="4"/>
        <v>0</v>
      </c>
      <c r="AN20" s="11">
        <f t="shared" si="4"/>
        <v>0</v>
      </c>
      <c r="AO20" s="11">
        <f t="shared" si="4"/>
        <v>0</v>
      </c>
      <c r="AP20" s="11">
        <f t="shared" si="4"/>
        <v>0</v>
      </c>
      <c r="AQ20" s="11">
        <f t="shared" si="4"/>
        <v>0</v>
      </c>
      <c r="AR20" s="11">
        <f t="shared" si="4"/>
        <v>0</v>
      </c>
      <c r="AS20" s="11">
        <f t="shared" si="4"/>
        <v>0</v>
      </c>
      <c r="AT20" s="11">
        <f t="shared" si="4"/>
        <v>0</v>
      </c>
      <c r="AU20" s="11">
        <f t="shared" si="4"/>
        <v>0</v>
      </c>
      <c r="AV20" s="11">
        <f t="shared" si="4"/>
        <v>0</v>
      </c>
      <c r="AW20" s="11">
        <f t="shared" si="4"/>
        <v>0</v>
      </c>
      <c r="AX20" s="11">
        <f t="shared" si="4"/>
        <v>0</v>
      </c>
      <c r="AY20" s="11">
        <f t="shared" si="4"/>
        <v>0</v>
      </c>
      <c r="AZ20" s="11">
        <f t="shared" si="4"/>
        <v>0</v>
      </c>
      <c r="BA20" s="11">
        <f t="shared" si="4"/>
        <v>0</v>
      </c>
      <c r="BB20" s="11">
        <f t="shared" si="4"/>
        <v>0</v>
      </c>
      <c r="BC20" s="11">
        <f t="shared" si="4"/>
        <v>0</v>
      </c>
      <c r="BD20" s="11">
        <f t="shared" si="4"/>
        <v>0</v>
      </c>
      <c r="BE20" s="11">
        <f t="shared" si="4"/>
        <v>0</v>
      </c>
      <c r="BF20" s="11">
        <f t="shared" si="4"/>
        <v>0</v>
      </c>
      <c r="BG20" s="11">
        <f t="shared" si="4"/>
        <v>0</v>
      </c>
      <c r="BH20" s="11">
        <f t="shared" si="4"/>
        <v>0</v>
      </c>
      <c r="BI20" s="11">
        <f t="shared" si="4"/>
        <v>0</v>
      </c>
      <c r="BJ20" s="11">
        <f t="shared" si="4"/>
        <v>0</v>
      </c>
      <c r="BK20" s="11">
        <f t="shared" si="4"/>
        <v>0</v>
      </c>
      <c r="BL20" s="11">
        <f t="shared" si="4"/>
        <v>0</v>
      </c>
      <c r="BM20" s="11">
        <f t="shared" si="4"/>
        <v>0</v>
      </c>
      <c r="BN20" s="11">
        <f t="shared" si="4"/>
        <v>0</v>
      </c>
      <c r="BO20" s="11">
        <f t="shared" ref="BO20:CZ20" si="5">SUMPRODUCT($B11:$B19,BO11:BO19)</f>
        <v>0</v>
      </c>
      <c r="BP20" s="11">
        <f t="shared" si="5"/>
        <v>0</v>
      </c>
      <c r="BQ20" s="11">
        <f t="shared" si="5"/>
        <v>0</v>
      </c>
      <c r="BR20" s="11">
        <f t="shared" si="5"/>
        <v>0</v>
      </c>
      <c r="BS20" s="11">
        <f t="shared" si="5"/>
        <v>0</v>
      </c>
      <c r="BT20" s="11">
        <f t="shared" si="5"/>
        <v>0</v>
      </c>
      <c r="BU20" s="11">
        <f t="shared" si="5"/>
        <v>0</v>
      </c>
      <c r="BV20" s="11">
        <f t="shared" si="5"/>
        <v>0</v>
      </c>
      <c r="BW20" s="11">
        <f t="shared" si="5"/>
        <v>0</v>
      </c>
      <c r="BX20" s="11">
        <f t="shared" si="5"/>
        <v>0</v>
      </c>
      <c r="BY20" s="11">
        <f t="shared" si="5"/>
        <v>0</v>
      </c>
      <c r="BZ20" s="11">
        <f t="shared" si="5"/>
        <v>0</v>
      </c>
      <c r="CA20" s="11">
        <f t="shared" si="5"/>
        <v>0</v>
      </c>
      <c r="CB20" s="11">
        <f t="shared" si="5"/>
        <v>0</v>
      </c>
      <c r="CC20" s="11">
        <f t="shared" si="5"/>
        <v>0</v>
      </c>
      <c r="CD20" s="11">
        <f t="shared" si="5"/>
        <v>0</v>
      </c>
      <c r="CE20" s="11">
        <f t="shared" si="5"/>
        <v>0</v>
      </c>
      <c r="CF20" s="11">
        <f t="shared" si="5"/>
        <v>0</v>
      </c>
      <c r="CG20" s="11">
        <f t="shared" si="5"/>
        <v>0</v>
      </c>
      <c r="CH20" s="11">
        <f t="shared" si="5"/>
        <v>0</v>
      </c>
      <c r="CI20" s="11">
        <f t="shared" si="5"/>
        <v>0</v>
      </c>
      <c r="CJ20" s="11">
        <f t="shared" si="5"/>
        <v>0</v>
      </c>
      <c r="CK20" s="11">
        <f t="shared" si="5"/>
        <v>0</v>
      </c>
      <c r="CL20" s="11">
        <f t="shared" si="5"/>
        <v>0</v>
      </c>
      <c r="CM20" s="11">
        <f t="shared" si="5"/>
        <v>0</v>
      </c>
      <c r="CN20" s="11">
        <f t="shared" si="5"/>
        <v>0</v>
      </c>
      <c r="CO20" s="11">
        <f t="shared" si="5"/>
        <v>0</v>
      </c>
      <c r="CP20" s="11">
        <f t="shared" si="5"/>
        <v>0</v>
      </c>
      <c r="CQ20" s="11">
        <f t="shared" si="5"/>
        <v>0</v>
      </c>
      <c r="CR20" s="11">
        <f t="shared" si="5"/>
        <v>0</v>
      </c>
      <c r="CS20" s="11">
        <f t="shared" si="5"/>
        <v>0</v>
      </c>
      <c r="CT20" s="11">
        <f t="shared" si="5"/>
        <v>0</v>
      </c>
      <c r="CU20" s="11">
        <f t="shared" si="5"/>
        <v>0</v>
      </c>
      <c r="CV20" s="11">
        <f t="shared" si="5"/>
        <v>0</v>
      </c>
      <c r="CW20" s="11">
        <f t="shared" si="5"/>
        <v>0</v>
      </c>
      <c r="CX20" s="11">
        <f t="shared" si="5"/>
        <v>0</v>
      </c>
      <c r="CY20" s="11">
        <f t="shared" si="5"/>
        <v>0</v>
      </c>
      <c r="CZ20" s="11">
        <f t="shared" si="5"/>
        <v>0</v>
      </c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</row>
    <row r="21" spans="1:122" ht="18" customHeight="1">
      <c r="A21" s="13" t="s">
        <v>80</v>
      </c>
      <c r="B21" s="14">
        <f>IFERROR(VLOOKUP(A21,PRICELIST!$A$3:$D$138,4,0),"-")</f>
        <v>128.88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9">
        <f t="shared" ref="CY21:CZ23" si="6">C21+E21+G21+I21+K21+M21+O21+Q21+S21+U21+W21+Y21+AA21+AC21+AE21+AG21+AI21+AK21+AM21+AO21+AQ21+AS21+AU21+AW21+AY21+BA21+BC21+BE21+BG21+BI21+BK21+BM21+BO21+BQ21+BS21+BU21+BW21+BY21+CA21+CC21+CE21+CG21+CI21+CK21+CM21+CO21+CQ21+CS21+CU21+CW21</f>
        <v>0</v>
      </c>
      <c r="CZ21" s="19">
        <f t="shared" si="6"/>
        <v>0</v>
      </c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</row>
    <row r="22" spans="1:122" ht="18" customHeight="1">
      <c r="A22" s="13" t="s">
        <v>10</v>
      </c>
      <c r="B22" s="14">
        <f>IFERROR(VLOOKUP(A22,PRICELIST!$A$3:$D$138,4,0),"-")</f>
        <v>120.53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9">
        <f t="shared" si="6"/>
        <v>0</v>
      </c>
      <c r="CZ22" s="19">
        <f t="shared" si="6"/>
        <v>0</v>
      </c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</row>
    <row r="23" spans="1:122" ht="18" customHeight="1">
      <c r="A23" s="13" t="s">
        <v>11</v>
      </c>
      <c r="B23" s="14">
        <f>IFERROR(VLOOKUP(A23,PRICELIST!$A$3:$D$138,4,0),"-")</f>
        <v>144.29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9">
        <f t="shared" si="6"/>
        <v>0</v>
      </c>
      <c r="CZ23" s="19">
        <f t="shared" si="6"/>
        <v>0</v>
      </c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</row>
    <row r="24" spans="1:122" ht="18" customHeight="1">
      <c r="A24" s="9" t="s">
        <v>12</v>
      </c>
      <c r="B24" s="10"/>
      <c r="C24" s="11">
        <f>SUMPRODUCT($B21:$B23,C21:C23)</f>
        <v>0</v>
      </c>
      <c r="D24" s="11">
        <f t="shared" ref="D24:BO24" si="7">SUMPRODUCT($B21:$B23,D21:D23)</f>
        <v>0</v>
      </c>
      <c r="E24" s="11">
        <f t="shared" si="7"/>
        <v>0</v>
      </c>
      <c r="F24" s="11">
        <f t="shared" si="7"/>
        <v>0</v>
      </c>
      <c r="G24" s="11">
        <f t="shared" si="7"/>
        <v>0</v>
      </c>
      <c r="H24" s="11">
        <f t="shared" si="7"/>
        <v>0</v>
      </c>
      <c r="I24" s="11">
        <f t="shared" si="7"/>
        <v>0</v>
      </c>
      <c r="J24" s="11">
        <f t="shared" si="7"/>
        <v>0</v>
      </c>
      <c r="K24" s="11">
        <f t="shared" si="7"/>
        <v>0</v>
      </c>
      <c r="L24" s="11">
        <f t="shared" si="7"/>
        <v>0</v>
      </c>
      <c r="M24" s="11">
        <f t="shared" si="7"/>
        <v>0</v>
      </c>
      <c r="N24" s="11">
        <f t="shared" si="7"/>
        <v>0</v>
      </c>
      <c r="O24" s="11">
        <f t="shared" si="7"/>
        <v>0</v>
      </c>
      <c r="P24" s="11">
        <f t="shared" si="7"/>
        <v>0</v>
      </c>
      <c r="Q24" s="11">
        <f t="shared" si="7"/>
        <v>0</v>
      </c>
      <c r="R24" s="11">
        <f t="shared" si="7"/>
        <v>0</v>
      </c>
      <c r="S24" s="11">
        <f t="shared" si="7"/>
        <v>0</v>
      </c>
      <c r="T24" s="11">
        <f t="shared" si="7"/>
        <v>0</v>
      </c>
      <c r="U24" s="11">
        <f t="shared" si="7"/>
        <v>0</v>
      </c>
      <c r="V24" s="11">
        <f t="shared" si="7"/>
        <v>0</v>
      </c>
      <c r="W24" s="11">
        <f t="shared" si="7"/>
        <v>0</v>
      </c>
      <c r="X24" s="11">
        <f t="shared" si="7"/>
        <v>0</v>
      </c>
      <c r="Y24" s="11">
        <f t="shared" si="7"/>
        <v>0</v>
      </c>
      <c r="Z24" s="11">
        <f t="shared" si="7"/>
        <v>0</v>
      </c>
      <c r="AA24" s="11">
        <f t="shared" si="7"/>
        <v>0</v>
      </c>
      <c r="AB24" s="11">
        <f t="shared" si="7"/>
        <v>0</v>
      </c>
      <c r="AC24" s="11">
        <f t="shared" si="7"/>
        <v>0</v>
      </c>
      <c r="AD24" s="11">
        <f t="shared" si="7"/>
        <v>0</v>
      </c>
      <c r="AE24" s="11">
        <f t="shared" si="7"/>
        <v>0</v>
      </c>
      <c r="AF24" s="11">
        <f t="shared" si="7"/>
        <v>0</v>
      </c>
      <c r="AG24" s="11">
        <f t="shared" si="7"/>
        <v>0</v>
      </c>
      <c r="AH24" s="11">
        <f t="shared" si="7"/>
        <v>0</v>
      </c>
      <c r="AI24" s="11">
        <f t="shared" si="7"/>
        <v>0</v>
      </c>
      <c r="AJ24" s="11">
        <f t="shared" si="7"/>
        <v>0</v>
      </c>
      <c r="AK24" s="11">
        <f t="shared" si="7"/>
        <v>0</v>
      </c>
      <c r="AL24" s="11">
        <f t="shared" si="7"/>
        <v>0</v>
      </c>
      <c r="AM24" s="11">
        <f t="shared" si="7"/>
        <v>0</v>
      </c>
      <c r="AN24" s="11">
        <f t="shared" si="7"/>
        <v>0</v>
      </c>
      <c r="AO24" s="11">
        <f t="shared" si="7"/>
        <v>0</v>
      </c>
      <c r="AP24" s="11">
        <f t="shared" si="7"/>
        <v>0</v>
      </c>
      <c r="AQ24" s="11">
        <f t="shared" si="7"/>
        <v>0</v>
      </c>
      <c r="AR24" s="11">
        <f t="shared" si="7"/>
        <v>0</v>
      </c>
      <c r="AS24" s="11">
        <f t="shared" si="7"/>
        <v>0</v>
      </c>
      <c r="AT24" s="11">
        <f t="shared" si="7"/>
        <v>0</v>
      </c>
      <c r="AU24" s="11">
        <f t="shared" si="7"/>
        <v>0</v>
      </c>
      <c r="AV24" s="11">
        <f t="shared" si="7"/>
        <v>0</v>
      </c>
      <c r="AW24" s="11">
        <f t="shared" si="7"/>
        <v>0</v>
      </c>
      <c r="AX24" s="11">
        <f t="shared" si="7"/>
        <v>0</v>
      </c>
      <c r="AY24" s="11">
        <f t="shared" si="7"/>
        <v>0</v>
      </c>
      <c r="AZ24" s="11">
        <f t="shared" si="7"/>
        <v>0</v>
      </c>
      <c r="BA24" s="11">
        <f t="shared" si="7"/>
        <v>0</v>
      </c>
      <c r="BB24" s="11">
        <f t="shared" si="7"/>
        <v>0</v>
      </c>
      <c r="BC24" s="11">
        <f t="shared" si="7"/>
        <v>0</v>
      </c>
      <c r="BD24" s="11">
        <f t="shared" si="7"/>
        <v>0</v>
      </c>
      <c r="BE24" s="11">
        <f t="shared" si="7"/>
        <v>0</v>
      </c>
      <c r="BF24" s="11">
        <f t="shared" si="7"/>
        <v>0</v>
      </c>
      <c r="BG24" s="11">
        <f t="shared" si="7"/>
        <v>0</v>
      </c>
      <c r="BH24" s="11">
        <f t="shared" si="7"/>
        <v>0</v>
      </c>
      <c r="BI24" s="11">
        <f t="shared" si="7"/>
        <v>0</v>
      </c>
      <c r="BJ24" s="11">
        <f t="shared" si="7"/>
        <v>0</v>
      </c>
      <c r="BK24" s="11">
        <f t="shared" si="7"/>
        <v>0</v>
      </c>
      <c r="BL24" s="11">
        <f t="shared" si="7"/>
        <v>0</v>
      </c>
      <c r="BM24" s="11">
        <f t="shared" si="7"/>
        <v>0</v>
      </c>
      <c r="BN24" s="11">
        <f t="shared" si="7"/>
        <v>0</v>
      </c>
      <c r="BO24" s="11">
        <f t="shared" si="7"/>
        <v>0</v>
      </c>
      <c r="BP24" s="11">
        <f t="shared" ref="BP24:CZ24" si="8">SUMPRODUCT($B21:$B23,BP21:BP23)</f>
        <v>0</v>
      </c>
      <c r="BQ24" s="11">
        <f t="shared" si="8"/>
        <v>0</v>
      </c>
      <c r="BR24" s="11">
        <f t="shared" si="8"/>
        <v>0</v>
      </c>
      <c r="BS24" s="11">
        <f t="shared" si="8"/>
        <v>0</v>
      </c>
      <c r="BT24" s="11">
        <f t="shared" si="8"/>
        <v>0</v>
      </c>
      <c r="BU24" s="11">
        <f t="shared" si="8"/>
        <v>0</v>
      </c>
      <c r="BV24" s="11">
        <f t="shared" si="8"/>
        <v>0</v>
      </c>
      <c r="BW24" s="11">
        <f t="shared" si="8"/>
        <v>0</v>
      </c>
      <c r="BX24" s="11">
        <f t="shared" si="8"/>
        <v>0</v>
      </c>
      <c r="BY24" s="11">
        <f t="shared" si="8"/>
        <v>0</v>
      </c>
      <c r="BZ24" s="11">
        <f t="shared" si="8"/>
        <v>0</v>
      </c>
      <c r="CA24" s="11">
        <f t="shared" si="8"/>
        <v>0</v>
      </c>
      <c r="CB24" s="11">
        <f t="shared" si="8"/>
        <v>0</v>
      </c>
      <c r="CC24" s="11">
        <f t="shared" si="8"/>
        <v>0</v>
      </c>
      <c r="CD24" s="11">
        <f t="shared" si="8"/>
        <v>0</v>
      </c>
      <c r="CE24" s="11">
        <f t="shared" si="8"/>
        <v>0</v>
      </c>
      <c r="CF24" s="11">
        <f t="shared" si="8"/>
        <v>0</v>
      </c>
      <c r="CG24" s="11">
        <f t="shared" si="8"/>
        <v>0</v>
      </c>
      <c r="CH24" s="11">
        <f t="shared" si="8"/>
        <v>0</v>
      </c>
      <c r="CI24" s="11">
        <f t="shared" si="8"/>
        <v>0</v>
      </c>
      <c r="CJ24" s="11">
        <f t="shared" si="8"/>
        <v>0</v>
      </c>
      <c r="CK24" s="11">
        <f t="shared" si="8"/>
        <v>0</v>
      </c>
      <c r="CL24" s="11">
        <f t="shared" si="8"/>
        <v>0</v>
      </c>
      <c r="CM24" s="11">
        <f t="shared" si="8"/>
        <v>0</v>
      </c>
      <c r="CN24" s="11">
        <f t="shared" si="8"/>
        <v>0</v>
      </c>
      <c r="CO24" s="11">
        <f t="shared" si="8"/>
        <v>0</v>
      </c>
      <c r="CP24" s="11">
        <f t="shared" si="8"/>
        <v>0</v>
      </c>
      <c r="CQ24" s="11">
        <f t="shared" si="8"/>
        <v>0</v>
      </c>
      <c r="CR24" s="11">
        <f t="shared" si="8"/>
        <v>0</v>
      </c>
      <c r="CS24" s="11">
        <f t="shared" si="8"/>
        <v>0</v>
      </c>
      <c r="CT24" s="11">
        <f t="shared" si="8"/>
        <v>0</v>
      </c>
      <c r="CU24" s="11">
        <f t="shared" si="8"/>
        <v>0</v>
      </c>
      <c r="CV24" s="11">
        <f t="shared" si="8"/>
        <v>0</v>
      </c>
      <c r="CW24" s="11">
        <f t="shared" si="8"/>
        <v>0</v>
      </c>
      <c r="CX24" s="11">
        <f t="shared" si="8"/>
        <v>0</v>
      </c>
      <c r="CY24" s="11">
        <f t="shared" si="8"/>
        <v>0</v>
      </c>
      <c r="CZ24" s="11">
        <f t="shared" si="8"/>
        <v>0</v>
      </c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</row>
    <row r="25" spans="1:122" ht="18" customHeight="1">
      <c r="A25" s="13" t="s">
        <v>13</v>
      </c>
      <c r="B25" s="14">
        <f>IFERROR(VLOOKUP(A25,PRICELIST!$A$3:$D$138,4,0),"-")</f>
        <v>110.57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9">
        <f t="shared" ref="CY25:CZ26" si="9">C25+E25+G25+I25+K25+M25+O25+Q25+S25+U25+W25+Y25+AA25+AC25+AE25+AG25+AI25+AK25+AM25+AO25+AQ25+AS25+AU25+AW25+AY25+BA25+BC25+BE25+BG25+BI25+BK25+BM25+BO25+BQ25+BS25+BU25+BW25+BY25+CA25+CC25+CE25+CG25+CI25+CK25+CM25+CO25+CQ25+CS25+CU25+CW25</f>
        <v>0</v>
      </c>
      <c r="CZ25" s="19">
        <f t="shared" si="9"/>
        <v>0</v>
      </c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</row>
    <row r="26" spans="1:122" ht="18" customHeight="1">
      <c r="A26" s="13" t="s">
        <v>14</v>
      </c>
      <c r="B26" s="14">
        <f>IFERROR(VLOOKUP(A26,PRICELIST!$A$3:$D$138,4,0),"-")</f>
        <v>184.82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9">
        <f t="shared" si="9"/>
        <v>0</v>
      </c>
      <c r="CZ26" s="19">
        <f t="shared" si="9"/>
        <v>0</v>
      </c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</row>
    <row r="27" spans="1:122" ht="18" customHeight="1">
      <c r="A27" s="9" t="s">
        <v>15</v>
      </c>
      <c r="B27" s="10"/>
      <c r="C27" s="11">
        <f>SUMPRODUCT($B25:$B26,C25:C26)</f>
        <v>0</v>
      </c>
      <c r="D27" s="11">
        <f t="shared" ref="D27:BO27" si="10">SUMPRODUCT($B25:$B26,D25:D26)</f>
        <v>0</v>
      </c>
      <c r="E27" s="11">
        <f t="shared" si="10"/>
        <v>0</v>
      </c>
      <c r="F27" s="11">
        <f t="shared" si="10"/>
        <v>0</v>
      </c>
      <c r="G27" s="11">
        <f t="shared" si="10"/>
        <v>0</v>
      </c>
      <c r="H27" s="11">
        <f t="shared" si="10"/>
        <v>0</v>
      </c>
      <c r="I27" s="11">
        <f t="shared" si="10"/>
        <v>0</v>
      </c>
      <c r="J27" s="11">
        <f t="shared" si="10"/>
        <v>0</v>
      </c>
      <c r="K27" s="11">
        <f t="shared" si="10"/>
        <v>0</v>
      </c>
      <c r="L27" s="11">
        <f t="shared" si="10"/>
        <v>0</v>
      </c>
      <c r="M27" s="11">
        <f t="shared" si="10"/>
        <v>0</v>
      </c>
      <c r="N27" s="11">
        <f t="shared" si="10"/>
        <v>0</v>
      </c>
      <c r="O27" s="11">
        <f t="shared" si="10"/>
        <v>0</v>
      </c>
      <c r="P27" s="11">
        <f t="shared" si="10"/>
        <v>0</v>
      </c>
      <c r="Q27" s="11">
        <f t="shared" si="10"/>
        <v>0</v>
      </c>
      <c r="R27" s="11">
        <f t="shared" si="10"/>
        <v>0</v>
      </c>
      <c r="S27" s="11">
        <f t="shared" si="10"/>
        <v>0</v>
      </c>
      <c r="T27" s="11">
        <f t="shared" si="10"/>
        <v>0</v>
      </c>
      <c r="U27" s="11">
        <f t="shared" si="10"/>
        <v>0</v>
      </c>
      <c r="V27" s="11">
        <f t="shared" si="10"/>
        <v>0</v>
      </c>
      <c r="W27" s="11">
        <f t="shared" si="10"/>
        <v>0</v>
      </c>
      <c r="X27" s="11">
        <f t="shared" si="10"/>
        <v>0</v>
      </c>
      <c r="Y27" s="11">
        <f t="shared" si="10"/>
        <v>0</v>
      </c>
      <c r="Z27" s="11">
        <f t="shared" si="10"/>
        <v>0</v>
      </c>
      <c r="AA27" s="11">
        <f t="shared" si="10"/>
        <v>0</v>
      </c>
      <c r="AB27" s="11">
        <f t="shared" si="10"/>
        <v>0</v>
      </c>
      <c r="AC27" s="11">
        <f t="shared" si="10"/>
        <v>0</v>
      </c>
      <c r="AD27" s="11">
        <f t="shared" si="10"/>
        <v>0</v>
      </c>
      <c r="AE27" s="11">
        <f t="shared" si="10"/>
        <v>0</v>
      </c>
      <c r="AF27" s="11">
        <f t="shared" si="10"/>
        <v>0</v>
      </c>
      <c r="AG27" s="11">
        <f t="shared" si="10"/>
        <v>0</v>
      </c>
      <c r="AH27" s="11">
        <f t="shared" si="10"/>
        <v>0</v>
      </c>
      <c r="AI27" s="11">
        <f t="shared" si="10"/>
        <v>0</v>
      </c>
      <c r="AJ27" s="11">
        <f t="shared" si="10"/>
        <v>0</v>
      </c>
      <c r="AK27" s="11">
        <f t="shared" si="10"/>
        <v>0</v>
      </c>
      <c r="AL27" s="11">
        <f t="shared" si="10"/>
        <v>0</v>
      </c>
      <c r="AM27" s="11">
        <f t="shared" si="10"/>
        <v>0</v>
      </c>
      <c r="AN27" s="11">
        <f t="shared" si="10"/>
        <v>0</v>
      </c>
      <c r="AO27" s="11">
        <f t="shared" si="10"/>
        <v>0</v>
      </c>
      <c r="AP27" s="11">
        <f t="shared" si="10"/>
        <v>0</v>
      </c>
      <c r="AQ27" s="11">
        <f t="shared" si="10"/>
        <v>0</v>
      </c>
      <c r="AR27" s="11">
        <f t="shared" si="10"/>
        <v>0</v>
      </c>
      <c r="AS27" s="11">
        <f t="shared" si="10"/>
        <v>0</v>
      </c>
      <c r="AT27" s="11">
        <f t="shared" si="10"/>
        <v>0</v>
      </c>
      <c r="AU27" s="11">
        <f t="shared" si="10"/>
        <v>0</v>
      </c>
      <c r="AV27" s="11">
        <f t="shared" si="10"/>
        <v>0</v>
      </c>
      <c r="AW27" s="11">
        <f t="shared" si="10"/>
        <v>0</v>
      </c>
      <c r="AX27" s="11">
        <f t="shared" si="10"/>
        <v>0</v>
      </c>
      <c r="AY27" s="11">
        <f t="shared" si="10"/>
        <v>0</v>
      </c>
      <c r="AZ27" s="11">
        <f t="shared" si="10"/>
        <v>0</v>
      </c>
      <c r="BA27" s="11">
        <f t="shared" si="10"/>
        <v>0</v>
      </c>
      <c r="BB27" s="11">
        <f t="shared" si="10"/>
        <v>0</v>
      </c>
      <c r="BC27" s="11">
        <f t="shared" si="10"/>
        <v>0</v>
      </c>
      <c r="BD27" s="11">
        <f t="shared" si="10"/>
        <v>0</v>
      </c>
      <c r="BE27" s="11">
        <f t="shared" si="10"/>
        <v>0</v>
      </c>
      <c r="BF27" s="11">
        <f t="shared" si="10"/>
        <v>0</v>
      </c>
      <c r="BG27" s="11">
        <f t="shared" si="10"/>
        <v>0</v>
      </c>
      <c r="BH27" s="11">
        <f t="shared" si="10"/>
        <v>0</v>
      </c>
      <c r="BI27" s="11">
        <f t="shared" si="10"/>
        <v>0</v>
      </c>
      <c r="BJ27" s="11">
        <f t="shared" si="10"/>
        <v>0</v>
      </c>
      <c r="BK27" s="11">
        <f t="shared" si="10"/>
        <v>0</v>
      </c>
      <c r="BL27" s="11">
        <f t="shared" si="10"/>
        <v>0</v>
      </c>
      <c r="BM27" s="11">
        <f t="shared" si="10"/>
        <v>0</v>
      </c>
      <c r="BN27" s="11">
        <f t="shared" si="10"/>
        <v>0</v>
      </c>
      <c r="BO27" s="11">
        <f t="shared" si="10"/>
        <v>0</v>
      </c>
      <c r="BP27" s="11">
        <f t="shared" ref="BP27:CZ27" si="11">SUMPRODUCT($B25:$B26,BP25:BP26)</f>
        <v>0</v>
      </c>
      <c r="BQ27" s="11">
        <f t="shared" si="11"/>
        <v>0</v>
      </c>
      <c r="BR27" s="11">
        <f t="shared" si="11"/>
        <v>0</v>
      </c>
      <c r="BS27" s="11">
        <f t="shared" si="11"/>
        <v>0</v>
      </c>
      <c r="BT27" s="11">
        <f t="shared" si="11"/>
        <v>0</v>
      </c>
      <c r="BU27" s="11">
        <f t="shared" si="11"/>
        <v>0</v>
      </c>
      <c r="BV27" s="11">
        <f t="shared" si="11"/>
        <v>0</v>
      </c>
      <c r="BW27" s="11">
        <f t="shared" si="11"/>
        <v>0</v>
      </c>
      <c r="BX27" s="11">
        <f t="shared" si="11"/>
        <v>0</v>
      </c>
      <c r="BY27" s="11">
        <f t="shared" si="11"/>
        <v>0</v>
      </c>
      <c r="BZ27" s="11">
        <f t="shared" si="11"/>
        <v>0</v>
      </c>
      <c r="CA27" s="11">
        <f t="shared" si="11"/>
        <v>0</v>
      </c>
      <c r="CB27" s="11">
        <f t="shared" si="11"/>
        <v>0</v>
      </c>
      <c r="CC27" s="11">
        <f t="shared" si="11"/>
        <v>0</v>
      </c>
      <c r="CD27" s="11">
        <f t="shared" si="11"/>
        <v>0</v>
      </c>
      <c r="CE27" s="11">
        <f t="shared" si="11"/>
        <v>0</v>
      </c>
      <c r="CF27" s="11">
        <f t="shared" si="11"/>
        <v>0</v>
      </c>
      <c r="CG27" s="11">
        <f t="shared" si="11"/>
        <v>0</v>
      </c>
      <c r="CH27" s="11">
        <f t="shared" si="11"/>
        <v>0</v>
      </c>
      <c r="CI27" s="11">
        <f t="shared" si="11"/>
        <v>0</v>
      </c>
      <c r="CJ27" s="11">
        <f t="shared" si="11"/>
        <v>0</v>
      </c>
      <c r="CK27" s="11">
        <f t="shared" si="11"/>
        <v>0</v>
      </c>
      <c r="CL27" s="11">
        <f t="shared" si="11"/>
        <v>0</v>
      </c>
      <c r="CM27" s="11">
        <f t="shared" si="11"/>
        <v>0</v>
      </c>
      <c r="CN27" s="11">
        <f t="shared" si="11"/>
        <v>0</v>
      </c>
      <c r="CO27" s="11">
        <f t="shared" si="11"/>
        <v>0</v>
      </c>
      <c r="CP27" s="11">
        <f t="shared" si="11"/>
        <v>0</v>
      </c>
      <c r="CQ27" s="11">
        <f t="shared" si="11"/>
        <v>0</v>
      </c>
      <c r="CR27" s="11">
        <f t="shared" si="11"/>
        <v>0</v>
      </c>
      <c r="CS27" s="11">
        <f t="shared" si="11"/>
        <v>0</v>
      </c>
      <c r="CT27" s="11">
        <f t="shared" si="11"/>
        <v>0</v>
      </c>
      <c r="CU27" s="11">
        <f t="shared" si="11"/>
        <v>0</v>
      </c>
      <c r="CV27" s="11">
        <f t="shared" si="11"/>
        <v>0</v>
      </c>
      <c r="CW27" s="11">
        <f t="shared" si="11"/>
        <v>0</v>
      </c>
      <c r="CX27" s="11">
        <f t="shared" si="11"/>
        <v>0</v>
      </c>
      <c r="CY27" s="11">
        <f t="shared" si="11"/>
        <v>0</v>
      </c>
      <c r="CZ27" s="11">
        <f t="shared" si="11"/>
        <v>0</v>
      </c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</row>
    <row r="28" spans="1:122" ht="18" customHeight="1">
      <c r="A28" s="13" t="s">
        <v>16</v>
      </c>
      <c r="B28" s="14">
        <f>IFERROR(VLOOKUP(A28,PRICELIST!$A$3:$D$138,4,0),"-")</f>
        <v>113.79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9">
        <f t="shared" ref="CY28:CZ33" si="12">C28+E28+G28+I28+K28+M28+O28+Q28+S28+U28+W28+Y28+AA28+AC28+AE28+AG28+AI28+AK28+AM28+AO28+AQ28+AS28+AU28+AW28+AY28+BA28+BC28+BE28+BG28+BI28+BK28+BM28+BO28+BQ28+BS28+BU28+BW28+BY28+CA28+CC28+CE28+CG28+CI28+CK28+CM28+CO28+CQ28+CS28+CU28+CW28</f>
        <v>0</v>
      </c>
      <c r="CZ28" s="19">
        <f t="shared" si="12"/>
        <v>0</v>
      </c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</row>
    <row r="29" spans="1:122" ht="18" customHeight="1">
      <c r="A29" s="13" t="s">
        <v>17</v>
      </c>
      <c r="B29" s="14">
        <f>IFERROR(VLOOKUP(A29,PRICELIST!$A$3:$D$138,4,0),"-")</f>
        <v>188.04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9">
        <f t="shared" si="12"/>
        <v>0</v>
      </c>
      <c r="CZ29" s="19">
        <f t="shared" si="12"/>
        <v>0</v>
      </c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</row>
    <row r="30" spans="1:122" ht="18" customHeight="1">
      <c r="A30" s="13" t="s">
        <v>18</v>
      </c>
      <c r="B30" s="14">
        <f>IFERROR(VLOOKUP(A30,PRICELIST!$A$3:$D$138,4,0),"-")</f>
        <v>68.16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9">
        <f t="shared" si="12"/>
        <v>0</v>
      </c>
      <c r="CZ30" s="19">
        <f t="shared" si="12"/>
        <v>0</v>
      </c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</row>
    <row r="31" spans="1:122" ht="18" customHeight="1">
      <c r="A31" s="13" t="s">
        <v>19</v>
      </c>
      <c r="B31" s="14">
        <f>IFERROR(VLOOKUP(A31,PRICELIST!$A$3:$D$138,4,0),"-")</f>
        <v>101.57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9">
        <f t="shared" si="12"/>
        <v>0</v>
      </c>
      <c r="CZ31" s="19">
        <f t="shared" si="12"/>
        <v>0</v>
      </c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</row>
    <row r="32" spans="1:122" ht="18" customHeight="1">
      <c r="A32" s="13" t="s">
        <v>20</v>
      </c>
      <c r="B32" s="14">
        <f>IFERROR(VLOOKUP(A32,PRICELIST!$A$3:$D$138,4,0),"-")</f>
        <v>164.73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9">
        <f t="shared" si="12"/>
        <v>0</v>
      </c>
      <c r="CZ32" s="19">
        <f t="shared" si="12"/>
        <v>0</v>
      </c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</row>
    <row r="33" spans="1:122" ht="18" customHeight="1">
      <c r="A33" s="13" t="s">
        <v>21</v>
      </c>
      <c r="B33" s="14">
        <f>IFERROR(VLOOKUP(A33,PRICELIST!$A$3:$D$138,4,0),"-")</f>
        <v>78.099999999999994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9">
        <f t="shared" si="12"/>
        <v>0</v>
      </c>
      <c r="CZ33" s="19">
        <f t="shared" si="12"/>
        <v>0</v>
      </c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</row>
    <row r="34" spans="1:122" ht="18" customHeight="1">
      <c r="A34" s="9" t="s">
        <v>22</v>
      </c>
      <c r="B34" s="10"/>
      <c r="C34" s="11">
        <f>SUMPRODUCT($B28:$B33,C28:C33)</f>
        <v>0</v>
      </c>
      <c r="D34" s="11">
        <f t="shared" ref="D34:BO34" si="13">SUMPRODUCT($B28:$B33,D28:D33)</f>
        <v>0</v>
      </c>
      <c r="E34" s="11">
        <f t="shared" si="13"/>
        <v>0</v>
      </c>
      <c r="F34" s="11">
        <f t="shared" si="13"/>
        <v>0</v>
      </c>
      <c r="G34" s="11">
        <f t="shared" si="13"/>
        <v>0</v>
      </c>
      <c r="H34" s="11">
        <f t="shared" si="13"/>
        <v>0</v>
      </c>
      <c r="I34" s="11">
        <f t="shared" si="13"/>
        <v>0</v>
      </c>
      <c r="J34" s="11">
        <f t="shared" si="13"/>
        <v>0</v>
      </c>
      <c r="K34" s="11">
        <f t="shared" si="13"/>
        <v>0</v>
      </c>
      <c r="L34" s="11">
        <f t="shared" si="13"/>
        <v>0</v>
      </c>
      <c r="M34" s="11">
        <f t="shared" si="13"/>
        <v>0</v>
      </c>
      <c r="N34" s="11">
        <f t="shared" si="13"/>
        <v>0</v>
      </c>
      <c r="O34" s="11">
        <f t="shared" si="13"/>
        <v>0</v>
      </c>
      <c r="P34" s="11">
        <f t="shared" si="13"/>
        <v>0</v>
      </c>
      <c r="Q34" s="11">
        <f t="shared" si="13"/>
        <v>0</v>
      </c>
      <c r="R34" s="11">
        <f t="shared" si="13"/>
        <v>0</v>
      </c>
      <c r="S34" s="11">
        <f t="shared" si="13"/>
        <v>0</v>
      </c>
      <c r="T34" s="11">
        <f t="shared" si="13"/>
        <v>0</v>
      </c>
      <c r="U34" s="11">
        <f t="shared" si="13"/>
        <v>0</v>
      </c>
      <c r="V34" s="11">
        <f t="shared" si="13"/>
        <v>0</v>
      </c>
      <c r="W34" s="11">
        <f t="shared" si="13"/>
        <v>0</v>
      </c>
      <c r="X34" s="11">
        <f t="shared" si="13"/>
        <v>0</v>
      </c>
      <c r="Y34" s="11">
        <f t="shared" si="13"/>
        <v>0</v>
      </c>
      <c r="Z34" s="11">
        <f t="shared" si="13"/>
        <v>0</v>
      </c>
      <c r="AA34" s="11">
        <f t="shared" si="13"/>
        <v>0</v>
      </c>
      <c r="AB34" s="11">
        <f t="shared" si="13"/>
        <v>0</v>
      </c>
      <c r="AC34" s="11">
        <f t="shared" si="13"/>
        <v>0</v>
      </c>
      <c r="AD34" s="11">
        <f t="shared" si="13"/>
        <v>0</v>
      </c>
      <c r="AE34" s="11">
        <f t="shared" si="13"/>
        <v>0</v>
      </c>
      <c r="AF34" s="11">
        <f t="shared" si="13"/>
        <v>0</v>
      </c>
      <c r="AG34" s="11">
        <f t="shared" si="13"/>
        <v>0</v>
      </c>
      <c r="AH34" s="11">
        <f t="shared" si="13"/>
        <v>0</v>
      </c>
      <c r="AI34" s="11">
        <f t="shared" si="13"/>
        <v>0</v>
      </c>
      <c r="AJ34" s="11">
        <f t="shared" si="13"/>
        <v>0</v>
      </c>
      <c r="AK34" s="11">
        <f t="shared" si="13"/>
        <v>0</v>
      </c>
      <c r="AL34" s="11">
        <f t="shared" si="13"/>
        <v>0</v>
      </c>
      <c r="AM34" s="11">
        <f t="shared" si="13"/>
        <v>0</v>
      </c>
      <c r="AN34" s="11">
        <f t="shared" si="13"/>
        <v>0</v>
      </c>
      <c r="AO34" s="11">
        <f t="shared" si="13"/>
        <v>0</v>
      </c>
      <c r="AP34" s="11">
        <f t="shared" si="13"/>
        <v>0</v>
      </c>
      <c r="AQ34" s="11">
        <f t="shared" si="13"/>
        <v>0</v>
      </c>
      <c r="AR34" s="11">
        <f t="shared" si="13"/>
        <v>0</v>
      </c>
      <c r="AS34" s="11">
        <f t="shared" si="13"/>
        <v>0</v>
      </c>
      <c r="AT34" s="11">
        <f t="shared" si="13"/>
        <v>0</v>
      </c>
      <c r="AU34" s="11">
        <f t="shared" si="13"/>
        <v>0</v>
      </c>
      <c r="AV34" s="11">
        <f t="shared" si="13"/>
        <v>0</v>
      </c>
      <c r="AW34" s="11">
        <f t="shared" si="13"/>
        <v>0</v>
      </c>
      <c r="AX34" s="11">
        <f t="shared" si="13"/>
        <v>0</v>
      </c>
      <c r="AY34" s="11">
        <f t="shared" si="13"/>
        <v>0</v>
      </c>
      <c r="AZ34" s="11">
        <f t="shared" si="13"/>
        <v>0</v>
      </c>
      <c r="BA34" s="11">
        <f t="shared" si="13"/>
        <v>0</v>
      </c>
      <c r="BB34" s="11">
        <f t="shared" si="13"/>
        <v>0</v>
      </c>
      <c r="BC34" s="11">
        <f t="shared" si="13"/>
        <v>0</v>
      </c>
      <c r="BD34" s="11">
        <f t="shared" si="13"/>
        <v>0</v>
      </c>
      <c r="BE34" s="11">
        <f t="shared" si="13"/>
        <v>0</v>
      </c>
      <c r="BF34" s="11">
        <f t="shared" si="13"/>
        <v>0</v>
      </c>
      <c r="BG34" s="11">
        <f t="shared" si="13"/>
        <v>0</v>
      </c>
      <c r="BH34" s="11">
        <f t="shared" si="13"/>
        <v>0</v>
      </c>
      <c r="BI34" s="11">
        <f t="shared" si="13"/>
        <v>0</v>
      </c>
      <c r="BJ34" s="11">
        <f t="shared" si="13"/>
        <v>0</v>
      </c>
      <c r="BK34" s="11">
        <f t="shared" si="13"/>
        <v>0</v>
      </c>
      <c r="BL34" s="11">
        <f t="shared" si="13"/>
        <v>0</v>
      </c>
      <c r="BM34" s="11">
        <f t="shared" si="13"/>
        <v>0</v>
      </c>
      <c r="BN34" s="11">
        <f t="shared" si="13"/>
        <v>0</v>
      </c>
      <c r="BO34" s="11">
        <f t="shared" si="13"/>
        <v>0</v>
      </c>
      <c r="BP34" s="11">
        <f t="shared" ref="BP34:CZ34" si="14">SUMPRODUCT($B28:$B33,BP28:BP33)</f>
        <v>0</v>
      </c>
      <c r="BQ34" s="11">
        <f t="shared" si="14"/>
        <v>0</v>
      </c>
      <c r="BR34" s="11">
        <f t="shared" si="14"/>
        <v>0</v>
      </c>
      <c r="BS34" s="11">
        <f t="shared" si="14"/>
        <v>0</v>
      </c>
      <c r="BT34" s="11">
        <f t="shared" si="14"/>
        <v>0</v>
      </c>
      <c r="BU34" s="11">
        <f t="shared" si="14"/>
        <v>0</v>
      </c>
      <c r="BV34" s="11">
        <f t="shared" si="14"/>
        <v>0</v>
      </c>
      <c r="BW34" s="11">
        <f t="shared" si="14"/>
        <v>0</v>
      </c>
      <c r="BX34" s="11">
        <f t="shared" si="14"/>
        <v>0</v>
      </c>
      <c r="BY34" s="11">
        <f t="shared" si="14"/>
        <v>0</v>
      </c>
      <c r="BZ34" s="11">
        <f t="shared" si="14"/>
        <v>0</v>
      </c>
      <c r="CA34" s="11">
        <f t="shared" si="14"/>
        <v>0</v>
      </c>
      <c r="CB34" s="11">
        <f t="shared" si="14"/>
        <v>0</v>
      </c>
      <c r="CC34" s="11">
        <f t="shared" si="14"/>
        <v>0</v>
      </c>
      <c r="CD34" s="11">
        <f t="shared" si="14"/>
        <v>0</v>
      </c>
      <c r="CE34" s="11">
        <f t="shared" si="14"/>
        <v>0</v>
      </c>
      <c r="CF34" s="11">
        <f t="shared" si="14"/>
        <v>0</v>
      </c>
      <c r="CG34" s="11">
        <f t="shared" si="14"/>
        <v>0</v>
      </c>
      <c r="CH34" s="11">
        <f t="shared" si="14"/>
        <v>0</v>
      </c>
      <c r="CI34" s="11">
        <f t="shared" si="14"/>
        <v>0</v>
      </c>
      <c r="CJ34" s="11">
        <f t="shared" si="14"/>
        <v>0</v>
      </c>
      <c r="CK34" s="11">
        <f t="shared" si="14"/>
        <v>0</v>
      </c>
      <c r="CL34" s="11">
        <f t="shared" si="14"/>
        <v>0</v>
      </c>
      <c r="CM34" s="11">
        <f t="shared" si="14"/>
        <v>0</v>
      </c>
      <c r="CN34" s="11">
        <f t="shared" si="14"/>
        <v>0</v>
      </c>
      <c r="CO34" s="11">
        <f t="shared" si="14"/>
        <v>0</v>
      </c>
      <c r="CP34" s="11">
        <f t="shared" si="14"/>
        <v>0</v>
      </c>
      <c r="CQ34" s="11">
        <f t="shared" si="14"/>
        <v>0</v>
      </c>
      <c r="CR34" s="11">
        <f t="shared" si="14"/>
        <v>0</v>
      </c>
      <c r="CS34" s="11">
        <f t="shared" si="14"/>
        <v>0</v>
      </c>
      <c r="CT34" s="11">
        <f t="shared" si="14"/>
        <v>0</v>
      </c>
      <c r="CU34" s="11">
        <f t="shared" si="14"/>
        <v>0</v>
      </c>
      <c r="CV34" s="11">
        <f t="shared" si="14"/>
        <v>0</v>
      </c>
      <c r="CW34" s="11">
        <f t="shared" si="14"/>
        <v>0</v>
      </c>
      <c r="CX34" s="11">
        <f t="shared" si="14"/>
        <v>0</v>
      </c>
      <c r="CY34" s="11">
        <f t="shared" si="14"/>
        <v>0</v>
      </c>
      <c r="CZ34" s="11">
        <f t="shared" si="14"/>
        <v>0</v>
      </c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</row>
    <row r="35" spans="1:122" ht="18" customHeight="1">
      <c r="A35" s="13" t="s">
        <v>23</v>
      </c>
      <c r="B35" s="14">
        <f>IFERROR(VLOOKUP(A35,PRICELIST!$A$3:$D$138,4,0),"-")</f>
        <v>60.11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9">
        <f t="shared" ref="CY35:CZ36" si="15">C35+E35+G35+I35+K35+M35+O35+Q35+S35+U35+W35+Y35+AA35+AC35+AE35+AG35+AI35+AK35+AM35+AO35+AQ35+AS35+AU35+AW35+AY35+BA35+BC35+BE35+BG35+BI35+BK35+BM35+BO35+BQ35+BS35+BU35+BW35+BY35+CA35+CC35+CE35+CG35+CI35+CK35+CM35+CO35+CQ35+CS35+CU35+CW35</f>
        <v>0</v>
      </c>
      <c r="CZ35" s="19">
        <f t="shared" si="15"/>
        <v>0</v>
      </c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</row>
    <row r="36" spans="1:122" ht="18" customHeight="1">
      <c r="A36" s="13" t="s">
        <v>24</v>
      </c>
      <c r="B36" s="14">
        <f>IFERROR(VLOOKUP(A36,PRICELIST!$A$3:$D$138,4,0),"-")</f>
        <v>91.2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9">
        <f t="shared" si="15"/>
        <v>0</v>
      </c>
      <c r="CZ36" s="19">
        <f t="shared" si="15"/>
        <v>0</v>
      </c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</row>
    <row r="37" spans="1:122" ht="18" customHeight="1">
      <c r="A37" s="9" t="s">
        <v>25</v>
      </c>
      <c r="B37" s="10"/>
      <c r="C37" s="11">
        <f>SUMPRODUCT($B35:$B36,C35:C36)</f>
        <v>0</v>
      </c>
      <c r="D37" s="11">
        <f t="shared" ref="D37:BO37" si="16">SUMPRODUCT($B35:$B36,D35:D36)</f>
        <v>0</v>
      </c>
      <c r="E37" s="11">
        <f t="shared" si="16"/>
        <v>0</v>
      </c>
      <c r="F37" s="11">
        <f t="shared" si="16"/>
        <v>0</v>
      </c>
      <c r="G37" s="11">
        <f t="shared" si="16"/>
        <v>0</v>
      </c>
      <c r="H37" s="11">
        <f t="shared" si="16"/>
        <v>0</v>
      </c>
      <c r="I37" s="11">
        <f t="shared" si="16"/>
        <v>0</v>
      </c>
      <c r="J37" s="11">
        <f t="shared" si="16"/>
        <v>0</v>
      </c>
      <c r="K37" s="11">
        <f t="shared" si="16"/>
        <v>0</v>
      </c>
      <c r="L37" s="11">
        <f t="shared" si="16"/>
        <v>0</v>
      </c>
      <c r="M37" s="11">
        <f t="shared" si="16"/>
        <v>0</v>
      </c>
      <c r="N37" s="11">
        <f t="shared" si="16"/>
        <v>0</v>
      </c>
      <c r="O37" s="11">
        <f t="shared" si="16"/>
        <v>0</v>
      </c>
      <c r="P37" s="11">
        <f t="shared" si="16"/>
        <v>0</v>
      </c>
      <c r="Q37" s="11">
        <f t="shared" si="16"/>
        <v>0</v>
      </c>
      <c r="R37" s="11">
        <f t="shared" si="16"/>
        <v>0</v>
      </c>
      <c r="S37" s="11">
        <f t="shared" si="16"/>
        <v>0</v>
      </c>
      <c r="T37" s="11">
        <f t="shared" si="16"/>
        <v>0</v>
      </c>
      <c r="U37" s="11">
        <f t="shared" si="16"/>
        <v>0</v>
      </c>
      <c r="V37" s="11">
        <f t="shared" si="16"/>
        <v>0</v>
      </c>
      <c r="W37" s="11">
        <f t="shared" si="16"/>
        <v>0</v>
      </c>
      <c r="X37" s="11">
        <f t="shared" si="16"/>
        <v>0</v>
      </c>
      <c r="Y37" s="11">
        <f t="shared" si="16"/>
        <v>0</v>
      </c>
      <c r="Z37" s="11">
        <f t="shared" si="16"/>
        <v>0</v>
      </c>
      <c r="AA37" s="11">
        <f t="shared" si="16"/>
        <v>0</v>
      </c>
      <c r="AB37" s="11">
        <f t="shared" si="16"/>
        <v>0</v>
      </c>
      <c r="AC37" s="11">
        <f t="shared" si="16"/>
        <v>0</v>
      </c>
      <c r="AD37" s="11">
        <f t="shared" si="16"/>
        <v>0</v>
      </c>
      <c r="AE37" s="11">
        <f t="shared" si="16"/>
        <v>0</v>
      </c>
      <c r="AF37" s="11">
        <f t="shared" si="16"/>
        <v>0</v>
      </c>
      <c r="AG37" s="11">
        <f t="shared" si="16"/>
        <v>0</v>
      </c>
      <c r="AH37" s="11">
        <f t="shared" si="16"/>
        <v>0</v>
      </c>
      <c r="AI37" s="11">
        <f t="shared" si="16"/>
        <v>0</v>
      </c>
      <c r="AJ37" s="11">
        <f t="shared" si="16"/>
        <v>0</v>
      </c>
      <c r="AK37" s="11">
        <f t="shared" si="16"/>
        <v>0</v>
      </c>
      <c r="AL37" s="11">
        <f t="shared" si="16"/>
        <v>0</v>
      </c>
      <c r="AM37" s="11">
        <f t="shared" si="16"/>
        <v>0</v>
      </c>
      <c r="AN37" s="11">
        <f t="shared" si="16"/>
        <v>0</v>
      </c>
      <c r="AO37" s="11">
        <f t="shared" si="16"/>
        <v>0</v>
      </c>
      <c r="AP37" s="11">
        <f t="shared" si="16"/>
        <v>0</v>
      </c>
      <c r="AQ37" s="11">
        <f t="shared" si="16"/>
        <v>0</v>
      </c>
      <c r="AR37" s="11">
        <f t="shared" si="16"/>
        <v>0</v>
      </c>
      <c r="AS37" s="11">
        <f t="shared" si="16"/>
        <v>0</v>
      </c>
      <c r="AT37" s="11">
        <f t="shared" si="16"/>
        <v>0</v>
      </c>
      <c r="AU37" s="11">
        <f t="shared" si="16"/>
        <v>0</v>
      </c>
      <c r="AV37" s="11">
        <f t="shared" si="16"/>
        <v>0</v>
      </c>
      <c r="AW37" s="11">
        <f t="shared" si="16"/>
        <v>0</v>
      </c>
      <c r="AX37" s="11">
        <f t="shared" si="16"/>
        <v>0</v>
      </c>
      <c r="AY37" s="11">
        <f t="shared" si="16"/>
        <v>0</v>
      </c>
      <c r="AZ37" s="11">
        <f t="shared" si="16"/>
        <v>0</v>
      </c>
      <c r="BA37" s="11">
        <f t="shared" si="16"/>
        <v>0</v>
      </c>
      <c r="BB37" s="11">
        <f t="shared" si="16"/>
        <v>0</v>
      </c>
      <c r="BC37" s="11">
        <f t="shared" si="16"/>
        <v>0</v>
      </c>
      <c r="BD37" s="11">
        <f t="shared" si="16"/>
        <v>0</v>
      </c>
      <c r="BE37" s="11">
        <f t="shared" si="16"/>
        <v>0</v>
      </c>
      <c r="BF37" s="11">
        <f t="shared" si="16"/>
        <v>0</v>
      </c>
      <c r="BG37" s="11">
        <f t="shared" si="16"/>
        <v>0</v>
      </c>
      <c r="BH37" s="11">
        <f t="shared" si="16"/>
        <v>0</v>
      </c>
      <c r="BI37" s="11">
        <f t="shared" si="16"/>
        <v>0</v>
      </c>
      <c r="BJ37" s="11">
        <f t="shared" si="16"/>
        <v>0</v>
      </c>
      <c r="BK37" s="11">
        <f t="shared" si="16"/>
        <v>0</v>
      </c>
      <c r="BL37" s="11">
        <f t="shared" si="16"/>
        <v>0</v>
      </c>
      <c r="BM37" s="11">
        <f t="shared" si="16"/>
        <v>0</v>
      </c>
      <c r="BN37" s="11">
        <f t="shared" si="16"/>
        <v>0</v>
      </c>
      <c r="BO37" s="11">
        <f t="shared" si="16"/>
        <v>0</v>
      </c>
      <c r="BP37" s="11">
        <f t="shared" ref="BP37:CZ37" si="17">SUMPRODUCT($B35:$B36,BP35:BP36)</f>
        <v>0</v>
      </c>
      <c r="BQ37" s="11">
        <f t="shared" si="17"/>
        <v>0</v>
      </c>
      <c r="BR37" s="11">
        <f t="shared" si="17"/>
        <v>0</v>
      </c>
      <c r="BS37" s="11">
        <f t="shared" si="17"/>
        <v>0</v>
      </c>
      <c r="BT37" s="11">
        <f t="shared" si="17"/>
        <v>0</v>
      </c>
      <c r="BU37" s="11">
        <f t="shared" si="17"/>
        <v>0</v>
      </c>
      <c r="BV37" s="11">
        <f t="shared" si="17"/>
        <v>0</v>
      </c>
      <c r="BW37" s="11">
        <f t="shared" si="17"/>
        <v>0</v>
      </c>
      <c r="BX37" s="11">
        <f t="shared" si="17"/>
        <v>0</v>
      </c>
      <c r="BY37" s="11">
        <f t="shared" si="17"/>
        <v>0</v>
      </c>
      <c r="BZ37" s="11">
        <f t="shared" si="17"/>
        <v>0</v>
      </c>
      <c r="CA37" s="11">
        <f t="shared" si="17"/>
        <v>0</v>
      </c>
      <c r="CB37" s="11">
        <f t="shared" si="17"/>
        <v>0</v>
      </c>
      <c r="CC37" s="11">
        <f t="shared" si="17"/>
        <v>0</v>
      </c>
      <c r="CD37" s="11">
        <f t="shared" si="17"/>
        <v>0</v>
      </c>
      <c r="CE37" s="11">
        <f t="shared" si="17"/>
        <v>0</v>
      </c>
      <c r="CF37" s="11">
        <f t="shared" si="17"/>
        <v>0</v>
      </c>
      <c r="CG37" s="11">
        <f t="shared" si="17"/>
        <v>0</v>
      </c>
      <c r="CH37" s="11">
        <f t="shared" si="17"/>
        <v>0</v>
      </c>
      <c r="CI37" s="11">
        <f t="shared" si="17"/>
        <v>0</v>
      </c>
      <c r="CJ37" s="11">
        <f t="shared" si="17"/>
        <v>0</v>
      </c>
      <c r="CK37" s="11">
        <f t="shared" si="17"/>
        <v>0</v>
      </c>
      <c r="CL37" s="11">
        <f t="shared" si="17"/>
        <v>0</v>
      </c>
      <c r="CM37" s="11">
        <f t="shared" si="17"/>
        <v>0</v>
      </c>
      <c r="CN37" s="11">
        <f t="shared" si="17"/>
        <v>0</v>
      </c>
      <c r="CO37" s="11">
        <f t="shared" si="17"/>
        <v>0</v>
      </c>
      <c r="CP37" s="11">
        <f t="shared" si="17"/>
        <v>0</v>
      </c>
      <c r="CQ37" s="11">
        <f t="shared" si="17"/>
        <v>0</v>
      </c>
      <c r="CR37" s="11">
        <f t="shared" si="17"/>
        <v>0</v>
      </c>
      <c r="CS37" s="11">
        <f t="shared" si="17"/>
        <v>0</v>
      </c>
      <c r="CT37" s="11">
        <f t="shared" si="17"/>
        <v>0</v>
      </c>
      <c r="CU37" s="11">
        <f t="shared" si="17"/>
        <v>0</v>
      </c>
      <c r="CV37" s="11">
        <f t="shared" si="17"/>
        <v>0</v>
      </c>
      <c r="CW37" s="11">
        <f t="shared" si="17"/>
        <v>0</v>
      </c>
      <c r="CX37" s="11">
        <f t="shared" si="17"/>
        <v>0</v>
      </c>
      <c r="CY37" s="11">
        <f t="shared" si="17"/>
        <v>0</v>
      </c>
      <c r="CZ37" s="11">
        <f t="shared" si="17"/>
        <v>0</v>
      </c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</row>
    <row r="38" spans="1:122" ht="18" customHeight="1">
      <c r="A38" s="13" t="s">
        <v>26</v>
      </c>
      <c r="B38" s="14">
        <f>IFERROR(VLOOKUP(A38,PRICELIST!$A$3:$D$138,4,0),"-")</f>
        <v>159.75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9">
        <f t="shared" ref="CY38:CZ39" si="18">C38+E38+G38+I38+K38+M38+O38+Q38+S38+U38+W38+Y38+AA38+AC38+AE38+AG38+AI38+AK38+AM38+AO38+AQ38+AS38+AU38+AW38+AY38+BA38+BC38+BE38+BG38+BI38+BK38+BM38+BO38+BQ38+BS38+BU38+BW38+BY38+CA38+CC38+CE38+CG38+CI38+CK38+CM38+CO38+CQ38+CS38+CU38+CW38</f>
        <v>0</v>
      </c>
      <c r="CZ38" s="19">
        <f t="shared" si="18"/>
        <v>0</v>
      </c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</row>
    <row r="39" spans="1:122" ht="18" customHeight="1">
      <c r="A39" s="13" t="s">
        <v>27</v>
      </c>
      <c r="B39" s="14">
        <f>IFERROR(VLOOKUP(A39,PRICELIST!$A$3:$D$138,4,0),"-")</f>
        <v>83.59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9">
        <f t="shared" si="18"/>
        <v>0</v>
      </c>
      <c r="CZ39" s="19">
        <f t="shared" si="18"/>
        <v>0</v>
      </c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</row>
    <row r="40" spans="1:122" ht="18" customHeight="1">
      <c r="A40" s="9" t="s">
        <v>28</v>
      </c>
      <c r="B40" s="10"/>
      <c r="C40" s="11">
        <f>SUMPRODUCT($B38:$B39,C38:C39)</f>
        <v>0</v>
      </c>
      <c r="D40" s="11">
        <f t="shared" ref="D40:BO40" si="19">SUMPRODUCT($B38:$B39,D38:D39)</f>
        <v>0</v>
      </c>
      <c r="E40" s="11">
        <f t="shared" si="19"/>
        <v>0</v>
      </c>
      <c r="F40" s="11">
        <f t="shared" si="19"/>
        <v>0</v>
      </c>
      <c r="G40" s="11">
        <f t="shared" si="19"/>
        <v>0</v>
      </c>
      <c r="H40" s="11">
        <f t="shared" si="19"/>
        <v>0</v>
      </c>
      <c r="I40" s="11">
        <f t="shared" si="19"/>
        <v>0</v>
      </c>
      <c r="J40" s="11">
        <f t="shared" si="19"/>
        <v>0</v>
      </c>
      <c r="K40" s="11">
        <f t="shared" si="19"/>
        <v>0</v>
      </c>
      <c r="L40" s="11">
        <f t="shared" si="19"/>
        <v>0</v>
      </c>
      <c r="M40" s="11">
        <f t="shared" si="19"/>
        <v>0</v>
      </c>
      <c r="N40" s="11">
        <f t="shared" si="19"/>
        <v>0</v>
      </c>
      <c r="O40" s="11">
        <f t="shared" si="19"/>
        <v>0</v>
      </c>
      <c r="P40" s="11">
        <f t="shared" si="19"/>
        <v>0</v>
      </c>
      <c r="Q40" s="11">
        <f t="shared" si="19"/>
        <v>0</v>
      </c>
      <c r="R40" s="11">
        <f t="shared" si="19"/>
        <v>0</v>
      </c>
      <c r="S40" s="11">
        <f t="shared" si="19"/>
        <v>0</v>
      </c>
      <c r="T40" s="11">
        <f t="shared" si="19"/>
        <v>0</v>
      </c>
      <c r="U40" s="11">
        <f t="shared" si="19"/>
        <v>0</v>
      </c>
      <c r="V40" s="11">
        <f t="shared" si="19"/>
        <v>0</v>
      </c>
      <c r="W40" s="11">
        <f t="shared" si="19"/>
        <v>0</v>
      </c>
      <c r="X40" s="11">
        <f t="shared" si="19"/>
        <v>0</v>
      </c>
      <c r="Y40" s="11">
        <f t="shared" si="19"/>
        <v>0</v>
      </c>
      <c r="Z40" s="11">
        <f t="shared" si="19"/>
        <v>0</v>
      </c>
      <c r="AA40" s="11">
        <f t="shared" si="19"/>
        <v>0</v>
      </c>
      <c r="AB40" s="11">
        <f t="shared" si="19"/>
        <v>0</v>
      </c>
      <c r="AC40" s="11">
        <f t="shared" si="19"/>
        <v>0</v>
      </c>
      <c r="AD40" s="11">
        <f t="shared" si="19"/>
        <v>0</v>
      </c>
      <c r="AE40" s="11">
        <f t="shared" si="19"/>
        <v>0</v>
      </c>
      <c r="AF40" s="11">
        <f t="shared" si="19"/>
        <v>0</v>
      </c>
      <c r="AG40" s="11">
        <f t="shared" si="19"/>
        <v>0</v>
      </c>
      <c r="AH40" s="11">
        <f t="shared" si="19"/>
        <v>0</v>
      </c>
      <c r="AI40" s="11">
        <f t="shared" si="19"/>
        <v>0</v>
      </c>
      <c r="AJ40" s="11">
        <f t="shared" si="19"/>
        <v>0</v>
      </c>
      <c r="AK40" s="11">
        <f t="shared" si="19"/>
        <v>0</v>
      </c>
      <c r="AL40" s="11">
        <f t="shared" si="19"/>
        <v>0</v>
      </c>
      <c r="AM40" s="11">
        <f t="shared" si="19"/>
        <v>0</v>
      </c>
      <c r="AN40" s="11">
        <f t="shared" si="19"/>
        <v>0</v>
      </c>
      <c r="AO40" s="11">
        <f t="shared" si="19"/>
        <v>0</v>
      </c>
      <c r="AP40" s="11">
        <f t="shared" si="19"/>
        <v>0</v>
      </c>
      <c r="AQ40" s="11">
        <f t="shared" si="19"/>
        <v>0</v>
      </c>
      <c r="AR40" s="11">
        <f t="shared" si="19"/>
        <v>0</v>
      </c>
      <c r="AS40" s="11">
        <f t="shared" si="19"/>
        <v>0</v>
      </c>
      <c r="AT40" s="11">
        <f t="shared" si="19"/>
        <v>0</v>
      </c>
      <c r="AU40" s="11">
        <f t="shared" si="19"/>
        <v>0</v>
      </c>
      <c r="AV40" s="11">
        <f t="shared" si="19"/>
        <v>0</v>
      </c>
      <c r="AW40" s="11">
        <f t="shared" si="19"/>
        <v>0</v>
      </c>
      <c r="AX40" s="11">
        <f t="shared" si="19"/>
        <v>0</v>
      </c>
      <c r="AY40" s="11">
        <f t="shared" si="19"/>
        <v>0</v>
      </c>
      <c r="AZ40" s="11">
        <f t="shared" si="19"/>
        <v>0</v>
      </c>
      <c r="BA40" s="11">
        <f t="shared" si="19"/>
        <v>0</v>
      </c>
      <c r="BB40" s="11">
        <f t="shared" si="19"/>
        <v>0</v>
      </c>
      <c r="BC40" s="11">
        <f t="shared" si="19"/>
        <v>0</v>
      </c>
      <c r="BD40" s="11">
        <f t="shared" si="19"/>
        <v>0</v>
      </c>
      <c r="BE40" s="11">
        <f t="shared" si="19"/>
        <v>0</v>
      </c>
      <c r="BF40" s="11">
        <f t="shared" si="19"/>
        <v>0</v>
      </c>
      <c r="BG40" s="11">
        <f t="shared" si="19"/>
        <v>0</v>
      </c>
      <c r="BH40" s="11">
        <f t="shared" si="19"/>
        <v>0</v>
      </c>
      <c r="BI40" s="11">
        <f t="shared" si="19"/>
        <v>0</v>
      </c>
      <c r="BJ40" s="11">
        <f t="shared" si="19"/>
        <v>0</v>
      </c>
      <c r="BK40" s="11">
        <f t="shared" si="19"/>
        <v>0</v>
      </c>
      <c r="BL40" s="11">
        <f t="shared" si="19"/>
        <v>0</v>
      </c>
      <c r="BM40" s="11">
        <f t="shared" si="19"/>
        <v>0</v>
      </c>
      <c r="BN40" s="11">
        <f t="shared" si="19"/>
        <v>0</v>
      </c>
      <c r="BO40" s="11">
        <f t="shared" si="19"/>
        <v>0</v>
      </c>
      <c r="BP40" s="11">
        <f t="shared" ref="BP40:CZ40" si="20">SUMPRODUCT($B38:$B39,BP38:BP39)</f>
        <v>0</v>
      </c>
      <c r="BQ40" s="11">
        <f t="shared" si="20"/>
        <v>0</v>
      </c>
      <c r="BR40" s="11">
        <f t="shared" si="20"/>
        <v>0</v>
      </c>
      <c r="BS40" s="11">
        <f t="shared" si="20"/>
        <v>0</v>
      </c>
      <c r="BT40" s="11">
        <f t="shared" si="20"/>
        <v>0</v>
      </c>
      <c r="BU40" s="11">
        <f t="shared" si="20"/>
        <v>0</v>
      </c>
      <c r="BV40" s="11">
        <f t="shared" si="20"/>
        <v>0</v>
      </c>
      <c r="BW40" s="11">
        <f t="shared" si="20"/>
        <v>0</v>
      </c>
      <c r="BX40" s="11">
        <f t="shared" si="20"/>
        <v>0</v>
      </c>
      <c r="BY40" s="11">
        <f t="shared" si="20"/>
        <v>0</v>
      </c>
      <c r="BZ40" s="11">
        <f t="shared" si="20"/>
        <v>0</v>
      </c>
      <c r="CA40" s="11">
        <f t="shared" si="20"/>
        <v>0</v>
      </c>
      <c r="CB40" s="11">
        <f t="shared" si="20"/>
        <v>0</v>
      </c>
      <c r="CC40" s="11">
        <f t="shared" si="20"/>
        <v>0</v>
      </c>
      <c r="CD40" s="11">
        <f t="shared" si="20"/>
        <v>0</v>
      </c>
      <c r="CE40" s="11">
        <f t="shared" si="20"/>
        <v>0</v>
      </c>
      <c r="CF40" s="11">
        <f t="shared" si="20"/>
        <v>0</v>
      </c>
      <c r="CG40" s="11">
        <f t="shared" si="20"/>
        <v>0</v>
      </c>
      <c r="CH40" s="11">
        <f t="shared" si="20"/>
        <v>0</v>
      </c>
      <c r="CI40" s="11">
        <f t="shared" si="20"/>
        <v>0</v>
      </c>
      <c r="CJ40" s="11">
        <f t="shared" si="20"/>
        <v>0</v>
      </c>
      <c r="CK40" s="11">
        <f t="shared" si="20"/>
        <v>0</v>
      </c>
      <c r="CL40" s="11">
        <f t="shared" si="20"/>
        <v>0</v>
      </c>
      <c r="CM40" s="11">
        <f t="shared" si="20"/>
        <v>0</v>
      </c>
      <c r="CN40" s="11">
        <f t="shared" si="20"/>
        <v>0</v>
      </c>
      <c r="CO40" s="11">
        <f t="shared" si="20"/>
        <v>0</v>
      </c>
      <c r="CP40" s="11">
        <f t="shared" si="20"/>
        <v>0</v>
      </c>
      <c r="CQ40" s="11">
        <f t="shared" si="20"/>
        <v>0</v>
      </c>
      <c r="CR40" s="11">
        <f t="shared" si="20"/>
        <v>0</v>
      </c>
      <c r="CS40" s="11">
        <f t="shared" si="20"/>
        <v>0</v>
      </c>
      <c r="CT40" s="11">
        <f t="shared" si="20"/>
        <v>0</v>
      </c>
      <c r="CU40" s="11">
        <f t="shared" si="20"/>
        <v>0</v>
      </c>
      <c r="CV40" s="11">
        <f t="shared" si="20"/>
        <v>0</v>
      </c>
      <c r="CW40" s="11">
        <f t="shared" si="20"/>
        <v>0</v>
      </c>
      <c r="CX40" s="11">
        <f t="shared" si="20"/>
        <v>0</v>
      </c>
      <c r="CY40" s="11">
        <f t="shared" si="20"/>
        <v>0</v>
      </c>
      <c r="CZ40" s="11">
        <f t="shared" si="20"/>
        <v>0</v>
      </c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</row>
    <row r="41" spans="1:122" ht="18" customHeight="1">
      <c r="A41" s="13" t="s">
        <v>29</v>
      </c>
      <c r="B41" s="14">
        <f>IFERROR(VLOOKUP(A41,PRICELIST!$A$3:$D$138,4,0),"-")</f>
        <v>78.790000000000006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9">
        <f t="shared" ref="CY41:CZ46" si="21">C41+E41+G41+I41+K41+M41+O41+Q41+S41+U41+W41+Y41+AA41+AC41+AE41+AG41+AI41+AK41+AM41+AO41+AQ41+AS41+AU41+AW41+AY41+BA41+BC41+BE41+BG41+BI41+BK41+BM41+BO41+BQ41+BS41+BU41+BW41+BY41+CA41+CC41+CE41+CG41+CI41+CK41+CM41+CO41+CQ41+CS41+CU41+CW41</f>
        <v>0</v>
      </c>
      <c r="CZ41" s="19">
        <f t="shared" si="21"/>
        <v>0</v>
      </c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</row>
    <row r="42" spans="1:122" ht="18" customHeight="1">
      <c r="A42" s="13" t="s">
        <v>30</v>
      </c>
      <c r="B42" s="14">
        <f>IFERROR(VLOOKUP(A42,PRICELIST!$A$3:$D$138,4,0),"-")</f>
        <v>142.29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9">
        <f t="shared" si="21"/>
        <v>0</v>
      </c>
      <c r="CZ42" s="19">
        <f t="shared" si="21"/>
        <v>0</v>
      </c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</row>
    <row r="43" spans="1:122" ht="18" customHeight="1">
      <c r="A43" s="13" t="s">
        <v>31</v>
      </c>
      <c r="B43" s="14">
        <f>IFERROR(VLOOKUP(A43,PRICELIST!$A$3:$D$138,4,0),"-")</f>
        <v>35.36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9">
        <f t="shared" si="21"/>
        <v>0</v>
      </c>
      <c r="CZ43" s="19">
        <f t="shared" si="21"/>
        <v>0</v>
      </c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</row>
    <row r="44" spans="1:122" ht="18" customHeight="1">
      <c r="A44" s="13" t="s">
        <v>32</v>
      </c>
      <c r="B44" s="14">
        <f>IFERROR(VLOOKUP(A44,PRICELIST!$A$3:$D$138,4,0),"-")</f>
        <v>175.18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9">
        <f t="shared" si="21"/>
        <v>0</v>
      </c>
      <c r="CZ44" s="19">
        <f t="shared" si="21"/>
        <v>0</v>
      </c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</row>
    <row r="45" spans="1:122" ht="18" customHeight="1">
      <c r="A45" s="13" t="s">
        <v>33</v>
      </c>
      <c r="B45" s="14">
        <f>IFERROR(VLOOKUP(A45,PRICELIST!$A$3:$D$138,4,0),"-")</f>
        <v>42.72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9">
        <f t="shared" si="21"/>
        <v>0</v>
      </c>
      <c r="CZ45" s="19">
        <f t="shared" si="21"/>
        <v>0</v>
      </c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</row>
    <row r="46" spans="1:122" ht="18" customHeight="1">
      <c r="A46" s="13" t="s">
        <v>34</v>
      </c>
      <c r="B46" s="14">
        <f>IFERROR(VLOOKUP(A46,PRICELIST!$A$3:$D$138,4,0),"-")</f>
        <v>84.28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9">
        <f t="shared" si="21"/>
        <v>0</v>
      </c>
      <c r="CZ46" s="19">
        <f t="shared" si="21"/>
        <v>0</v>
      </c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</row>
    <row r="47" spans="1:122" ht="18" customHeight="1">
      <c r="A47" s="9" t="s">
        <v>35</v>
      </c>
      <c r="B47" s="10"/>
      <c r="C47" s="11">
        <f>SUMPRODUCT($B41:$B46,C41:C46)</f>
        <v>0</v>
      </c>
      <c r="D47" s="11">
        <f t="shared" ref="D47:BO47" si="22">SUMPRODUCT($B41:$B46,D41:D46)</f>
        <v>0</v>
      </c>
      <c r="E47" s="11">
        <f t="shared" si="22"/>
        <v>0</v>
      </c>
      <c r="F47" s="11">
        <f t="shared" si="22"/>
        <v>0</v>
      </c>
      <c r="G47" s="11">
        <f t="shared" si="22"/>
        <v>0</v>
      </c>
      <c r="H47" s="11">
        <f t="shared" si="22"/>
        <v>0</v>
      </c>
      <c r="I47" s="11">
        <f t="shared" si="22"/>
        <v>0</v>
      </c>
      <c r="J47" s="11">
        <f t="shared" si="22"/>
        <v>0</v>
      </c>
      <c r="K47" s="11">
        <f t="shared" si="22"/>
        <v>0</v>
      </c>
      <c r="L47" s="11">
        <f t="shared" si="22"/>
        <v>0</v>
      </c>
      <c r="M47" s="11">
        <f t="shared" si="22"/>
        <v>0</v>
      </c>
      <c r="N47" s="11">
        <f t="shared" si="22"/>
        <v>0</v>
      </c>
      <c r="O47" s="11">
        <f t="shared" si="22"/>
        <v>0</v>
      </c>
      <c r="P47" s="11">
        <f t="shared" si="22"/>
        <v>0</v>
      </c>
      <c r="Q47" s="11">
        <f t="shared" si="22"/>
        <v>0</v>
      </c>
      <c r="R47" s="11">
        <f t="shared" si="22"/>
        <v>0</v>
      </c>
      <c r="S47" s="11">
        <f t="shared" si="22"/>
        <v>0</v>
      </c>
      <c r="T47" s="11">
        <f t="shared" si="22"/>
        <v>0</v>
      </c>
      <c r="U47" s="11">
        <f t="shared" si="22"/>
        <v>0</v>
      </c>
      <c r="V47" s="11">
        <f t="shared" si="22"/>
        <v>0</v>
      </c>
      <c r="W47" s="11">
        <f t="shared" si="22"/>
        <v>0</v>
      </c>
      <c r="X47" s="11">
        <f t="shared" si="22"/>
        <v>0</v>
      </c>
      <c r="Y47" s="11">
        <f t="shared" si="22"/>
        <v>0</v>
      </c>
      <c r="Z47" s="11">
        <f t="shared" si="22"/>
        <v>0</v>
      </c>
      <c r="AA47" s="11">
        <f t="shared" si="22"/>
        <v>0</v>
      </c>
      <c r="AB47" s="11">
        <f t="shared" si="22"/>
        <v>0</v>
      </c>
      <c r="AC47" s="11">
        <f t="shared" si="22"/>
        <v>0</v>
      </c>
      <c r="AD47" s="11">
        <f t="shared" si="22"/>
        <v>0</v>
      </c>
      <c r="AE47" s="11">
        <f t="shared" si="22"/>
        <v>0</v>
      </c>
      <c r="AF47" s="11">
        <f t="shared" si="22"/>
        <v>0</v>
      </c>
      <c r="AG47" s="11">
        <f t="shared" si="22"/>
        <v>0</v>
      </c>
      <c r="AH47" s="11">
        <f t="shared" si="22"/>
        <v>0</v>
      </c>
      <c r="AI47" s="11">
        <f t="shared" si="22"/>
        <v>0</v>
      </c>
      <c r="AJ47" s="11">
        <f t="shared" si="22"/>
        <v>0</v>
      </c>
      <c r="AK47" s="11">
        <f t="shared" si="22"/>
        <v>0</v>
      </c>
      <c r="AL47" s="11">
        <f t="shared" si="22"/>
        <v>0</v>
      </c>
      <c r="AM47" s="11">
        <f t="shared" si="22"/>
        <v>0</v>
      </c>
      <c r="AN47" s="11">
        <f t="shared" si="22"/>
        <v>0</v>
      </c>
      <c r="AO47" s="11">
        <f t="shared" si="22"/>
        <v>0</v>
      </c>
      <c r="AP47" s="11">
        <f t="shared" si="22"/>
        <v>0</v>
      </c>
      <c r="AQ47" s="11">
        <f t="shared" si="22"/>
        <v>0</v>
      </c>
      <c r="AR47" s="11">
        <f t="shared" si="22"/>
        <v>0</v>
      </c>
      <c r="AS47" s="11">
        <f t="shared" si="22"/>
        <v>0</v>
      </c>
      <c r="AT47" s="11">
        <f t="shared" si="22"/>
        <v>0</v>
      </c>
      <c r="AU47" s="11">
        <f t="shared" si="22"/>
        <v>0</v>
      </c>
      <c r="AV47" s="11">
        <f t="shared" si="22"/>
        <v>0</v>
      </c>
      <c r="AW47" s="11">
        <f t="shared" si="22"/>
        <v>0</v>
      </c>
      <c r="AX47" s="11">
        <f t="shared" si="22"/>
        <v>0</v>
      </c>
      <c r="AY47" s="11">
        <f t="shared" si="22"/>
        <v>0</v>
      </c>
      <c r="AZ47" s="11">
        <f t="shared" si="22"/>
        <v>0</v>
      </c>
      <c r="BA47" s="11">
        <f t="shared" si="22"/>
        <v>0</v>
      </c>
      <c r="BB47" s="11">
        <f t="shared" si="22"/>
        <v>0</v>
      </c>
      <c r="BC47" s="11">
        <f t="shared" si="22"/>
        <v>0</v>
      </c>
      <c r="BD47" s="11">
        <f t="shared" si="22"/>
        <v>0</v>
      </c>
      <c r="BE47" s="11">
        <f t="shared" si="22"/>
        <v>0</v>
      </c>
      <c r="BF47" s="11">
        <f t="shared" si="22"/>
        <v>0</v>
      </c>
      <c r="BG47" s="11">
        <f t="shared" si="22"/>
        <v>0</v>
      </c>
      <c r="BH47" s="11">
        <f t="shared" si="22"/>
        <v>0</v>
      </c>
      <c r="BI47" s="11">
        <f t="shared" si="22"/>
        <v>0</v>
      </c>
      <c r="BJ47" s="11">
        <f t="shared" si="22"/>
        <v>0</v>
      </c>
      <c r="BK47" s="11">
        <f t="shared" si="22"/>
        <v>0</v>
      </c>
      <c r="BL47" s="11">
        <f t="shared" si="22"/>
        <v>0</v>
      </c>
      <c r="BM47" s="11">
        <f t="shared" si="22"/>
        <v>0</v>
      </c>
      <c r="BN47" s="11">
        <f t="shared" si="22"/>
        <v>0</v>
      </c>
      <c r="BO47" s="11">
        <f t="shared" si="22"/>
        <v>0</v>
      </c>
      <c r="BP47" s="11">
        <f t="shared" ref="BP47:CZ47" si="23">SUMPRODUCT($B41:$B46,BP41:BP46)</f>
        <v>0</v>
      </c>
      <c r="BQ47" s="11">
        <f t="shared" si="23"/>
        <v>0</v>
      </c>
      <c r="BR47" s="11">
        <f t="shared" si="23"/>
        <v>0</v>
      </c>
      <c r="BS47" s="11">
        <f t="shared" si="23"/>
        <v>0</v>
      </c>
      <c r="BT47" s="11">
        <f t="shared" si="23"/>
        <v>0</v>
      </c>
      <c r="BU47" s="11">
        <f t="shared" si="23"/>
        <v>0</v>
      </c>
      <c r="BV47" s="11">
        <f t="shared" si="23"/>
        <v>0</v>
      </c>
      <c r="BW47" s="11">
        <f t="shared" si="23"/>
        <v>0</v>
      </c>
      <c r="BX47" s="11">
        <f t="shared" si="23"/>
        <v>0</v>
      </c>
      <c r="BY47" s="11">
        <f t="shared" si="23"/>
        <v>0</v>
      </c>
      <c r="BZ47" s="11">
        <f t="shared" si="23"/>
        <v>0</v>
      </c>
      <c r="CA47" s="11">
        <f t="shared" si="23"/>
        <v>0</v>
      </c>
      <c r="CB47" s="11">
        <f t="shared" si="23"/>
        <v>0</v>
      </c>
      <c r="CC47" s="11">
        <f t="shared" si="23"/>
        <v>0</v>
      </c>
      <c r="CD47" s="11">
        <f t="shared" si="23"/>
        <v>0</v>
      </c>
      <c r="CE47" s="11">
        <f t="shared" si="23"/>
        <v>0</v>
      </c>
      <c r="CF47" s="11">
        <f t="shared" si="23"/>
        <v>0</v>
      </c>
      <c r="CG47" s="11">
        <f t="shared" si="23"/>
        <v>0</v>
      </c>
      <c r="CH47" s="11">
        <f t="shared" si="23"/>
        <v>0</v>
      </c>
      <c r="CI47" s="11">
        <f t="shared" si="23"/>
        <v>0</v>
      </c>
      <c r="CJ47" s="11">
        <f t="shared" si="23"/>
        <v>0</v>
      </c>
      <c r="CK47" s="11">
        <f t="shared" si="23"/>
        <v>0</v>
      </c>
      <c r="CL47" s="11">
        <f t="shared" si="23"/>
        <v>0</v>
      </c>
      <c r="CM47" s="11">
        <f t="shared" si="23"/>
        <v>0</v>
      </c>
      <c r="CN47" s="11">
        <f t="shared" si="23"/>
        <v>0</v>
      </c>
      <c r="CO47" s="11">
        <f t="shared" si="23"/>
        <v>0</v>
      </c>
      <c r="CP47" s="11">
        <f t="shared" si="23"/>
        <v>0</v>
      </c>
      <c r="CQ47" s="11">
        <f t="shared" si="23"/>
        <v>0</v>
      </c>
      <c r="CR47" s="11">
        <f t="shared" si="23"/>
        <v>0</v>
      </c>
      <c r="CS47" s="11">
        <f t="shared" si="23"/>
        <v>0</v>
      </c>
      <c r="CT47" s="11">
        <f t="shared" si="23"/>
        <v>0</v>
      </c>
      <c r="CU47" s="11">
        <f t="shared" si="23"/>
        <v>0</v>
      </c>
      <c r="CV47" s="11">
        <f t="shared" si="23"/>
        <v>0</v>
      </c>
      <c r="CW47" s="11">
        <f t="shared" si="23"/>
        <v>0</v>
      </c>
      <c r="CX47" s="11">
        <f t="shared" si="23"/>
        <v>0</v>
      </c>
      <c r="CY47" s="11">
        <f t="shared" si="23"/>
        <v>0</v>
      </c>
      <c r="CZ47" s="11">
        <f t="shared" si="23"/>
        <v>0</v>
      </c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</row>
    <row r="48" spans="1:122" ht="18" customHeight="1">
      <c r="A48" s="4" t="s">
        <v>81</v>
      </c>
      <c r="B48" s="14">
        <f>IFERROR(VLOOKUP(A48,PRICELIST!$A$3:$D$138,4,0),"-")</f>
        <v>201.26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9">
        <f t="shared" ref="CY48:CZ48" si="24">C48+E48+G48+I48+K48+M48+O48+Q48+S48+U48+W48+Y48+AA48+AC48+AE48+AG48+AI48+AK48+AM48+AO48+AQ48+AS48+AU48+AW48+AY48+BA48+BC48+BE48+BG48+BI48+BK48+BM48+BO48+BQ48+BS48+BU48+BW48+BY48+CA48+CC48+CE48+CG48+CI48+CK48+CM48+CO48+CQ48+CS48+CU48+CW48</f>
        <v>0</v>
      </c>
      <c r="CZ48" s="19">
        <f t="shared" si="24"/>
        <v>0</v>
      </c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</row>
    <row r="49" spans="1:122" ht="18" customHeight="1">
      <c r="A49" s="9" t="s">
        <v>77</v>
      </c>
      <c r="B49" s="15"/>
      <c r="C49" s="11">
        <f>SUMPRODUCT($B48*C48)</f>
        <v>0</v>
      </c>
      <c r="D49" s="11">
        <f t="shared" ref="D49:BO49" si="25">SUMPRODUCT($B48*D48)</f>
        <v>0</v>
      </c>
      <c r="E49" s="11">
        <f t="shared" si="25"/>
        <v>0</v>
      </c>
      <c r="F49" s="11">
        <f t="shared" si="25"/>
        <v>0</v>
      </c>
      <c r="G49" s="11">
        <f t="shared" si="25"/>
        <v>0</v>
      </c>
      <c r="H49" s="11">
        <f t="shared" si="25"/>
        <v>0</v>
      </c>
      <c r="I49" s="11">
        <f t="shared" si="25"/>
        <v>0</v>
      </c>
      <c r="J49" s="11">
        <f t="shared" si="25"/>
        <v>0</v>
      </c>
      <c r="K49" s="11">
        <f t="shared" si="25"/>
        <v>0</v>
      </c>
      <c r="L49" s="11">
        <f t="shared" si="25"/>
        <v>0</v>
      </c>
      <c r="M49" s="11">
        <f t="shared" si="25"/>
        <v>0</v>
      </c>
      <c r="N49" s="11">
        <f t="shared" si="25"/>
        <v>0</v>
      </c>
      <c r="O49" s="11">
        <f t="shared" si="25"/>
        <v>0</v>
      </c>
      <c r="P49" s="11">
        <f t="shared" si="25"/>
        <v>0</v>
      </c>
      <c r="Q49" s="11">
        <f t="shared" si="25"/>
        <v>0</v>
      </c>
      <c r="R49" s="11">
        <f t="shared" si="25"/>
        <v>0</v>
      </c>
      <c r="S49" s="11">
        <f t="shared" si="25"/>
        <v>0</v>
      </c>
      <c r="T49" s="11">
        <f t="shared" si="25"/>
        <v>0</v>
      </c>
      <c r="U49" s="11">
        <f t="shared" si="25"/>
        <v>0</v>
      </c>
      <c r="V49" s="11">
        <f t="shared" si="25"/>
        <v>0</v>
      </c>
      <c r="W49" s="11">
        <f t="shared" si="25"/>
        <v>0</v>
      </c>
      <c r="X49" s="11">
        <f t="shared" si="25"/>
        <v>0</v>
      </c>
      <c r="Y49" s="11">
        <f t="shared" si="25"/>
        <v>0</v>
      </c>
      <c r="Z49" s="11">
        <f t="shared" si="25"/>
        <v>0</v>
      </c>
      <c r="AA49" s="11">
        <f t="shared" si="25"/>
        <v>0</v>
      </c>
      <c r="AB49" s="11">
        <f t="shared" si="25"/>
        <v>0</v>
      </c>
      <c r="AC49" s="11">
        <f t="shared" si="25"/>
        <v>0</v>
      </c>
      <c r="AD49" s="11">
        <f t="shared" si="25"/>
        <v>0</v>
      </c>
      <c r="AE49" s="11">
        <f t="shared" si="25"/>
        <v>0</v>
      </c>
      <c r="AF49" s="11">
        <f t="shared" si="25"/>
        <v>0</v>
      </c>
      <c r="AG49" s="11">
        <f t="shared" si="25"/>
        <v>0</v>
      </c>
      <c r="AH49" s="11">
        <f t="shared" si="25"/>
        <v>0</v>
      </c>
      <c r="AI49" s="11">
        <f t="shared" si="25"/>
        <v>0</v>
      </c>
      <c r="AJ49" s="11">
        <f t="shared" si="25"/>
        <v>0</v>
      </c>
      <c r="AK49" s="11">
        <f t="shared" si="25"/>
        <v>0</v>
      </c>
      <c r="AL49" s="11">
        <f t="shared" si="25"/>
        <v>0</v>
      </c>
      <c r="AM49" s="11">
        <f t="shared" si="25"/>
        <v>0</v>
      </c>
      <c r="AN49" s="11">
        <f t="shared" si="25"/>
        <v>0</v>
      </c>
      <c r="AO49" s="11">
        <f t="shared" si="25"/>
        <v>0</v>
      </c>
      <c r="AP49" s="11">
        <f t="shared" si="25"/>
        <v>0</v>
      </c>
      <c r="AQ49" s="11">
        <f t="shared" si="25"/>
        <v>0</v>
      </c>
      <c r="AR49" s="11">
        <f t="shared" si="25"/>
        <v>0</v>
      </c>
      <c r="AS49" s="11">
        <f t="shared" si="25"/>
        <v>0</v>
      </c>
      <c r="AT49" s="11">
        <f t="shared" si="25"/>
        <v>0</v>
      </c>
      <c r="AU49" s="11">
        <f t="shared" si="25"/>
        <v>0</v>
      </c>
      <c r="AV49" s="11">
        <f t="shared" si="25"/>
        <v>0</v>
      </c>
      <c r="AW49" s="11">
        <f t="shared" si="25"/>
        <v>0</v>
      </c>
      <c r="AX49" s="11">
        <f t="shared" si="25"/>
        <v>0</v>
      </c>
      <c r="AY49" s="11">
        <f t="shared" si="25"/>
        <v>0</v>
      </c>
      <c r="AZ49" s="11">
        <f t="shared" si="25"/>
        <v>0</v>
      </c>
      <c r="BA49" s="11">
        <f t="shared" si="25"/>
        <v>0</v>
      </c>
      <c r="BB49" s="11">
        <f t="shared" si="25"/>
        <v>0</v>
      </c>
      <c r="BC49" s="11">
        <f t="shared" si="25"/>
        <v>0</v>
      </c>
      <c r="BD49" s="11">
        <f t="shared" si="25"/>
        <v>0</v>
      </c>
      <c r="BE49" s="11">
        <f t="shared" si="25"/>
        <v>0</v>
      </c>
      <c r="BF49" s="11">
        <f t="shared" si="25"/>
        <v>0</v>
      </c>
      <c r="BG49" s="11">
        <f t="shared" si="25"/>
        <v>0</v>
      </c>
      <c r="BH49" s="11">
        <f t="shared" si="25"/>
        <v>0</v>
      </c>
      <c r="BI49" s="11">
        <f t="shared" si="25"/>
        <v>0</v>
      </c>
      <c r="BJ49" s="11">
        <f t="shared" si="25"/>
        <v>0</v>
      </c>
      <c r="BK49" s="11">
        <f t="shared" si="25"/>
        <v>0</v>
      </c>
      <c r="BL49" s="11">
        <f t="shared" si="25"/>
        <v>0</v>
      </c>
      <c r="BM49" s="11">
        <f t="shared" si="25"/>
        <v>0</v>
      </c>
      <c r="BN49" s="11">
        <f t="shared" si="25"/>
        <v>0</v>
      </c>
      <c r="BO49" s="11">
        <f t="shared" si="25"/>
        <v>0</v>
      </c>
      <c r="BP49" s="11">
        <f t="shared" ref="BP49:CZ49" si="26">SUMPRODUCT($B48*BP48)</f>
        <v>0</v>
      </c>
      <c r="BQ49" s="11">
        <f t="shared" si="26"/>
        <v>0</v>
      </c>
      <c r="BR49" s="11">
        <f t="shared" si="26"/>
        <v>0</v>
      </c>
      <c r="BS49" s="11">
        <f t="shared" si="26"/>
        <v>0</v>
      </c>
      <c r="BT49" s="11">
        <f t="shared" si="26"/>
        <v>0</v>
      </c>
      <c r="BU49" s="11">
        <f t="shared" si="26"/>
        <v>0</v>
      </c>
      <c r="BV49" s="11">
        <f t="shared" si="26"/>
        <v>0</v>
      </c>
      <c r="BW49" s="11">
        <f t="shared" si="26"/>
        <v>0</v>
      </c>
      <c r="BX49" s="11">
        <f t="shared" si="26"/>
        <v>0</v>
      </c>
      <c r="BY49" s="11">
        <f t="shared" si="26"/>
        <v>0</v>
      </c>
      <c r="BZ49" s="11">
        <f t="shared" si="26"/>
        <v>0</v>
      </c>
      <c r="CA49" s="11">
        <f t="shared" si="26"/>
        <v>0</v>
      </c>
      <c r="CB49" s="11">
        <f t="shared" si="26"/>
        <v>0</v>
      </c>
      <c r="CC49" s="11">
        <f t="shared" si="26"/>
        <v>0</v>
      </c>
      <c r="CD49" s="11">
        <f t="shared" si="26"/>
        <v>0</v>
      </c>
      <c r="CE49" s="11">
        <f t="shared" si="26"/>
        <v>0</v>
      </c>
      <c r="CF49" s="11">
        <f t="shared" si="26"/>
        <v>0</v>
      </c>
      <c r="CG49" s="11">
        <f t="shared" si="26"/>
        <v>0</v>
      </c>
      <c r="CH49" s="11">
        <f t="shared" si="26"/>
        <v>0</v>
      </c>
      <c r="CI49" s="11">
        <f t="shared" si="26"/>
        <v>0</v>
      </c>
      <c r="CJ49" s="11">
        <f t="shared" si="26"/>
        <v>0</v>
      </c>
      <c r="CK49" s="11">
        <f t="shared" si="26"/>
        <v>0</v>
      </c>
      <c r="CL49" s="11">
        <f t="shared" si="26"/>
        <v>0</v>
      </c>
      <c r="CM49" s="11">
        <f t="shared" si="26"/>
        <v>0</v>
      </c>
      <c r="CN49" s="11">
        <f t="shared" si="26"/>
        <v>0</v>
      </c>
      <c r="CO49" s="11">
        <f t="shared" si="26"/>
        <v>0</v>
      </c>
      <c r="CP49" s="11">
        <f t="shared" si="26"/>
        <v>0</v>
      </c>
      <c r="CQ49" s="11">
        <f t="shared" si="26"/>
        <v>0</v>
      </c>
      <c r="CR49" s="11">
        <f t="shared" si="26"/>
        <v>0</v>
      </c>
      <c r="CS49" s="11">
        <f t="shared" si="26"/>
        <v>0</v>
      </c>
      <c r="CT49" s="11">
        <f t="shared" si="26"/>
        <v>0</v>
      </c>
      <c r="CU49" s="11">
        <f t="shared" si="26"/>
        <v>0</v>
      </c>
      <c r="CV49" s="11">
        <f t="shared" si="26"/>
        <v>0</v>
      </c>
      <c r="CW49" s="11">
        <f t="shared" si="26"/>
        <v>0</v>
      </c>
      <c r="CX49" s="11">
        <f t="shared" si="26"/>
        <v>0</v>
      </c>
      <c r="CY49" s="11">
        <f t="shared" si="26"/>
        <v>0</v>
      </c>
      <c r="CZ49" s="11">
        <f t="shared" si="26"/>
        <v>0</v>
      </c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</row>
    <row r="50" spans="1:122" ht="18" customHeight="1">
      <c r="A50" s="4" t="s">
        <v>82</v>
      </c>
      <c r="B50" s="14">
        <f>IFERROR(VLOOKUP(A50,PRICELIST!$A$3:$D$138,4,0),"-")</f>
        <v>170.19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9">
        <f t="shared" ref="CY50:CZ52" si="27">C50+E50+G50+I50+K50+M50+O50+Q50+S50+U50+W50+Y50+AA50+AC50+AE50+AG50+AI50+AK50+AM50+AO50+AQ50+AS50+AU50+AW50+AY50+BA50+BC50+BE50+BG50+BI50+BK50+BM50+BO50+BQ50+BS50+BU50+BW50+BY50+CA50+CC50+CE50+CG50+CI50+CK50+CM50+CO50+CQ50+CS50+CU50+CW50</f>
        <v>0</v>
      </c>
      <c r="CZ50" s="19">
        <f t="shared" si="27"/>
        <v>0</v>
      </c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</row>
    <row r="51" spans="1:122" ht="18" customHeight="1">
      <c r="A51" s="4" t="s">
        <v>83</v>
      </c>
      <c r="B51" s="14">
        <f>IFERROR(VLOOKUP(A51,PRICELIST!$A$3:$D$138,4,0),"-")</f>
        <v>209.89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9">
        <f t="shared" si="27"/>
        <v>0</v>
      </c>
      <c r="CZ51" s="19">
        <f t="shared" si="27"/>
        <v>0</v>
      </c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</row>
    <row r="52" spans="1:122" ht="18" customHeight="1">
      <c r="A52" s="4" t="s">
        <v>84</v>
      </c>
      <c r="B52" s="14">
        <f>IFERROR(VLOOKUP(A52,PRICELIST!$A$3:$D$138,4,0),"-")</f>
        <v>302.79000000000002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9">
        <f t="shared" si="27"/>
        <v>0</v>
      </c>
      <c r="CZ52" s="19">
        <f t="shared" si="27"/>
        <v>0</v>
      </c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</row>
    <row r="53" spans="1:122" ht="18" customHeight="1">
      <c r="A53" s="9" t="s">
        <v>89</v>
      </c>
      <c r="B53" s="15"/>
      <c r="C53" s="11">
        <f>SUMPRODUCT($B50:$B52,C50:C52)</f>
        <v>0</v>
      </c>
      <c r="D53" s="11">
        <f t="shared" ref="D53:BO53" si="28">SUMPRODUCT($B50:$B52,D50:D52)</f>
        <v>0</v>
      </c>
      <c r="E53" s="11">
        <f t="shared" si="28"/>
        <v>0</v>
      </c>
      <c r="F53" s="11">
        <f t="shared" si="28"/>
        <v>0</v>
      </c>
      <c r="G53" s="11">
        <f t="shared" si="28"/>
        <v>0</v>
      </c>
      <c r="H53" s="11">
        <f t="shared" si="28"/>
        <v>0</v>
      </c>
      <c r="I53" s="11">
        <f t="shared" si="28"/>
        <v>0</v>
      </c>
      <c r="J53" s="11">
        <f t="shared" si="28"/>
        <v>0</v>
      </c>
      <c r="K53" s="11">
        <f t="shared" si="28"/>
        <v>0</v>
      </c>
      <c r="L53" s="11">
        <f t="shared" si="28"/>
        <v>0</v>
      </c>
      <c r="M53" s="11">
        <f t="shared" si="28"/>
        <v>0</v>
      </c>
      <c r="N53" s="11">
        <f t="shared" si="28"/>
        <v>0</v>
      </c>
      <c r="O53" s="11">
        <f t="shared" si="28"/>
        <v>0</v>
      </c>
      <c r="P53" s="11">
        <f t="shared" si="28"/>
        <v>0</v>
      </c>
      <c r="Q53" s="11">
        <f t="shared" si="28"/>
        <v>0</v>
      </c>
      <c r="R53" s="11">
        <f t="shared" si="28"/>
        <v>0</v>
      </c>
      <c r="S53" s="11">
        <f t="shared" si="28"/>
        <v>0</v>
      </c>
      <c r="T53" s="11">
        <f t="shared" si="28"/>
        <v>0</v>
      </c>
      <c r="U53" s="11">
        <f t="shared" si="28"/>
        <v>0</v>
      </c>
      <c r="V53" s="11">
        <f t="shared" si="28"/>
        <v>0</v>
      </c>
      <c r="W53" s="11">
        <f t="shared" si="28"/>
        <v>0</v>
      </c>
      <c r="X53" s="11">
        <f t="shared" si="28"/>
        <v>0</v>
      </c>
      <c r="Y53" s="11">
        <f t="shared" si="28"/>
        <v>0</v>
      </c>
      <c r="Z53" s="11">
        <f t="shared" si="28"/>
        <v>0</v>
      </c>
      <c r="AA53" s="11">
        <f t="shared" si="28"/>
        <v>0</v>
      </c>
      <c r="AB53" s="11">
        <f t="shared" si="28"/>
        <v>0</v>
      </c>
      <c r="AC53" s="11">
        <f t="shared" si="28"/>
        <v>0</v>
      </c>
      <c r="AD53" s="11">
        <f t="shared" si="28"/>
        <v>0</v>
      </c>
      <c r="AE53" s="11">
        <f t="shared" si="28"/>
        <v>0</v>
      </c>
      <c r="AF53" s="11">
        <f t="shared" si="28"/>
        <v>0</v>
      </c>
      <c r="AG53" s="11">
        <f t="shared" si="28"/>
        <v>0</v>
      </c>
      <c r="AH53" s="11">
        <f t="shared" si="28"/>
        <v>0</v>
      </c>
      <c r="AI53" s="11">
        <f t="shared" si="28"/>
        <v>0</v>
      </c>
      <c r="AJ53" s="11">
        <f t="shared" si="28"/>
        <v>0</v>
      </c>
      <c r="AK53" s="11">
        <f t="shared" si="28"/>
        <v>0</v>
      </c>
      <c r="AL53" s="11">
        <f t="shared" si="28"/>
        <v>0</v>
      </c>
      <c r="AM53" s="11">
        <f t="shared" si="28"/>
        <v>0</v>
      </c>
      <c r="AN53" s="11">
        <f t="shared" si="28"/>
        <v>0</v>
      </c>
      <c r="AO53" s="11">
        <f t="shared" si="28"/>
        <v>0</v>
      </c>
      <c r="AP53" s="11">
        <f t="shared" si="28"/>
        <v>0</v>
      </c>
      <c r="AQ53" s="11">
        <f t="shared" si="28"/>
        <v>0</v>
      </c>
      <c r="AR53" s="11">
        <f t="shared" si="28"/>
        <v>0</v>
      </c>
      <c r="AS53" s="11">
        <f t="shared" si="28"/>
        <v>0</v>
      </c>
      <c r="AT53" s="11">
        <f t="shared" si="28"/>
        <v>0</v>
      </c>
      <c r="AU53" s="11">
        <f t="shared" si="28"/>
        <v>0</v>
      </c>
      <c r="AV53" s="11">
        <f t="shared" si="28"/>
        <v>0</v>
      </c>
      <c r="AW53" s="11">
        <f t="shared" si="28"/>
        <v>0</v>
      </c>
      <c r="AX53" s="11">
        <f t="shared" si="28"/>
        <v>0</v>
      </c>
      <c r="AY53" s="11">
        <f t="shared" si="28"/>
        <v>0</v>
      </c>
      <c r="AZ53" s="11">
        <f t="shared" si="28"/>
        <v>0</v>
      </c>
      <c r="BA53" s="11">
        <f t="shared" si="28"/>
        <v>0</v>
      </c>
      <c r="BB53" s="11">
        <f t="shared" si="28"/>
        <v>0</v>
      </c>
      <c r="BC53" s="11">
        <f t="shared" si="28"/>
        <v>0</v>
      </c>
      <c r="BD53" s="11">
        <f t="shared" si="28"/>
        <v>0</v>
      </c>
      <c r="BE53" s="11">
        <f t="shared" si="28"/>
        <v>0</v>
      </c>
      <c r="BF53" s="11">
        <f t="shared" si="28"/>
        <v>0</v>
      </c>
      <c r="BG53" s="11">
        <f t="shared" si="28"/>
        <v>0</v>
      </c>
      <c r="BH53" s="11">
        <f t="shared" si="28"/>
        <v>0</v>
      </c>
      <c r="BI53" s="11">
        <f t="shared" si="28"/>
        <v>0</v>
      </c>
      <c r="BJ53" s="11">
        <f t="shared" si="28"/>
        <v>0</v>
      </c>
      <c r="BK53" s="11">
        <f t="shared" si="28"/>
        <v>0</v>
      </c>
      <c r="BL53" s="11">
        <f t="shared" si="28"/>
        <v>0</v>
      </c>
      <c r="BM53" s="11">
        <f t="shared" si="28"/>
        <v>0</v>
      </c>
      <c r="BN53" s="11">
        <f t="shared" si="28"/>
        <v>0</v>
      </c>
      <c r="BO53" s="11">
        <f t="shared" si="28"/>
        <v>0</v>
      </c>
      <c r="BP53" s="11">
        <f t="shared" ref="BP53:CZ53" si="29">SUMPRODUCT($B50:$B52,BP50:BP52)</f>
        <v>0</v>
      </c>
      <c r="BQ53" s="11">
        <f t="shared" si="29"/>
        <v>0</v>
      </c>
      <c r="BR53" s="11">
        <f t="shared" si="29"/>
        <v>0</v>
      </c>
      <c r="BS53" s="11">
        <f t="shared" si="29"/>
        <v>0</v>
      </c>
      <c r="BT53" s="11">
        <f t="shared" si="29"/>
        <v>0</v>
      </c>
      <c r="BU53" s="11">
        <f t="shared" si="29"/>
        <v>0</v>
      </c>
      <c r="BV53" s="11">
        <f t="shared" si="29"/>
        <v>0</v>
      </c>
      <c r="BW53" s="11">
        <f t="shared" si="29"/>
        <v>0</v>
      </c>
      <c r="BX53" s="11">
        <f t="shared" si="29"/>
        <v>0</v>
      </c>
      <c r="BY53" s="11">
        <f t="shared" si="29"/>
        <v>0</v>
      </c>
      <c r="BZ53" s="11">
        <f t="shared" si="29"/>
        <v>0</v>
      </c>
      <c r="CA53" s="11">
        <f t="shared" si="29"/>
        <v>0</v>
      </c>
      <c r="CB53" s="11">
        <f t="shared" si="29"/>
        <v>0</v>
      </c>
      <c r="CC53" s="11">
        <f t="shared" si="29"/>
        <v>0</v>
      </c>
      <c r="CD53" s="11">
        <f t="shared" si="29"/>
        <v>0</v>
      </c>
      <c r="CE53" s="11">
        <f t="shared" si="29"/>
        <v>0</v>
      </c>
      <c r="CF53" s="11">
        <f t="shared" si="29"/>
        <v>0</v>
      </c>
      <c r="CG53" s="11">
        <f t="shared" si="29"/>
        <v>0</v>
      </c>
      <c r="CH53" s="11">
        <f t="shared" si="29"/>
        <v>0</v>
      </c>
      <c r="CI53" s="11">
        <f t="shared" si="29"/>
        <v>0</v>
      </c>
      <c r="CJ53" s="11">
        <f t="shared" si="29"/>
        <v>0</v>
      </c>
      <c r="CK53" s="11">
        <f t="shared" si="29"/>
        <v>0</v>
      </c>
      <c r="CL53" s="11">
        <f t="shared" si="29"/>
        <v>0</v>
      </c>
      <c r="CM53" s="11">
        <f t="shared" si="29"/>
        <v>0</v>
      </c>
      <c r="CN53" s="11">
        <f t="shared" si="29"/>
        <v>0</v>
      </c>
      <c r="CO53" s="11">
        <f t="shared" si="29"/>
        <v>0</v>
      </c>
      <c r="CP53" s="11">
        <f t="shared" si="29"/>
        <v>0</v>
      </c>
      <c r="CQ53" s="11">
        <f t="shared" si="29"/>
        <v>0</v>
      </c>
      <c r="CR53" s="11">
        <f t="shared" si="29"/>
        <v>0</v>
      </c>
      <c r="CS53" s="11">
        <f t="shared" si="29"/>
        <v>0</v>
      </c>
      <c r="CT53" s="11">
        <f t="shared" si="29"/>
        <v>0</v>
      </c>
      <c r="CU53" s="11">
        <f t="shared" si="29"/>
        <v>0</v>
      </c>
      <c r="CV53" s="11">
        <f t="shared" si="29"/>
        <v>0</v>
      </c>
      <c r="CW53" s="11">
        <f t="shared" si="29"/>
        <v>0</v>
      </c>
      <c r="CX53" s="11">
        <f t="shared" si="29"/>
        <v>0</v>
      </c>
      <c r="CY53" s="11">
        <f t="shared" si="29"/>
        <v>0</v>
      </c>
      <c r="CZ53" s="11">
        <f t="shared" si="29"/>
        <v>0</v>
      </c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</row>
    <row r="54" spans="1:122" ht="18" customHeight="1">
      <c r="A54" s="13" t="s">
        <v>36</v>
      </c>
      <c r="B54" s="14">
        <f>IFERROR(VLOOKUP(A54,PRICELIST!$A$3:$D$138,4,0),"-")</f>
        <v>508.18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9">
        <f t="shared" ref="CY54:CZ58" si="30">C54+E54+G54+I54+K54+M54+O54+Q54+S54+U54+W54+Y54+AA54+AC54+AE54+AG54+AI54+AK54+AM54+AO54+AQ54+AS54+AU54+AW54+AY54+BA54+BC54+BE54+BG54+BI54+BK54+BM54+BO54+BQ54+BS54+BU54+BW54+BY54+CA54+CC54+CE54+CG54+CI54+CK54+CM54+CO54+CQ54+CS54+CU54+CW54</f>
        <v>0</v>
      </c>
      <c r="CZ54" s="19">
        <f t="shared" si="30"/>
        <v>0</v>
      </c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</row>
    <row r="55" spans="1:122" ht="18" customHeight="1">
      <c r="A55" s="13" t="s">
        <v>37</v>
      </c>
      <c r="B55" s="14">
        <f>IFERROR(VLOOKUP(A55,PRICELIST!$A$3:$D$138,4,0),"-")</f>
        <v>115.71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9">
        <f t="shared" si="30"/>
        <v>0</v>
      </c>
      <c r="CZ55" s="19">
        <f t="shared" si="30"/>
        <v>0</v>
      </c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</row>
    <row r="56" spans="1:122" ht="18" customHeight="1">
      <c r="A56" s="13" t="s">
        <v>38</v>
      </c>
      <c r="B56" s="14">
        <f>IFERROR(VLOOKUP(A56,PRICELIST!$A$3:$D$138,4,0),"-")</f>
        <v>207.64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9">
        <f t="shared" si="30"/>
        <v>0</v>
      </c>
      <c r="CZ56" s="19">
        <f t="shared" si="30"/>
        <v>0</v>
      </c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</row>
    <row r="57" spans="1:122" ht="18" customHeight="1">
      <c r="A57" s="13" t="s">
        <v>39</v>
      </c>
      <c r="B57" s="14">
        <f>IFERROR(VLOOKUP(A57,PRICELIST!$A$3:$D$138,4,0),"-")</f>
        <v>576.96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9">
        <f t="shared" si="30"/>
        <v>0</v>
      </c>
      <c r="CZ57" s="19">
        <f t="shared" si="30"/>
        <v>0</v>
      </c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</row>
    <row r="58" spans="1:122" ht="18" customHeight="1">
      <c r="A58" s="13" t="s">
        <v>40</v>
      </c>
      <c r="B58" s="14">
        <f>IFERROR(VLOOKUP(A58,PRICELIST!$A$3:$D$138,4,0),"-")</f>
        <v>635.30999999999995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9">
        <f t="shared" si="30"/>
        <v>0</v>
      </c>
      <c r="CZ58" s="19">
        <f t="shared" si="30"/>
        <v>0</v>
      </c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</row>
    <row r="59" spans="1:122" ht="18" customHeight="1">
      <c r="A59" s="9" t="s">
        <v>41</v>
      </c>
      <c r="B59" s="10"/>
      <c r="C59" s="11">
        <f>SUMPRODUCT($B54:$B58,C54:C58)</f>
        <v>0</v>
      </c>
      <c r="D59" s="11">
        <f t="shared" ref="D59:BO59" si="31">SUMPRODUCT($B54:$B58,D54:D58)</f>
        <v>0</v>
      </c>
      <c r="E59" s="11">
        <f t="shared" si="31"/>
        <v>0</v>
      </c>
      <c r="F59" s="11">
        <f t="shared" si="31"/>
        <v>0</v>
      </c>
      <c r="G59" s="11">
        <f t="shared" si="31"/>
        <v>0</v>
      </c>
      <c r="H59" s="11">
        <f t="shared" si="31"/>
        <v>0</v>
      </c>
      <c r="I59" s="11">
        <f t="shared" si="31"/>
        <v>0</v>
      </c>
      <c r="J59" s="11">
        <f t="shared" si="31"/>
        <v>0</v>
      </c>
      <c r="K59" s="11">
        <f t="shared" si="31"/>
        <v>0</v>
      </c>
      <c r="L59" s="11">
        <f t="shared" si="31"/>
        <v>0</v>
      </c>
      <c r="M59" s="11">
        <f t="shared" si="31"/>
        <v>0</v>
      </c>
      <c r="N59" s="11">
        <f t="shared" si="31"/>
        <v>0</v>
      </c>
      <c r="O59" s="11">
        <f t="shared" si="31"/>
        <v>0</v>
      </c>
      <c r="P59" s="11">
        <f t="shared" si="31"/>
        <v>0</v>
      </c>
      <c r="Q59" s="11">
        <f t="shared" si="31"/>
        <v>0</v>
      </c>
      <c r="R59" s="11">
        <f t="shared" si="31"/>
        <v>0</v>
      </c>
      <c r="S59" s="11">
        <f t="shared" si="31"/>
        <v>0</v>
      </c>
      <c r="T59" s="11">
        <f t="shared" si="31"/>
        <v>0</v>
      </c>
      <c r="U59" s="11">
        <f t="shared" si="31"/>
        <v>0</v>
      </c>
      <c r="V59" s="11">
        <f t="shared" si="31"/>
        <v>0</v>
      </c>
      <c r="W59" s="11">
        <f t="shared" si="31"/>
        <v>0</v>
      </c>
      <c r="X59" s="11">
        <f t="shared" si="31"/>
        <v>0</v>
      </c>
      <c r="Y59" s="11">
        <f t="shared" si="31"/>
        <v>0</v>
      </c>
      <c r="Z59" s="11">
        <f t="shared" si="31"/>
        <v>0</v>
      </c>
      <c r="AA59" s="11">
        <f t="shared" si="31"/>
        <v>0</v>
      </c>
      <c r="AB59" s="11">
        <f t="shared" si="31"/>
        <v>0</v>
      </c>
      <c r="AC59" s="11">
        <f t="shared" si="31"/>
        <v>0</v>
      </c>
      <c r="AD59" s="11">
        <f t="shared" si="31"/>
        <v>0</v>
      </c>
      <c r="AE59" s="11">
        <f t="shared" si="31"/>
        <v>0</v>
      </c>
      <c r="AF59" s="11">
        <f t="shared" si="31"/>
        <v>0</v>
      </c>
      <c r="AG59" s="11">
        <f t="shared" si="31"/>
        <v>0</v>
      </c>
      <c r="AH59" s="11">
        <f t="shared" si="31"/>
        <v>0</v>
      </c>
      <c r="AI59" s="11">
        <f t="shared" si="31"/>
        <v>0</v>
      </c>
      <c r="AJ59" s="11">
        <f t="shared" si="31"/>
        <v>0</v>
      </c>
      <c r="AK59" s="11">
        <f t="shared" si="31"/>
        <v>0</v>
      </c>
      <c r="AL59" s="11">
        <f t="shared" si="31"/>
        <v>0</v>
      </c>
      <c r="AM59" s="11">
        <f t="shared" si="31"/>
        <v>0</v>
      </c>
      <c r="AN59" s="11">
        <f t="shared" si="31"/>
        <v>0</v>
      </c>
      <c r="AO59" s="11">
        <f t="shared" si="31"/>
        <v>0</v>
      </c>
      <c r="AP59" s="11">
        <f t="shared" si="31"/>
        <v>0</v>
      </c>
      <c r="AQ59" s="11">
        <f t="shared" si="31"/>
        <v>0</v>
      </c>
      <c r="AR59" s="11">
        <f t="shared" si="31"/>
        <v>0</v>
      </c>
      <c r="AS59" s="11">
        <f t="shared" si="31"/>
        <v>0</v>
      </c>
      <c r="AT59" s="11">
        <f t="shared" si="31"/>
        <v>0</v>
      </c>
      <c r="AU59" s="11">
        <f t="shared" si="31"/>
        <v>0</v>
      </c>
      <c r="AV59" s="11">
        <f t="shared" si="31"/>
        <v>0</v>
      </c>
      <c r="AW59" s="11">
        <f t="shared" si="31"/>
        <v>0</v>
      </c>
      <c r="AX59" s="11">
        <f t="shared" si="31"/>
        <v>0</v>
      </c>
      <c r="AY59" s="11">
        <f t="shared" si="31"/>
        <v>0</v>
      </c>
      <c r="AZ59" s="11">
        <f t="shared" si="31"/>
        <v>0</v>
      </c>
      <c r="BA59" s="11">
        <f t="shared" si="31"/>
        <v>0</v>
      </c>
      <c r="BB59" s="11">
        <f t="shared" si="31"/>
        <v>0</v>
      </c>
      <c r="BC59" s="11">
        <f t="shared" si="31"/>
        <v>0</v>
      </c>
      <c r="BD59" s="11">
        <f t="shared" si="31"/>
        <v>0</v>
      </c>
      <c r="BE59" s="11">
        <f t="shared" si="31"/>
        <v>0</v>
      </c>
      <c r="BF59" s="11">
        <f t="shared" si="31"/>
        <v>0</v>
      </c>
      <c r="BG59" s="11">
        <f t="shared" si="31"/>
        <v>0</v>
      </c>
      <c r="BH59" s="11">
        <f t="shared" si="31"/>
        <v>0</v>
      </c>
      <c r="BI59" s="11">
        <f t="shared" si="31"/>
        <v>0</v>
      </c>
      <c r="BJ59" s="11">
        <f t="shared" si="31"/>
        <v>0</v>
      </c>
      <c r="BK59" s="11">
        <f t="shared" si="31"/>
        <v>0</v>
      </c>
      <c r="BL59" s="11">
        <f t="shared" si="31"/>
        <v>0</v>
      </c>
      <c r="BM59" s="11">
        <f t="shared" si="31"/>
        <v>0</v>
      </c>
      <c r="BN59" s="11">
        <f t="shared" si="31"/>
        <v>0</v>
      </c>
      <c r="BO59" s="11">
        <f t="shared" si="31"/>
        <v>0</v>
      </c>
      <c r="BP59" s="11">
        <f t="shared" ref="BP59:CZ59" si="32">SUMPRODUCT($B54:$B58,BP54:BP58)</f>
        <v>0</v>
      </c>
      <c r="BQ59" s="11">
        <f t="shared" si="32"/>
        <v>0</v>
      </c>
      <c r="BR59" s="11">
        <f t="shared" si="32"/>
        <v>0</v>
      </c>
      <c r="BS59" s="11">
        <f t="shared" si="32"/>
        <v>0</v>
      </c>
      <c r="BT59" s="11">
        <f t="shared" si="32"/>
        <v>0</v>
      </c>
      <c r="BU59" s="11">
        <f t="shared" si="32"/>
        <v>0</v>
      </c>
      <c r="BV59" s="11">
        <f t="shared" si="32"/>
        <v>0</v>
      </c>
      <c r="BW59" s="11">
        <f t="shared" si="32"/>
        <v>0</v>
      </c>
      <c r="BX59" s="11">
        <f t="shared" si="32"/>
        <v>0</v>
      </c>
      <c r="BY59" s="11">
        <f t="shared" si="32"/>
        <v>0</v>
      </c>
      <c r="BZ59" s="11">
        <f t="shared" si="32"/>
        <v>0</v>
      </c>
      <c r="CA59" s="11">
        <f t="shared" si="32"/>
        <v>0</v>
      </c>
      <c r="CB59" s="11">
        <f t="shared" si="32"/>
        <v>0</v>
      </c>
      <c r="CC59" s="11">
        <f t="shared" si="32"/>
        <v>0</v>
      </c>
      <c r="CD59" s="11">
        <f t="shared" si="32"/>
        <v>0</v>
      </c>
      <c r="CE59" s="11">
        <f t="shared" si="32"/>
        <v>0</v>
      </c>
      <c r="CF59" s="11">
        <f t="shared" si="32"/>
        <v>0</v>
      </c>
      <c r="CG59" s="11">
        <f t="shared" si="32"/>
        <v>0</v>
      </c>
      <c r="CH59" s="11">
        <f t="shared" si="32"/>
        <v>0</v>
      </c>
      <c r="CI59" s="11">
        <f t="shared" si="32"/>
        <v>0</v>
      </c>
      <c r="CJ59" s="11">
        <f t="shared" si="32"/>
        <v>0</v>
      </c>
      <c r="CK59" s="11">
        <f t="shared" si="32"/>
        <v>0</v>
      </c>
      <c r="CL59" s="11">
        <f t="shared" si="32"/>
        <v>0</v>
      </c>
      <c r="CM59" s="11">
        <f t="shared" si="32"/>
        <v>0</v>
      </c>
      <c r="CN59" s="11">
        <f t="shared" si="32"/>
        <v>0</v>
      </c>
      <c r="CO59" s="11">
        <f t="shared" si="32"/>
        <v>0</v>
      </c>
      <c r="CP59" s="11">
        <f t="shared" si="32"/>
        <v>0</v>
      </c>
      <c r="CQ59" s="11">
        <f t="shared" si="32"/>
        <v>0</v>
      </c>
      <c r="CR59" s="11">
        <f t="shared" si="32"/>
        <v>0</v>
      </c>
      <c r="CS59" s="11">
        <f t="shared" si="32"/>
        <v>0</v>
      </c>
      <c r="CT59" s="11">
        <f t="shared" si="32"/>
        <v>0</v>
      </c>
      <c r="CU59" s="11">
        <f t="shared" si="32"/>
        <v>0</v>
      </c>
      <c r="CV59" s="11">
        <f t="shared" si="32"/>
        <v>0</v>
      </c>
      <c r="CW59" s="11">
        <f t="shared" si="32"/>
        <v>0</v>
      </c>
      <c r="CX59" s="11">
        <f t="shared" si="32"/>
        <v>0</v>
      </c>
      <c r="CY59" s="11">
        <f t="shared" si="32"/>
        <v>0</v>
      </c>
      <c r="CZ59" s="11">
        <f t="shared" si="32"/>
        <v>0</v>
      </c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</row>
    <row r="60" spans="1:122" ht="18" customHeight="1">
      <c r="A60" s="13" t="s">
        <v>133</v>
      </c>
      <c r="B60" s="14">
        <f>IFERROR(VLOOKUP(A60,PRICELIST!$A$3:$D$138,4,0),"-")</f>
        <v>23.41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9">
        <f t="shared" ref="CY60:CZ70" si="33">C60+E60+G60+I60+K60+M60+O60+Q60+S60+U60+W60+Y60+AA60+AC60+AE60+AG60+AI60+AK60+AM60+AO60+AQ60+AS60+AU60+AW60+AY60+BA60+BC60+BE60+BG60+BI60+BK60+BM60+BO60+BQ60+BS60+BU60+BW60+BY60+CA60+CC60+CE60+CG60+CI60+CK60+CM60+CO60+CQ60+CS60+CU60+CW60</f>
        <v>0</v>
      </c>
      <c r="CZ60" s="19">
        <f t="shared" si="33"/>
        <v>0</v>
      </c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</row>
    <row r="61" spans="1:122" ht="18" customHeight="1">
      <c r="A61" s="13" t="s">
        <v>42</v>
      </c>
      <c r="B61" s="14">
        <f>IFERROR(VLOOKUP(A61,PRICELIST!$A$3:$D$138,4,0),"-")</f>
        <v>23.57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9">
        <f t="shared" si="33"/>
        <v>0</v>
      </c>
      <c r="CZ61" s="19">
        <f t="shared" si="33"/>
        <v>0</v>
      </c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</row>
    <row r="62" spans="1:122" ht="18" customHeight="1">
      <c r="A62" s="13" t="s">
        <v>43</v>
      </c>
      <c r="B62" s="14">
        <f>IFERROR(VLOOKUP(A62,PRICELIST!$A$3:$D$138,4,0),"-")</f>
        <v>66.7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9">
        <f t="shared" si="33"/>
        <v>0</v>
      </c>
      <c r="CZ62" s="19">
        <f t="shared" si="33"/>
        <v>0</v>
      </c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</row>
    <row r="63" spans="1:122" ht="18" customHeight="1">
      <c r="A63" s="13" t="s">
        <v>44</v>
      </c>
      <c r="B63" s="14">
        <f>IFERROR(VLOOKUP(A63,PRICELIST!$A$3:$D$138,4,0),"-")</f>
        <v>67.819999999999993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9">
        <f t="shared" si="33"/>
        <v>0</v>
      </c>
      <c r="CZ63" s="19">
        <f t="shared" si="33"/>
        <v>0</v>
      </c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</row>
    <row r="64" spans="1:122" ht="18" customHeight="1">
      <c r="A64" s="13" t="s">
        <v>45</v>
      </c>
      <c r="B64" s="14">
        <f>IFERROR(VLOOKUP(A64,PRICELIST!$A$3:$D$138,4,0),"-")</f>
        <v>9.58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9">
        <f t="shared" si="33"/>
        <v>0</v>
      </c>
      <c r="CZ64" s="19">
        <f t="shared" si="33"/>
        <v>0</v>
      </c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</row>
    <row r="65" spans="1:122" ht="18" customHeight="1">
      <c r="A65" s="13" t="s">
        <v>46</v>
      </c>
      <c r="B65" s="14">
        <f>IFERROR(VLOOKUP(A65,PRICELIST!$A$3:$D$138,4,0),"-")</f>
        <v>23.41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9">
        <f t="shared" si="33"/>
        <v>0</v>
      </c>
      <c r="CZ65" s="19">
        <f t="shared" si="33"/>
        <v>0</v>
      </c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</row>
    <row r="66" spans="1:122" ht="18" customHeight="1">
      <c r="A66" s="13" t="s">
        <v>47</v>
      </c>
      <c r="B66" s="14">
        <f>IFERROR(VLOOKUP(A66,PRICELIST!$A$3:$D$138,4,0),"-")</f>
        <v>23.57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9">
        <f t="shared" si="33"/>
        <v>0</v>
      </c>
      <c r="CZ66" s="19">
        <f t="shared" si="33"/>
        <v>0</v>
      </c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</row>
    <row r="67" spans="1:122" ht="18" customHeight="1">
      <c r="A67" s="13" t="s">
        <v>49</v>
      </c>
      <c r="B67" s="14">
        <f>IFERROR(VLOOKUP(A67,PRICELIST!$A$3:$D$138,4,0),"-")</f>
        <v>132.43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9">
        <f t="shared" si="33"/>
        <v>0</v>
      </c>
      <c r="CZ67" s="19">
        <f t="shared" si="33"/>
        <v>0</v>
      </c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</row>
    <row r="68" spans="1:122" ht="18" customHeight="1">
      <c r="A68" s="13" t="s">
        <v>50</v>
      </c>
      <c r="B68" s="14">
        <f>IFERROR(VLOOKUP(A68,PRICELIST!$A$3:$D$138,4,0),"-")</f>
        <v>94.7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9">
        <f t="shared" si="33"/>
        <v>0</v>
      </c>
      <c r="CZ68" s="19">
        <f t="shared" si="33"/>
        <v>0</v>
      </c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</row>
    <row r="69" spans="1:122" ht="18" customHeight="1">
      <c r="A69" s="13" t="s">
        <v>51</v>
      </c>
      <c r="B69" s="14">
        <f>IFERROR(VLOOKUP(A69,PRICELIST!$A$3:$D$138,4,0),"-")</f>
        <v>58.82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9">
        <f t="shared" si="33"/>
        <v>0</v>
      </c>
      <c r="CZ69" s="19">
        <f t="shared" si="33"/>
        <v>0</v>
      </c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</row>
    <row r="70" spans="1:122" ht="18" customHeight="1">
      <c r="A70" s="13" t="s">
        <v>52</v>
      </c>
      <c r="B70" s="14">
        <f>IFERROR(VLOOKUP(A70,PRICELIST!$A$3:$D$138,4,0),"-")</f>
        <v>61.39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9">
        <f t="shared" si="33"/>
        <v>0</v>
      </c>
      <c r="CZ70" s="19">
        <f t="shared" si="33"/>
        <v>0</v>
      </c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</row>
    <row r="71" spans="1:122" ht="18" customHeight="1">
      <c r="A71" s="9" t="s">
        <v>48</v>
      </c>
      <c r="B71" s="10"/>
      <c r="C71" s="11">
        <f t="shared" ref="C71:AH71" si="34">SUMPRODUCT($B60:$B70,C60:C70)</f>
        <v>0</v>
      </c>
      <c r="D71" s="11">
        <f t="shared" si="34"/>
        <v>0</v>
      </c>
      <c r="E71" s="11">
        <f t="shared" si="34"/>
        <v>0</v>
      </c>
      <c r="F71" s="11">
        <f t="shared" si="34"/>
        <v>0</v>
      </c>
      <c r="G71" s="11">
        <f t="shared" si="34"/>
        <v>0</v>
      </c>
      <c r="H71" s="11">
        <f t="shared" si="34"/>
        <v>0</v>
      </c>
      <c r="I71" s="11">
        <f t="shared" si="34"/>
        <v>0</v>
      </c>
      <c r="J71" s="11">
        <f t="shared" si="34"/>
        <v>0</v>
      </c>
      <c r="K71" s="11">
        <f t="shared" si="34"/>
        <v>0</v>
      </c>
      <c r="L71" s="11">
        <f t="shared" si="34"/>
        <v>0</v>
      </c>
      <c r="M71" s="11">
        <f t="shared" si="34"/>
        <v>0</v>
      </c>
      <c r="N71" s="11">
        <f t="shared" si="34"/>
        <v>0</v>
      </c>
      <c r="O71" s="11">
        <f t="shared" si="34"/>
        <v>0</v>
      </c>
      <c r="P71" s="11">
        <f t="shared" si="34"/>
        <v>0</v>
      </c>
      <c r="Q71" s="11">
        <f t="shared" si="34"/>
        <v>0</v>
      </c>
      <c r="R71" s="11">
        <f t="shared" si="34"/>
        <v>0</v>
      </c>
      <c r="S71" s="11">
        <f t="shared" si="34"/>
        <v>0</v>
      </c>
      <c r="T71" s="11">
        <f t="shared" si="34"/>
        <v>0</v>
      </c>
      <c r="U71" s="11">
        <f t="shared" si="34"/>
        <v>0</v>
      </c>
      <c r="V71" s="11">
        <f t="shared" si="34"/>
        <v>0</v>
      </c>
      <c r="W71" s="11">
        <f t="shared" si="34"/>
        <v>0</v>
      </c>
      <c r="X71" s="11">
        <f t="shared" si="34"/>
        <v>0</v>
      </c>
      <c r="Y71" s="11">
        <f t="shared" si="34"/>
        <v>0</v>
      </c>
      <c r="Z71" s="11">
        <f t="shared" si="34"/>
        <v>0</v>
      </c>
      <c r="AA71" s="11">
        <f t="shared" si="34"/>
        <v>0</v>
      </c>
      <c r="AB71" s="11">
        <f t="shared" si="34"/>
        <v>0</v>
      </c>
      <c r="AC71" s="11">
        <f t="shared" si="34"/>
        <v>0</v>
      </c>
      <c r="AD71" s="11">
        <f t="shared" si="34"/>
        <v>0</v>
      </c>
      <c r="AE71" s="11">
        <f t="shared" si="34"/>
        <v>0</v>
      </c>
      <c r="AF71" s="11">
        <f t="shared" si="34"/>
        <v>0</v>
      </c>
      <c r="AG71" s="11">
        <f t="shared" si="34"/>
        <v>0</v>
      </c>
      <c r="AH71" s="11">
        <f t="shared" si="34"/>
        <v>0</v>
      </c>
      <c r="AI71" s="11">
        <f t="shared" ref="AI71:BN71" si="35">SUMPRODUCT($B60:$B70,AI60:AI70)</f>
        <v>0</v>
      </c>
      <c r="AJ71" s="11">
        <f t="shared" si="35"/>
        <v>0</v>
      </c>
      <c r="AK71" s="11">
        <f t="shared" si="35"/>
        <v>0</v>
      </c>
      <c r="AL71" s="11">
        <f t="shared" si="35"/>
        <v>0</v>
      </c>
      <c r="AM71" s="11">
        <f t="shared" si="35"/>
        <v>0</v>
      </c>
      <c r="AN71" s="11">
        <f t="shared" si="35"/>
        <v>0</v>
      </c>
      <c r="AO71" s="11">
        <f t="shared" si="35"/>
        <v>0</v>
      </c>
      <c r="AP71" s="11">
        <f t="shared" si="35"/>
        <v>0</v>
      </c>
      <c r="AQ71" s="11">
        <f t="shared" si="35"/>
        <v>0</v>
      </c>
      <c r="AR71" s="11">
        <f t="shared" si="35"/>
        <v>0</v>
      </c>
      <c r="AS71" s="11">
        <f t="shared" si="35"/>
        <v>0</v>
      </c>
      <c r="AT71" s="11">
        <f t="shared" si="35"/>
        <v>0</v>
      </c>
      <c r="AU71" s="11">
        <f t="shared" si="35"/>
        <v>0</v>
      </c>
      <c r="AV71" s="11">
        <f t="shared" si="35"/>
        <v>0</v>
      </c>
      <c r="AW71" s="11">
        <f t="shared" si="35"/>
        <v>0</v>
      </c>
      <c r="AX71" s="11">
        <f t="shared" si="35"/>
        <v>0</v>
      </c>
      <c r="AY71" s="11">
        <f t="shared" si="35"/>
        <v>0</v>
      </c>
      <c r="AZ71" s="11">
        <f t="shared" si="35"/>
        <v>0</v>
      </c>
      <c r="BA71" s="11">
        <f t="shared" si="35"/>
        <v>0</v>
      </c>
      <c r="BB71" s="11">
        <f t="shared" si="35"/>
        <v>0</v>
      </c>
      <c r="BC71" s="11">
        <f t="shared" si="35"/>
        <v>0</v>
      </c>
      <c r="BD71" s="11">
        <f t="shared" si="35"/>
        <v>0</v>
      </c>
      <c r="BE71" s="11">
        <f t="shared" si="35"/>
        <v>0</v>
      </c>
      <c r="BF71" s="11">
        <f t="shared" si="35"/>
        <v>0</v>
      </c>
      <c r="BG71" s="11">
        <f t="shared" si="35"/>
        <v>0</v>
      </c>
      <c r="BH71" s="11">
        <f t="shared" si="35"/>
        <v>0</v>
      </c>
      <c r="BI71" s="11">
        <f t="shared" si="35"/>
        <v>0</v>
      </c>
      <c r="BJ71" s="11">
        <f t="shared" si="35"/>
        <v>0</v>
      </c>
      <c r="BK71" s="11">
        <f t="shared" si="35"/>
        <v>0</v>
      </c>
      <c r="BL71" s="11">
        <f t="shared" si="35"/>
        <v>0</v>
      </c>
      <c r="BM71" s="11">
        <f t="shared" si="35"/>
        <v>0</v>
      </c>
      <c r="BN71" s="11">
        <f t="shared" si="35"/>
        <v>0</v>
      </c>
      <c r="BO71" s="11">
        <f t="shared" ref="BO71:CT71" si="36">SUMPRODUCT($B60:$B70,BO60:BO70)</f>
        <v>0</v>
      </c>
      <c r="BP71" s="11">
        <f t="shared" si="36"/>
        <v>0</v>
      </c>
      <c r="BQ71" s="11">
        <f t="shared" si="36"/>
        <v>0</v>
      </c>
      <c r="BR71" s="11">
        <f t="shared" si="36"/>
        <v>0</v>
      </c>
      <c r="BS71" s="11">
        <f t="shared" si="36"/>
        <v>0</v>
      </c>
      <c r="BT71" s="11">
        <f t="shared" si="36"/>
        <v>0</v>
      </c>
      <c r="BU71" s="11">
        <f t="shared" si="36"/>
        <v>0</v>
      </c>
      <c r="BV71" s="11">
        <f t="shared" si="36"/>
        <v>0</v>
      </c>
      <c r="BW71" s="11">
        <f t="shared" si="36"/>
        <v>0</v>
      </c>
      <c r="BX71" s="11">
        <f t="shared" si="36"/>
        <v>0</v>
      </c>
      <c r="BY71" s="11">
        <f t="shared" si="36"/>
        <v>0</v>
      </c>
      <c r="BZ71" s="11">
        <f t="shared" si="36"/>
        <v>0</v>
      </c>
      <c r="CA71" s="11">
        <f t="shared" si="36"/>
        <v>0</v>
      </c>
      <c r="CB71" s="11">
        <f t="shared" si="36"/>
        <v>0</v>
      </c>
      <c r="CC71" s="11">
        <f t="shared" si="36"/>
        <v>0</v>
      </c>
      <c r="CD71" s="11">
        <f t="shared" si="36"/>
        <v>0</v>
      </c>
      <c r="CE71" s="11">
        <f t="shared" si="36"/>
        <v>0</v>
      </c>
      <c r="CF71" s="11">
        <f t="shared" si="36"/>
        <v>0</v>
      </c>
      <c r="CG71" s="11">
        <f t="shared" si="36"/>
        <v>0</v>
      </c>
      <c r="CH71" s="11">
        <f t="shared" si="36"/>
        <v>0</v>
      </c>
      <c r="CI71" s="11">
        <f t="shared" si="36"/>
        <v>0</v>
      </c>
      <c r="CJ71" s="11">
        <f t="shared" si="36"/>
        <v>0</v>
      </c>
      <c r="CK71" s="11">
        <f t="shared" si="36"/>
        <v>0</v>
      </c>
      <c r="CL71" s="11">
        <f t="shared" si="36"/>
        <v>0</v>
      </c>
      <c r="CM71" s="11">
        <f t="shared" si="36"/>
        <v>0</v>
      </c>
      <c r="CN71" s="11">
        <f t="shared" si="36"/>
        <v>0</v>
      </c>
      <c r="CO71" s="11">
        <f t="shared" si="36"/>
        <v>0</v>
      </c>
      <c r="CP71" s="11">
        <f t="shared" si="36"/>
        <v>0</v>
      </c>
      <c r="CQ71" s="11">
        <f t="shared" si="36"/>
        <v>0</v>
      </c>
      <c r="CR71" s="11">
        <f t="shared" si="36"/>
        <v>0</v>
      </c>
      <c r="CS71" s="11">
        <f t="shared" si="36"/>
        <v>0</v>
      </c>
      <c r="CT71" s="11">
        <f t="shared" si="36"/>
        <v>0</v>
      </c>
      <c r="CU71" s="11">
        <f t="shared" ref="CU71:CZ71" si="37">SUMPRODUCT($B60:$B70,CU60:CU70)</f>
        <v>0</v>
      </c>
      <c r="CV71" s="11">
        <f t="shared" si="37"/>
        <v>0</v>
      </c>
      <c r="CW71" s="11">
        <f t="shared" si="37"/>
        <v>0</v>
      </c>
      <c r="CX71" s="11">
        <f t="shared" si="37"/>
        <v>0</v>
      </c>
      <c r="CY71" s="11">
        <f t="shared" si="37"/>
        <v>0</v>
      </c>
      <c r="CZ71" s="11">
        <f t="shared" si="37"/>
        <v>0</v>
      </c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</row>
    <row r="72" spans="1:122" ht="18" customHeight="1">
      <c r="A72" s="13" t="s">
        <v>85</v>
      </c>
      <c r="B72" s="14">
        <f>IFERROR(VLOOKUP(A72,PRICELIST!$A$3:$D$138,4,0),"-")</f>
        <v>165.86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9">
        <f t="shared" ref="CY72:CZ78" si="38">C72+E72+G72+I72+K72+M72+O72+Q72+S72+U72+W72+Y72+AA72+AC72+AE72+AG72+AI72+AK72+AM72+AO72+AQ72+AS72+AU72+AW72+AY72+BA72+BC72+BE72+BG72+BI72+BK72+BM72+BO72+BQ72+BS72+BU72+BW72+BY72+CA72+CC72+CE72+CG72+CI72+CK72+CM72+CO72+CQ72+CS72+CU72+CW72</f>
        <v>0</v>
      </c>
      <c r="CZ72" s="19">
        <f t="shared" si="38"/>
        <v>0</v>
      </c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</row>
    <row r="73" spans="1:122" ht="18" customHeight="1">
      <c r="A73" s="13" t="s">
        <v>53</v>
      </c>
      <c r="B73" s="14">
        <f>IFERROR(VLOOKUP(A73,PRICELIST!$A$3:$D$138,4,0),"-")</f>
        <v>82.93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9">
        <f t="shared" si="38"/>
        <v>0</v>
      </c>
      <c r="CZ73" s="19">
        <f t="shared" si="38"/>
        <v>0</v>
      </c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</row>
    <row r="74" spans="1:122" ht="18" customHeight="1">
      <c r="A74" s="13" t="s">
        <v>54</v>
      </c>
      <c r="B74" s="14">
        <f>IFERROR(VLOOKUP(A74,PRICELIST!$A$3:$D$138,4,0),"-")</f>
        <v>96.43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9">
        <f t="shared" si="38"/>
        <v>0</v>
      </c>
      <c r="CZ74" s="19">
        <f t="shared" si="38"/>
        <v>0</v>
      </c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</row>
    <row r="75" spans="1:122" ht="18" customHeight="1">
      <c r="A75" s="13" t="s">
        <v>55</v>
      </c>
      <c r="B75" s="14">
        <f>IFERROR(VLOOKUP(A75,PRICELIST!$A$3:$D$138,4,0),"-")</f>
        <v>47.57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9">
        <f t="shared" si="38"/>
        <v>0</v>
      </c>
      <c r="CZ75" s="19">
        <f t="shared" si="38"/>
        <v>0</v>
      </c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</row>
    <row r="76" spans="1:122" ht="18" customHeight="1">
      <c r="A76" s="13" t="s">
        <v>132</v>
      </c>
      <c r="B76" s="14">
        <f>IFERROR(VLOOKUP(A76,PRICELIST!$A$3:$D$138,4,0),"-")</f>
        <v>128.57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9">
        <f t="shared" si="38"/>
        <v>0</v>
      </c>
      <c r="CZ76" s="19">
        <f t="shared" si="38"/>
        <v>0</v>
      </c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</row>
    <row r="77" spans="1:122" ht="18" customHeight="1">
      <c r="A77" s="13" t="s">
        <v>86</v>
      </c>
      <c r="B77" s="14">
        <f>IFERROR(VLOOKUP(A77,PRICELIST!$A$3:$D$138,4,0),"-")</f>
        <v>130.5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9">
        <f t="shared" si="38"/>
        <v>0</v>
      </c>
      <c r="CZ77" s="19">
        <f t="shared" si="38"/>
        <v>0</v>
      </c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</row>
    <row r="78" spans="1:122" ht="18" customHeight="1">
      <c r="A78" s="26" t="s">
        <v>121</v>
      </c>
      <c r="B78" s="14">
        <f>IFERROR(VLOOKUP(A78,PRICELIST!$A$3:$D$138,4,0),"-")</f>
        <v>146.88999999999999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9">
        <f t="shared" si="38"/>
        <v>0</v>
      </c>
      <c r="CZ78" s="19">
        <f t="shared" si="38"/>
        <v>0</v>
      </c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</row>
    <row r="79" spans="1:122" ht="18" customHeight="1">
      <c r="A79" s="9" t="s">
        <v>56</v>
      </c>
      <c r="B79" s="10"/>
      <c r="C79" s="11">
        <f>SUMPRODUCT($B72:$B78,C72:C78)</f>
        <v>0</v>
      </c>
      <c r="D79" s="11">
        <f t="shared" ref="D79:BO79" si="39">SUMPRODUCT($B72:$B78,D72:D78)</f>
        <v>0</v>
      </c>
      <c r="E79" s="11">
        <f t="shared" si="39"/>
        <v>0</v>
      </c>
      <c r="F79" s="11">
        <f t="shared" si="39"/>
        <v>0</v>
      </c>
      <c r="G79" s="11">
        <f t="shared" si="39"/>
        <v>0</v>
      </c>
      <c r="H79" s="11">
        <f t="shared" si="39"/>
        <v>0</v>
      </c>
      <c r="I79" s="11">
        <f t="shared" si="39"/>
        <v>0</v>
      </c>
      <c r="J79" s="11">
        <f t="shared" si="39"/>
        <v>0</v>
      </c>
      <c r="K79" s="11">
        <f t="shared" si="39"/>
        <v>0</v>
      </c>
      <c r="L79" s="11">
        <f t="shared" si="39"/>
        <v>0</v>
      </c>
      <c r="M79" s="11">
        <f t="shared" si="39"/>
        <v>0</v>
      </c>
      <c r="N79" s="11">
        <f t="shared" si="39"/>
        <v>0</v>
      </c>
      <c r="O79" s="11">
        <f t="shared" si="39"/>
        <v>0</v>
      </c>
      <c r="P79" s="11">
        <f t="shared" si="39"/>
        <v>0</v>
      </c>
      <c r="Q79" s="11">
        <f t="shared" si="39"/>
        <v>0</v>
      </c>
      <c r="R79" s="11">
        <f t="shared" si="39"/>
        <v>0</v>
      </c>
      <c r="S79" s="11">
        <f t="shared" si="39"/>
        <v>0</v>
      </c>
      <c r="T79" s="11">
        <f t="shared" si="39"/>
        <v>0</v>
      </c>
      <c r="U79" s="11">
        <f t="shared" si="39"/>
        <v>0</v>
      </c>
      <c r="V79" s="11">
        <f t="shared" si="39"/>
        <v>0</v>
      </c>
      <c r="W79" s="11">
        <f t="shared" si="39"/>
        <v>0</v>
      </c>
      <c r="X79" s="11">
        <f t="shared" si="39"/>
        <v>0</v>
      </c>
      <c r="Y79" s="11">
        <f t="shared" si="39"/>
        <v>0</v>
      </c>
      <c r="Z79" s="11">
        <f t="shared" si="39"/>
        <v>0</v>
      </c>
      <c r="AA79" s="11">
        <f t="shared" si="39"/>
        <v>0</v>
      </c>
      <c r="AB79" s="11">
        <f t="shared" si="39"/>
        <v>0</v>
      </c>
      <c r="AC79" s="11">
        <f t="shared" si="39"/>
        <v>0</v>
      </c>
      <c r="AD79" s="11">
        <f t="shared" si="39"/>
        <v>0</v>
      </c>
      <c r="AE79" s="11">
        <f t="shared" si="39"/>
        <v>0</v>
      </c>
      <c r="AF79" s="11">
        <f t="shared" si="39"/>
        <v>0</v>
      </c>
      <c r="AG79" s="11">
        <f t="shared" si="39"/>
        <v>0</v>
      </c>
      <c r="AH79" s="11">
        <f t="shared" si="39"/>
        <v>0</v>
      </c>
      <c r="AI79" s="11">
        <f t="shared" si="39"/>
        <v>0</v>
      </c>
      <c r="AJ79" s="11">
        <f t="shared" si="39"/>
        <v>0</v>
      </c>
      <c r="AK79" s="11">
        <f t="shared" si="39"/>
        <v>0</v>
      </c>
      <c r="AL79" s="11">
        <f t="shared" si="39"/>
        <v>0</v>
      </c>
      <c r="AM79" s="11">
        <f t="shared" si="39"/>
        <v>0</v>
      </c>
      <c r="AN79" s="11">
        <f t="shared" si="39"/>
        <v>0</v>
      </c>
      <c r="AO79" s="11">
        <f t="shared" si="39"/>
        <v>0</v>
      </c>
      <c r="AP79" s="11">
        <f t="shared" si="39"/>
        <v>0</v>
      </c>
      <c r="AQ79" s="11">
        <f t="shared" si="39"/>
        <v>0</v>
      </c>
      <c r="AR79" s="11">
        <f t="shared" si="39"/>
        <v>0</v>
      </c>
      <c r="AS79" s="11">
        <f t="shared" si="39"/>
        <v>0</v>
      </c>
      <c r="AT79" s="11">
        <f t="shared" si="39"/>
        <v>0</v>
      </c>
      <c r="AU79" s="11">
        <f t="shared" si="39"/>
        <v>0</v>
      </c>
      <c r="AV79" s="11">
        <f t="shared" si="39"/>
        <v>0</v>
      </c>
      <c r="AW79" s="11">
        <f t="shared" si="39"/>
        <v>0</v>
      </c>
      <c r="AX79" s="11">
        <f t="shared" si="39"/>
        <v>0</v>
      </c>
      <c r="AY79" s="11">
        <f t="shared" si="39"/>
        <v>0</v>
      </c>
      <c r="AZ79" s="11">
        <f t="shared" si="39"/>
        <v>0</v>
      </c>
      <c r="BA79" s="11">
        <f t="shared" si="39"/>
        <v>0</v>
      </c>
      <c r="BB79" s="11">
        <f t="shared" si="39"/>
        <v>0</v>
      </c>
      <c r="BC79" s="11">
        <f t="shared" si="39"/>
        <v>0</v>
      </c>
      <c r="BD79" s="11">
        <f t="shared" si="39"/>
        <v>0</v>
      </c>
      <c r="BE79" s="11">
        <f t="shared" si="39"/>
        <v>0</v>
      </c>
      <c r="BF79" s="11">
        <f t="shared" si="39"/>
        <v>0</v>
      </c>
      <c r="BG79" s="11">
        <f t="shared" si="39"/>
        <v>0</v>
      </c>
      <c r="BH79" s="11">
        <f t="shared" si="39"/>
        <v>0</v>
      </c>
      <c r="BI79" s="11">
        <f t="shared" si="39"/>
        <v>0</v>
      </c>
      <c r="BJ79" s="11">
        <f t="shared" si="39"/>
        <v>0</v>
      </c>
      <c r="BK79" s="11">
        <f t="shared" si="39"/>
        <v>0</v>
      </c>
      <c r="BL79" s="11">
        <f t="shared" si="39"/>
        <v>0</v>
      </c>
      <c r="BM79" s="11">
        <f t="shared" si="39"/>
        <v>0</v>
      </c>
      <c r="BN79" s="11">
        <f t="shared" si="39"/>
        <v>0</v>
      </c>
      <c r="BO79" s="11">
        <f t="shared" si="39"/>
        <v>0</v>
      </c>
      <c r="BP79" s="11">
        <f t="shared" ref="BP79:CZ79" si="40">SUMPRODUCT($B72:$B78,BP72:BP78)</f>
        <v>0</v>
      </c>
      <c r="BQ79" s="11">
        <f t="shared" si="40"/>
        <v>0</v>
      </c>
      <c r="BR79" s="11">
        <f t="shared" si="40"/>
        <v>0</v>
      </c>
      <c r="BS79" s="11">
        <f t="shared" si="40"/>
        <v>0</v>
      </c>
      <c r="BT79" s="11">
        <f t="shared" si="40"/>
        <v>0</v>
      </c>
      <c r="BU79" s="11">
        <f t="shared" si="40"/>
        <v>0</v>
      </c>
      <c r="BV79" s="11">
        <f t="shared" si="40"/>
        <v>0</v>
      </c>
      <c r="BW79" s="11">
        <f t="shared" si="40"/>
        <v>0</v>
      </c>
      <c r="BX79" s="11">
        <f t="shared" si="40"/>
        <v>0</v>
      </c>
      <c r="BY79" s="11">
        <f t="shared" si="40"/>
        <v>0</v>
      </c>
      <c r="BZ79" s="11">
        <f t="shared" si="40"/>
        <v>0</v>
      </c>
      <c r="CA79" s="11">
        <f t="shared" si="40"/>
        <v>0</v>
      </c>
      <c r="CB79" s="11">
        <f t="shared" si="40"/>
        <v>0</v>
      </c>
      <c r="CC79" s="11">
        <f t="shared" si="40"/>
        <v>0</v>
      </c>
      <c r="CD79" s="11">
        <f t="shared" si="40"/>
        <v>0</v>
      </c>
      <c r="CE79" s="11">
        <f t="shared" si="40"/>
        <v>0</v>
      </c>
      <c r="CF79" s="11">
        <f t="shared" si="40"/>
        <v>0</v>
      </c>
      <c r="CG79" s="11">
        <f t="shared" si="40"/>
        <v>0</v>
      </c>
      <c r="CH79" s="11">
        <f t="shared" si="40"/>
        <v>0</v>
      </c>
      <c r="CI79" s="11">
        <f t="shared" si="40"/>
        <v>0</v>
      </c>
      <c r="CJ79" s="11">
        <f t="shared" si="40"/>
        <v>0</v>
      </c>
      <c r="CK79" s="11">
        <f t="shared" si="40"/>
        <v>0</v>
      </c>
      <c r="CL79" s="11">
        <f t="shared" si="40"/>
        <v>0</v>
      </c>
      <c r="CM79" s="11">
        <f t="shared" si="40"/>
        <v>0</v>
      </c>
      <c r="CN79" s="11">
        <f t="shared" si="40"/>
        <v>0</v>
      </c>
      <c r="CO79" s="11">
        <f t="shared" si="40"/>
        <v>0</v>
      </c>
      <c r="CP79" s="11">
        <f t="shared" si="40"/>
        <v>0</v>
      </c>
      <c r="CQ79" s="11">
        <f t="shared" si="40"/>
        <v>0</v>
      </c>
      <c r="CR79" s="11">
        <f t="shared" si="40"/>
        <v>0</v>
      </c>
      <c r="CS79" s="11">
        <f t="shared" si="40"/>
        <v>0</v>
      </c>
      <c r="CT79" s="11">
        <f t="shared" si="40"/>
        <v>0</v>
      </c>
      <c r="CU79" s="11">
        <f t="shared" si="40"/>
        <v>0</v>
      </c>
      <c r="CV79" s="11">
        <f t="shared" si="40"/>
        <v>0</v>
      </c>
      <c r="CW79" s="11">
        <f t="shared" si="40"/>
        <v>0</v>
      </c>
      <c r="CX79" s="11">
        <f t="shared" si="40"/>
        <v>0</v>
      </c>
      <c r="CY79" s="11">
        <f t="shared" si="40"/>
        <v>0</v>
      </c>
      <c r="CZ79" s="11">
        <f t="shared" si="40"/>
        <v>0</v>
      </c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</row>
    <row r="80" spans="1:122" ht="18" customHeight="1">
      <c r="A80" s="13" t="s">
        <v>57</v>
      </c>
      <c r="B80" s="14">
        <f>IFERROR(VLOOKUP(A80,PRICELIST!$A$3:$D$138,4,0),"-")</f>
        <v>78.75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9">
        <f>C80+E80+G80+I80+K80+M80+O80+Q80+S80+U80+W80+Y80+AA80+AC80+AE80+AG80+AI80+AK80+AM80+AO80+AQ80+AS80+AU80+AW80+AY80+BA80+BC80+BE80+BG80+BI80+BK80+BM80+BO80+BQ80+BS80+BU80+BW80+BY80+CA80+CC80+CE80+CG80+CI80+CK80+CM80+CO80+CQ80+CS80+CU80+CW80</f>
        <v>0</v>
      </c>
      <c r="CZ80" s="19">
        <f>D80+F80+H80+J80+L80+N80+P80+R80+T80+V80+X80+Z80+AB80+AD80+AF80+AH80+AJ80+AL80+AN80+AP80+AR80+AT80+AV80+AX80+AZ80+BB80+BD80+BF80+BH80+BJ80+BL80+BN80+BP80+BR80+BT80+BV80+BX80+BZ80+CB80+CD80+CF80+CH80+CJ80+CL80+CN80+CP80+CR80+CT80+CV80+CX80</f>
        <v>0</v>
      </c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</row>
    <row r="81" spans="1:122" ht="18" customHeight="1">
      <c r="A81" s="9" t="s">
        <v>58</v>
      </c>
      <c r="B81" s="10"/>
      <c r="C81" s="11">
        <f>SUMPRODUCT($B80*C80)</f>
        <v>0</v>
      </c>
      <c r="D81" s="11">
        <f t="shared" ref="D81:BO81" si="41">SUMPRODUCT($B80*D80)</f>
        <v>0</v>
      </c>
      <c r="E81" s="11">
        <f t="shared" si="41"/>
        <v>0</v>
      </c>
      <c r="F81" s="11">
        <f t="shared" si="41"/>
        <v>0</v>
      </c>
      <c r="G81" s="11">
        <f t="shared" si="41"/>
        <v>0</v>
      </c>
      <c r="H81" s="11">
        <f t="shared" si="41"/>
        <v>0</v>
      </c>
      <c r="I81" s="11">
        <f t="shared" si="41"/>
        <v>0</v>
      </c>
      <c r="J81" s="11">
        <f t="shared" si="41"/>
        <v>0</v>
      </c>
      <c r="K81" s="11">
        <f t="shared" si="41"/>
        <v>0</v>
      </c>
      <c r="L81" s="11">
        <f t="shared" si="41"/>
        <v>0</v>
      </c>
      <c r="M81" s="11">
        <f t="shared" si="41"/>
        <v>0</v>
      </c>
      <c r="N81" s="11">
        <f t="shared" si="41"/>
        <v>0</v>
      </c>
      <c r="O81" s="11">
        <f t="shared" si="41"/>
        <v>0</v>
      </c>
      <c r="P81" s="11">
        <f t="shared" si="41"/>
        <v>0</v>
      </c>
      <c r="Q81" s="11">
        <f t="shared" si="41"/>
        <v>0</v>
      </c>
      <c r="R81" s="11">
        <f t="shared" si="41"/>
        <v>0</v>
      </c>
      <c r="S81" s="11">
        <f t="shared" si="41"/>
        <v>0</v>
      </c>
      <c r="T81" s="11">
        <f t="shared" si="41"/>
        <v>0</v>
      </c>
      <c r="U81" s="11">
        <f t="shared" si="41"/>
        <v>0</v>
      </c>
      <c r="V81" s="11">
        <f t="shared" si="41"/>
        <v>0</v>
      </c>
      <c r="W81" s="11">
        <f t="shared" si="41"/>
        <v>0</v>
      </c>
      <c r="X81" s="11">
        <f t="shared" si="41"/>
        <v>0</v>
      </c>
      <c r="Y81" s="11">
        <f t="shared" si="41"/>
        <v>0</v>
      </c>
      <c r="Z81" s="11">
        <f t="shared" si="41"/>
        <v>0</v>
      </c>
      <c r="AA81" s="11">
        <f t="shared" si="41"/>
        <v>0</v>
      </c>
      <c r="AB81" s="11">
        <f t="shared" si="41"/>
        <v>0</v>
      </c>
      <c r="AC81" s="11">
        <f t="shared" si="41"/>
        <v>0</v>
      </c>
      <c r="AD81" s="11">
        <f t="shared" si="41"/>
        <v>0</v>
      </c>
      <c r="AE81" s="11">
        <f t="shared" si="41"/>
        <v>0</v>
      </c>
      <c r="AF81" s="11">
        <f t="shared" si="41"/>
        <v>0</v>
      </c>
      <c r="AG81" s="11">
        <f t="shared" si="41"/>
        <v>0</v>
      </c>
      <c r="AH81" s="11">
        <f t="shared" si="41"/>
        <v>0</v>
      </c>
      <c r="AI81" s="11">
        <f t="shared" si="41"/>
        <v>0</v>
      </c>
      <c r="AJ81" s="11">
        <f t="shared" si="41"/>
        <v>0</v>
      </c>
      <c r="AK81" s="11">
        <f t="shared" si="41"/>
        <v>0</v>
      </c>
      <c r="AL81" s="11">
        <f t="shared" si="41"/>
        <v>0</v>
      </c>
      <c r="AM81" s="11">
        <f t="shared" si="41"/>
        <v>0</v>
      </c>
      <c r="AN81" s="11">
        <f t="shared" si="41"/>
        <v>0</v>
      </c>
      <c r="AO81" s="11">
        <f t="shared" si="41"/>
        <v>0</v>
      </c>
      <c r="AP81" s="11">
        <f t="shared" si="41"/>
        <v>0</v>
      </c>
      <c r="AQ81" s="11">
        <f t="shared" si="41"/>
        <v>0</v>
      </c>
      <c r="AR81" s="11">
        <f t="shared" si="41"/>
        <v>0</v>
      </c>
      <c r="AS81" s="11">
        <f t="shared" si="41"/>
        <v>0</v>
      </c>
      <c r="AT81" s="11">
        <f t="shared" si="41"/>
        <v>0</v>
      </c>
      <c r="AU81" s="11">
        <f t="shared" si="41"/>
        <v>0</v>
      </c>
      <c r="AV81" s="11">
        <f t="shared" si="41"/>
        <v>0</v>
      </c>
      <c r="AW81" s="11">
        <f t="shared" si="41"/>
        <v>0</v>
      </c>
      <c r="AX81" s="11">
        <f t="shared" si="41"/>
        <v>0</v>
      </c>
      <c r="AY81" s="11">
        <f t="shared" si="41"/>
        <v>0</v>
      </c>
      <c r="AZ81" s="11">
        <f t="shared" si="41"/>
        <v>0</v>
      </c>
      <c r="BA81" s="11">
        <f t="shared" si="41"/>
        <v>0</v>
      </c>
      <c r="BB81" s="11">
        <f t="shared" si="41"/>
        <v>0</v>
      </c>
      <c r="BC81" s="11">
        <f t="shared" si="41"/>
        <v>0</v>
      </c>
      <c r="BD81" s="11">
        <f t="shared" si="41"/>
        <v>0</v>
      </c>
      <c r="BE81" s="11">
        <f t="shared" si="41"/>
        <v>0</v>
      </c>
      <c r="BF81" s="11">
        <f t="shared" si="41"/>
        <v>0</v>
      </c>
      <c r="BG81" s="11">
        <f t="shared" si="41"/>
        <v>0</v>
      </c>
      <c r="BH81" s="11">
        <f t="shared" si="41"/>
        <v>0</v>
      </c>
      <c r="BI81" s="11">
        <f t="shared" si="41"/>
        <v>0</v>
      </c>
      <c r="BJ81" s="11">
        <f t="shared" si="41"/>
        <v>0</v>
      </c>
      <c r="BK81" s="11">
        <f t="shared" si="41"/>
        <v>0</v>
      </c>
      <c r="BL81" s="11">
        <f t="shared" si="41"/>
        <v>0</v>
      </c>
      <c r="BM81" s="11">
        <f t="shared" si="41"/>
        <v>0</v>
      </c>
      <c r="BN81" s="11">
        <f t="shared" si="41"/>
        <v>0</v>
      </c>
      <c r="BO81" s="11">
        <f t="shared" si="41"/>
        <v>0</v>
      </c>
      <c r="BP81" s="11">
        <f t="shared" ref="BP81:CZ81" si="42">SUMPRODUCT($B80*BP80)</f>
        <v>0</v>
      </c>
      <c r="BQ81" s="11">
        <f t="shared" si="42"/>
        <v>0</v>
      </c>
      <c r="BR81" s="11">
        <f t="shared" si="42"/>
        <v>0</v>
      </c>
      <c r="BS81" s="11">
        <f t="shared" si="42"/>
        <v>0</v>
      </c>
      <c r="BT81" s="11">
        <f t="shared" si="42"/>
        <v>0</v>
      </c>
      <c r="BU81" s="11">
        <f t="shared" si="42"/>
        <v>0</v>
      </c>
      <c r="BV81" s="11">
        <f t="shared" si="42"/>
        <v>0</v>
      </c>
      <c r="BW81" s="11">
        <f t="shared" si="42"/>
        <v>0</v>
      </c>
      <c r="BX81" s="11">
        <f t="shared" si="42"/>
        <v>0</v>
      </c>
      <c r="BY81" s="11">
        <f t="shared" si="42"/>
        <v>0</v>
      </c>
      <c r="BZ81" s="11">
        <f t="shared" si="42"/>
        <v>0</v>
      </c>
      <c r="CA81" s="11">
        <f t="shared" si="42"/>
        <v>0</v>
      </c>
      <c r="CB81" s="11">
        <f t="shared" si="42"/>
        <v>0</v>
      </c>
      <c r="CC81" s="11">
        <f t="shared" si="42"/>
        <v>0</v>
      </c>
      <c r="CD81" s="11">
        <f t="shared" si="42"/>
        <v>0</v>
      </c>
      <c r="CE81" s="11">
        <f t="shared" si="42"/>
        <v>0</v>
      </c>
      <c r="CF81" s="11">
        <f t="shared" si="42"/>
        <v>0</v>
      </c>
      <c r="CG81" s="11">
        <f t="shared" si="42"/>
        <v>0</v>
      </c>
      <c r="CH81" s="11">
        <f t="shared" si="42"/>
        <v>0</v>
      </c>
      <c r="CI81" s="11">
        <f t="shared" si="42"/>
        <v>0</v>
      </c>
      <c r="CJ81" s="11">
        <f t="shared" si="42"/>
        <v>0</v>
      </c>
      <c r="CK81" s="11">
        <f t="shared" si="42"/>
        <v>0</v>
      </c>
      <c r="CL81" s="11">
        <f t="shared" si="42"/>
        <v>0</v>
      </c>
      <c r="CM81" s="11">
        <f t="shared" si="42"/>
        <v>0</v>
      </c>
      <c r="CN81" s="11">
        <f t="shared" si="42"/>
        <v>0</v>
      </c>
      <c r="CO81" s="11">
        <f t="shared" si="42"/>
        <v>0</v>
      </c>
      <c r="CP81" s="11">
        <f t="shared" si="42"/>
        <v>0</v>
      </c>
      <c r="CQ81" s="11">
        <f t="shared" si="42"/>
        <v>0</v>
      </c>
      <c r="CR81" s="11">
        <f t="shared" si="42"/>
        <v>0</v>
      </c>
      <c r="CS81" s="11">
        <f t="shared" si="42"/>
        <v>0</v>
      </c>
      <c r="CT81" s="11">
        <f t="shared" si="42"/>
        <v>0</v>
      </c>
      <c r="CU81" s="11">
        <f t="shared" si="42"/>
        <v>0</v>
      </c>
      <c r="CV81" s="11">
        <f t="shared" si="42"/>
        <v>0</v>
      </c>
      <c r="CW81" s="11">
        <f t="shared" si="42"/>
        <v>0</v>
      </c>
      <c r="CX81" s="11">
        <f t="shared" si="42"/>
        <v>0</v>
      </c>
      <c r="CY81" s="11">
        <f t="shared" si="42"/>
        <v>0</v>
      </c>
      <c r="CZ81" s="11">
        <f t="shared" si="42"/>
        <v>0</v>
      </c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</row>
    <row r="82" spans="1:122" ht="18" customHeight="1">
      <c r="A82" s="13" t="s">
        <v>59</v>
      </c>
      <c r="B82" s="14">
        <f>IFERROR(VLOOKUP(A82,PRICELIST!$A$3:$D$138,4,0),"-")</f>
        <v>276.11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9">
        <f t="shared" ref="CY82:CZ84" si="43">C82+E82+G82+I82+K82+M82+O82+Q82+S82+U82+W82+Y82+AA82+AC82+AE82+AG82+AI82+AK82+AM82+AO82+AQ82+AS82+AU82+AW82+AY82+BA82+BC82+BE82+BG82+BI82+BK82+BM82+BO82+BQ82+BS82+BU82+BW82+BY82+CA82+CC82+CE82+CG82+CI82+CK82+CM82+CO82+CQ82+CS82+CU82+CW82</f>
        <v>0</v>
      </c>
      <c r="CZ82" s="19">
        <f t="shared" si="43"/>
        <v>0</v>
      </c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</row>
    <row r="83" spans="1:122" ht="18" customHeight="1">
      <c r="A83" s="13" t="s">
        <v>60</v>
      </c>
      <c r="B83" s="14">
        <f>IFERROR(VLOOKUP(A83,PRICELIST!$A$3:$D$138,4,0),"-")</f>
        <v>75.540000000000006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9">
        <f t="shared" si="43"/>
        <v>0</v>
      </c>
      <c r="CZ83" s="19">
        <f t="shared" si="43"/>
        <v>0</v>
      </c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</row>
    <row r="84" spans="1:122" ht="18" customHeight="1">
      <c r="A84" s="13" t="s">
        <v>61</v>
      </c>
      <c r="B84" s="14">
        <f>IFERROR(VLOOKUP(A84,PRICELIST!$A$3:$D$138,4,0),"-")</f>
        <v>145.93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9">
        <f t="shared" si="43"/>
        <v>0</v>
      </c>
      <c r="CZ84" s="19">
        <f t="shared" si="43"/>
        <v>0</v>
      </c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</row>
    <row r="85" spans="1:122" ht="18" customHeight="1">
      <c r="A85" s="13" t="s">
        <v>62</v>
      </c>
      <c r="B85" s="14">
        <f>IFERROR(VLOOKUP(A85,PRICELIST!$A$3:$D$138,4,0),"-")</f>
        <v>149.79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9">
        <f>C85+E85+G85+I85+K85+M85+O85+Q85+S85+U85+W85+Y85+AA85+AC85+AE85+AG85+AI85+AK85+AM85+AO85+AQ85+AS85+AU85+AW85+AY85+BA85+BC85+BE85+BG85+BI85+BK85+BM85+BO85+BQ85+BS85+BU85+BW85+BY85+CA85+CC85+CE85+CG85+CI85+CK85+CM85+CO85+CQ85+CS85+CU85+CW85</f>
        <v>0</v>
      </c>
      <c r="CZ85" s="19">
        <f>D85+F85+H85+J85+L85+N85+P85+R85+T85+V85+X85+Z85+AB85+AD85+AF85+AH85+AJ85+AL85+AN85+AP85+AR85+AT85+AV85+AX85+AZ85+BB85+BD85+BF85+BH85+BJ85+BL85+BN85+BP85+BR85+BT85+BV85+BX85+BZ85+CB85+CD85+CF85+CH85+CJ85+CL85+CN85+CP85+CR85+CT85+CV85+CX85</f>
        <v>0</v>
      </c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</row>
    <row r="86" spans="1:122" ht="18" customHeight="1">
      <c r="A86" s="13" t="s">
        <v>87</v>
      </c>
      <c r="B86" s="14">
        <f>IFERROR(VLOOKUP(A86,PRICELIST!$A$3:$D$138,4,0),"-")</f>
        <v>192.86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9">
        <f>C86+E86+G86+I86+K86+M86+O86+Q86+S86+U86+W86+Y86+AA86+AC86+AE86+AG86+AI86+AK86+AM86+AO86+AQ86+AS86+AU86+AW86+AY86+BA86+BC86+BE86+BG86+BI86+BK86+BM86+BO86+BQ86+BS86+BU86+BW86+BY86+CA86+CC86+CE86+CG86+CI86+CK86+CM86+CO86+CQ86+CS86+CU86+CW86</f>
        <v>0</v>
      </c>
      <c r="CZ86" s="19">
        <f>D86+F86+H86+J86+L86+N86+P86+R86+T86+V86+X86+Z86+AB86+AD86+AF86+AH86+AJ86+AL86+AN86+AP86+AR86+AT86+AV86+AX86+AZ86+BB86+BD86+BF86+BH86+BJ86+BL86+BN86+BP86+BR86+BT86+BV86+BX86+BZ86+CB86+CD86+CF86+CH86+CJ86+CL86+CN86+CP86+CR86+CT86+CV86+CX86</f>
        <v>0</v>
      </c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</row>
    <row r="87" spans="1:122" ht="18" customHeight="1">
      <c r="A87" s="13" t="s">
        <v>122</v>
      </c>
      <c r="B87" s="14">
        <f>IFERROR(VLOOKUP(A87,PRICELIST!$A$3:$D$138,4,0),"-")</f>
        <v>104.79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9">
        <f t="shared" ref="CY87:CZ87" si="44">C87+E87+G87+I87+K87+M87+O87+Q87+S87+U87+W87+Y87+AA87+AC87+AE87+AG87+AI87+AK87+AM87+AO87+AQ87+AS87+AU87+AW87+AY87+BA87+BC87+BE87+BG87+BI87+BK87+BM87+BO87+BQ87+BS87+BU87+BW87+BY87+CA87+CC87+CE87+CG87+CI87+CK87+CM87+CO87+CQ87+CS87+CU87+CW87</f>
        <v>0</v>
      </c>
      <c r="CZ87" s="19">
        <f t="shared" si="44"/>
        <v>0</v>
      </c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</row>
    <row r="88" spans="1:122" ht="18" customHeight="1">
      <c r="A88" s="9" t="s">
        <v>88</v>
      </c>
      <c r="B88" s="10"/>
      <c r="C88" s="11">
        <f>SUMPRODUCT($B82:$B87,C82:C87)</f>
        <v>0</v>
      </c>
      <c r="D88" s="11">
        <f t="shared" ref="D88:BO88" si="45">SUMPRODUCT($B82:$B87,D82:D87)</f>
        <v>0</v>
      </c>
      <c r="E88" s="11">
        <f t="shared" si="45"/>
        <v>0</v>
      </c>
      <c r="F88" s="11">
        <f t="shared" si="45"/>
        <v>0</v>
      </c>
      <c r="G88" s="11">
        <f t="shared" si="45"/>
        <v>0</v>
      </c>
      <c r="H88" s="11">
        <f t="shared" si="45"/>
        <v>0</v>
      </c>
      <c r="I88" s="11">
        <f t="shared" si="45"/>
        <v>0</v>
      </c>
      <c r="J88" s="11">
        <f t="shared" si="45"/>
        <v>0</v>
      </c>
      <c r="K88" s="11">
        <f t="shared" si="45"/>
        <v>0</v>
      </c>
      <c r="L88" s="11">
        <f t="shared" si="45"/>
        <v>0</v>
      </c>
      <c r="M88" s="11">
        <f t="shared" si="45"/>
        <v>0</v>
      </c>
      <c r="N88" s="11">
        <f t="shared" si="45"/>
        <v>0</v>
      </c>
      <c r="O88" s="11">
        <f t="shared" si="45"/>
        <v>0</v>
      </c>
      <c r="P88" s="11">
        <f t="shared" si="45"/>
        <v>0</v>
      </c>
      <c r="Q88" s="11">
        <f t="shared" si="45"/>
        <v>0</v>
      </c>
      <c r="R88" s="11">
        <f t="shared" si="45"/>
        <v>0</v>
      </c>
      <c r="S88" s="11">
        <f t="shared" si="45"/>
        <v>0</v>
      </c>
      <c r="T88" s="11">
        <f t="shared" si="45"/>
        <v>0</v>
      </c>
      <c r="U88" s="11">
        <f t="shared" si="45"/>
        <v>0</v>
      </c>
      <c r="V88" s="11">
        <f t="shared" si="45"/>
        <v>0</v>
      </c>
      <c r="W88" s="11">
        <f t="shared" si="45"/>
        <v>0</v>
      </c>
      <c r="X88" s="11">
        <f t="shared" si="45"/>
        <v>0</v>
      </c>
      <c r="Y88" s="11">
        <f t="shared" si="45"/>
        <v>0</v>
      </c>
      <c r="Z88" s="11">
        <f t="shared" si="45"/>
        <v>0</v>
      </c>
      <c r="AA88" s="11">
        <f t="shared" si="45"/>
        <v>0</v>
      </c>
      <c r="AB88" s="11">
        <f t="shared" si="45"/>
        <v>0</v>
      </c>
      <c r="AC88" s="11">
        <f t="shared" si="45"/>
        <v>0</v>
      </c>
      <c r="AD88" s="11">
        <f t="shared" si="45"/>
        <v>0</v>
      </c>
      <c r="AE88" s="11">
        <f t="shared" si="45"/>
        <v>0</v>
      </c>
      <c r="AF88" s="11">
        <f t="shared" si="45"/>
        <v>0</v>
      </c>
      <c r="AG88" s="11">
        <f t="shared" si="45"/>
        <v>0</v>
      </c>
      <c r="AH88" s="11">
        <f t="shared" si="45"/>
        <v>0</v>
      </c>
      <c r="AI88" s="11">
        <f t="shared" si="45"/>
        <v>0</v>
      </c>
      <c r="AJ88" s="11">
        <f t="shared" si="45"/>
        <v>0</v>
      </c>
      <c r="AK88" s="11">
        <f t="shared" si="45"/>
        <v>0</v>
      </c>
      <c r="AL88" s="11">
        <f t="shared" si="45"/>
        <v>0</v>
      </c>
      <c r="AM88" s="11">
        <f t="shared" si="45"/>
        <v>0</v>
      </c>
      <c r="AN88" s="11">
        <f t="shared" si="45"/>
        <v>0</v>
      </c>
      <c r="AO88" s="11">
        <f t="shared" si="45"/>
        <v>0</v>
      </c>
      <c r="AP88" s="11">
        <f t="shared" si="45"/>
        <v>0</v>
      </c>
      <c r="AQ88" s="11">
        <f t="shared" si="45"/>
        <v>0</v>
      </c>
      <c r="AR88" s="11">
        <f t="shared" si="45"/>
        <v>0</v>
      </c>
      <c r="AS88" s="11">
        <f t="shared" si="45"/>
        <v>0</v>
      </c>
      <c r="AT88" s="11">
        <f t="shared" si="45"/>
        <v>0</v>
      </c>
      <c r="AU88" s="11">
        <f t="shared" si="45"/>
        <v>0</v>
      </c>
      <c r="AV88" s="11">
        <f t="shared" si="45"/>
        <v>0</v>
      </c>
      <c r="AW88" s="11">
        <f t="shared" si="45"/>
        <v>0</v>
      </c>
      <c r="AX88" s="11">
        <f t="shared" si="45"/>
        <v>0</v>
      </c>
      <c r="AY88" s="11">
        <f t="shared" si="45"/>
        <v>0</v>
      </c>
      <c r="AZ88" s="11">
        <f t="shared" si="45"/>
        <v>0</v>
      </c>
      <c r="BA88" s="11">
        <f t="shared" si="45"/>
        <v>0</v>
      </c>
      <c r="BB88" s="11">
        <f t="shared" si="45"/>
        <v>0</v>
      </c>
      <c r="BC88" s="11">
        <f t="shared" si="45"/>
        <v>0</v>
      </c>
      <c r="BD88" s="11">
        <f t="shared" si="45"/>
        <v>0</v>
      </c>
      <c r="BE88" s="11">
        <f t="shared" si="45"/>
        <v>0</v>
      </c>
      <c r="BF88" s="11">
        <f t="shared" si="45"/>
        <v>0</v>
      </c>
      <c r="BG88" s="11">
        <f t="shared" si="45"/>
        <v>0</v>
      </c>
      <c r="BH88" s="11">
        <f t="shared" si="45"/>
        <v>0</v>
      </c>
      <c r="BI88" s="11">
        <f t="shared" si="45"/>
        <v>0</v>
      </c>
      <c r="BJ88" s="11">
        <f t="shared" si="45"/>
        <v>0</v>
      </c>
      <c r="BK88" s="11">
        <f t="shared" si="45"/>
        <v>0</v>
      </c>
      <c r="BL88" s="11">
        <f t="shared" si="45"/>
        <v>0</v>
      </c>
      <c r="BM88" s="11">
        <f t="shared" si="45"/>
        <v>0</v>
      </c>
      <c r="BN88" s="11">
        <f t="shared" si="45"/>
        <v>0</v>
      </c>
      <c r="BO88" s="11">
        <f t="shared" si="45"/>
        <v>0</v>
      </c>
      <c r="BP88" s="11">
        <f t="shared" ref="BP88:CZ88" si="46">SUMPRODUCT($B82:$B87,BP82:BP87)</f>
        <v>0</v>
      </c>
      <c r="BQ88" s="11">
        <f t="shared" si="46"/>
        <v>0</v>
      </c>
      <c r="BR88" s="11">
        <f t="shared" si="46"/>
        <v>0</v>
      </c>
      <c r="BS88" s="11">
        <f t="shared" si="46"/>
        <v>0</v>
      </c>
      <c r="BT88" s="11">
        <f t="shared" si="46"/>
        <v>0</v>
      </c>
      <c r="BU88" s="11">
        <f t="shared" si="46"/>
        <v>0</v>
      </c>
      <c r="BV88" s="11">
        <f t="shared" si="46"/>
        <v>0</v>
      </c>
      <c r="BW88" s="11">
        <f t="shared" si="46"/>
        <v>0</v>
      </c>
      <c r="BX88" s="11">
        <f t="shared" si="46"/>
        <v>0</v>
      </c>
      <c r="BY88" s="11">
        <f t="shared" si="46"/>
        <v>0</v>
      </c>
      <c r="BZ88" s="11">
        <f t="shared" si="46"/>
        <v>0</v>
      </c>
      <c r="CA88" s="11">
        <f t="shared" si="46"/>
        <v>0</v>
      </c>
      <c r="CB88" s="11">
        <f t="shared" si="46"/>
        <v>0</v>
      </c>
      <c r="CC88" s="11">
        <f t="shared" si="46"/>
        <v>0</v>
      </c>
      <c r="CD88" s="11">
        <f t="shared" si="46"/>
        <v>0</v>
      </c>
      <c r="CE88" s="11">
        <f t="shared" si="46"/>
        <v>0</v>
      </c>
      <c r="CF88" s="11">
        <f t="shared" si="46"/>
        <v>0</v>
      </c>
      <c r="CG88" s="11">
        <f t="shared" si="46"/>
        <v>0</v>
      </c>
      <c r="CH88" s="11">
        <f t="shared" si="46"/>
        <v>0</v>
      </c>
      <c r="CI88" s="11">
        <f t="shared" si="46"/>
        <v>0</v>
      </c>
      <c r="CJ88" s="11">
        <f t="shared" si="46"/>
        <v>0</v>
      </c>
      <c r="CK88" s="11">
        <f t="shared" si="46"/>
        <v>0</v>
      </c>
      <c r="CL88" s="11">
        <f t="shared" si="46"/>
        <v>0</v>
      </c>
      <c r="CM88" s="11">
        <f t="shared" si="46"/>
        <v>0</v>
      </c>
      <c r="CN88" s="11">
        <f t="shared" si="46"/>
        <v>0</v>
      </c>
      <c r="CO88" s="11">
        <f t="shared" si="46"/>
        <v>0</v>
      </c>
      <c r="CP88" s="11">
        <f t="shared" si="46"/>
        <v>0</v>
      </c>
      <c r="CQ88" s="11">
        <f t="shared" si="46"/>
        <v>0</v>
      </c>
      <c r="CR88" s="11">
        <f t="shared" si="46"/>
        <v>0</v>
      </c>
      <c r="CS88" s="11">
        <f t="shared" si="46"/>
        <v>0</v>
      </c>
      <c r="CT88" s="11">
        <f t="shared" si="46"/>
        <v>0</v>
      </c>
      <c r="CU88" s="11">
        <f t="shared" si="46"/>
        <v>0</v>
      </c>
      <c r="CV88" s="11">
        <f t="shared" si="46"/>
        <v>0</v>
      </c>
      <c r="CW88" s="11">
        <f t="shared" si="46"/>
        <v>0</v>
      </c>
      <c r="CX88" s="11">
        <f t="shared" si="46"/>
        <v>0</v>
      </c>
      <c r="CY88" s="11">
        <f t="shared" si="46"/>
        <v>0</v>
      </c>
      <c r="CZ88" s="11">
        <f t="shared" si="46"/>
        <v>0</v>
      </c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</row>
    <row r="89" spans="1:122" ht="18" customHeight="1">
      <c r="A89" s="13" t="s">
        <v>63</v>
      </c>
      <c r="B89" s="14">
        <f>IFERROR(VLOOKUP(A89,PRICELIST!$A$3:$D$138,4,0),"-")</f>
        <v>172.53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9">
        <f t="shared" ref="CY89:CZ91" si="47">C89+E89+G89+I89+K89+M89+O89+Q89+S89+U89+W89+Y89+AA89+AC89+AE89+AG89+AI89+AK89+AM89+AO89+AQ89+AS89+AU89+AW89+AY89+BA89+BC89+BE89+BG89+BI89+BK89+BM89+BO89+BQ89+BS89+BU89+BW89+BY89+CA89+CC89+CE89+CG89+CI89+CK89+CM89+CO89+CQ89+CS89+CU89+CW89</f>
        <v>0</v>
      </c>
      <c r="CZ89" s="19">
        <f t="shared" si="47"/>
        <v>0</v>
      </c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</row>
    <row r="90" spans="1:122" ht="18" customHeight="1">
      <c r="A90" s="13" t="s">
        <v>64</v>
      </c>
      <c r="B90" s="14">
        <f>IFERROR(VLOOKUP(A90,PRICELIST!$A$3:$D$138,4,0),"-")</f>
        <v>50.46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9">
        <f t="shared" si="47"/>
        <v>0</v>
      </c>
      <c r="CZ90" s="19">
        <f t="shared" si="47"/>
        <v>0</v>
      </c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</row>
    <row r="91" spans="1:122" ht="18" customHeight="1">
      <c r="A91" s="13" t="s">
        <v>65</v>
      </c>
      <c r="B91" s="14">
        <f>IFERROR(VLOOKUP(A91,PRICELIST!$A$3:$D$138,4,0),"-")</f>
        <v>99.64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9">
        <f t="shared" si="47"/>
        <v>0</v>
      </c>
      <c r="CZ91" s="19">
        <f t="shared" si="47"/>
        <v>0</v>
      </c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</row>
    <row r="92" spans="1:122" ht="18" customHeight="1">
      <c r="A92" s="9" t="s">
        <v>66</v>
      </c>
      <c r="B92" s="10"/>
      <c r="C92" s="11">
        <f>SUMPRODUCT($B89:$B91,C89:C91)</f>
        <v>0</v>
      </c>
      <c r="D92" s="11">
        <f t="shared" ref="D92:BO92" si="48">SUMPRODUCT($B89:$B91,D89:D91)</f>
        <v>0</v>
      </c>
      <c r="E92" s="11">
        <f t="shared" si="48"/>
        <v>0</v>
      </c>
      <c r="F92" s="11">
        <f t="shared" si="48"/>
        <v>0</v>
      </c>
      <c r="G92" s="11">
        <f t="shared" si="48"/>
        <v>0</v>
      </c>
      <c r="H92" s="11">
        <f t="shared" si="48"/>
        <v>0</v>
      </c>
      <c r="I92" s="11">
        <f t="shared" si="48"/>
        <v>0</v>
      </c>
      <c r="J92" s="11">
        <f t="shared" si="48"/>
        <v>0</v>
      </c>
      <c r="K92" s="11">
        <f t="shared" si="48"/>
        <v>0</v>
      </c>
      <c r="L92" s="11">
        <f t="shared" si="48"/>
        <v>0</v>
      </c>
      <c r="M92" s="11">
        <f t="shared" si="48"/>
        <v>0</v>
      </c>
      <c r="N92" s="11">
        <f t="shared" si="48"/>
        <v>0</v>
      </c>
      <c r="O92" s="11">
        <f t="shared" si="48"/>
        <v>0</v>
      </c>
      <c r="P92" s="11">
        <f t="shared" si="48"/>
        <v>0</v>
      </c>
      <c r="Q92" s="11">
        <f t="shared" si="48"/>
        <v>0</v>
      </c>
      <c r="R92" s="11">
        <f t="shared" si="48"/>
        <v>0</v>
      </c>
      <c r="S92" s="11">
        <f t="shared" si="48"/>
        <v>0</v>
      </c>
      <c r="T92" s="11">
        <f t="shared" si="48"/>
        <v>0</v>
      </c>
      <c r="U92" s="11">
        <f t="shared" si="48"/>
        <v>0</v>
      </c>
      <c r="V92" s="11">
        <f t="shared" si="48"/>
        <v>0</v>
      </c>
      <c r="W92" s="11">
        <f t="shared" si="48"/>
        <v>0</v>
      </c>
      <c r="X92" s="11">
        <f t="shared" si="48"/>
        <v>0</v>
      </c>
      <c r="Y92" s="11">
        <f t="shared" si="48"/>
        <v>0</v>
      </c>
      <c r="Z92" s="11">
        <f t="shared" si="48"/>
        <v>0</v>
      </c>
      <c r="AA92" s="11">
        <f t="shared" si="48"/>
        <v>0</v>
      </c>
      <c r="AB92" s="11">
        <f t="shared" si="48"/>
        <v>0</v>
      </c>
      <c r="AC92" s="11">
        <f t="shared" si="48"/>
        <v>0</v>
      </c>
      <c r="AD92" s="11">
        <f t="shared" si="48"/>
        <v>0</v>
      </c>
      <c r="AE92" s="11">
        <f t="shared" si="48"/>
        <v>0</v>
      </c>
      <c r="AF92" s="11">
        <f t="shared" si="48"/>
        <v>0</v>
      </c>
      <c r="AG92" s="11">
        <f t="shared" si="48"/>
        <v>0</v>
      </c>
      <c r="AH92" s="11">
        <f t="shared" si="48"/>
        <v>0</v>
      </c>
      <c r="AI92" s="11">
        <f t="shared" si="48"/>
        <v>0</v>
      </c>
      <c r="AJ92" s="11">
        <f t="shared" si="48"/>
        <v>0</v>
      </c>
      <c r="AK92" s="11">
        <f t="shared" si="48"/>
        <v>0</v>
      </c>
      <c r="AL92" s="11">
        <f t="shared" si="48"/>
        <v>0</v>
      </c>
      <c r="AM92" s="11">
        <f t="shared" si="48"/>
        <v>0</v>
      </c>
      <c r="AN92" s="11">
        <f t="shared" si="48"/>
        <v>0</v>
      </c>
      <c r="AO92" s="11">
        <f t="shared" si="48"/>
        <v>0</v>
      </c>
      <c r="AP92" s="11">
        <f t="shared" si="48"/>
        <v>0</v>
      </c>
      <c r="AQ92" s="11">
        <f t="shared" si="48"/>
        <v>0</v>
      </c>
      <c r="AR92" s="11">
        <f t="shared" si="48"/>
        <v>0</v>
      </c>
      <c r="AS92" s="11">
        <f t="shared" si="48"/>
        <v>0</v>
      </c>
      <c r="AT92" s="11">
        <f t="shared" si="48"/>
        <v>0</v>
      </c>
      <c r="AU92" s="11">
        <f t="shared" si="48"/>
        <v>0</v>
      </c>
      <c r="AV92" s="11">
        <f t="shared" si="48"/>
        <v>0</v>
      </c>
      <c r="AW92" s="11">
        <f t="shared" si="48"/>
        <v>0</v>
      </c>
      <c r="AX92" s="11">
        <f t="shared" si="48"/>
        <v>0</v>
      </c>
      <c r="AY92" s="11">
        <f t="shared" si="48"/>
        <v>0</v>
      </c>
      <c r="AZ92" s="11">
        <f t="shared" si="48"/>
        <v>0</v>
      </c>
      <c r="BA92" s="11">
        <f t="shared" si="48"/>
        <v>0</v>
      </c>
      <c r="BB92" s="11">
        <f t="shared" si="48"/>
        <v>0</v>
      </c>
      <c r="BC92" s="11">
        <f t="shared" si="48"/>
        <v>0</v>
      </c>
      <c r="BD92" s="11">
        <f t="shared" si="48"/>
        <v>0</v>
      </c>
      <c r="BE92" s="11">
        <f t="shared" si="48"/>
        <v>0</v>
      </c>
      <c r="BF92" s="11">
        <f t="shared" si="48"/>
        <v>0</v>
      </c>
      <c r="BG92" s="11">
        <f t="shared" si="48"/>
        <v>0</v>
      </c>
      <c r="BH92" s="11">
        <f t="shared" si="48"/>
        <v>0</v>
      </c>
      <c r="BI92" s="11">
        <f t="shared" si="48"/>
        <v>0</v>
      </c>
      <c r="BJ92" s="11">
        <f t="shared" si="48"/>
        <v>0</v>
      </c>
      <c r="BK92" s="11">
        <f t="shared" si="48"/>
        <v>0</v>
      </c>
      <c r="BL92" s="11">
        <f t="shared" si="48"/>
        <v>0</v>
      </c>
      <c r="BM92" s="11">
        <f t="shared" si="48"/>
        <v>0</v>
      </c>
      <c r="BN92" s="11">
        <f t="shared" si="48"/>
        <v>0</v>
      </c>
      <c r="BO92" s="11">
        <f t="shared" si="48"/>
        <v>0</v>
      </c>
      <c r="BP92" s="11">
        <f t="shared" ref="BP92:CZ92" si="49">SUMPRODUCT($B89:$B91,BP89:BP91)</f>
        <v>0</v>
      </c>
      <c r="BQ92" s="11">
        <f t="shared" si="49"/>
        <v>0</v>
      </c>
      <c r="BR92" s="11">
        <f t="shared" si="49"/>
        <v>0</v>
      </c>
      <c r="BS92" s="11">
        <f t="shared" si="49"/>
        <v>0</v>
      </c>
      <c r="BT92" s="11">
        <f t="shared" si="49"/>
        <v>0</v>
      </c>
      <c r="BU92" s="11">
        <f t="shared" si="49"/>
        <v>0</v>
      </c>
      <c r="BV92" s="11">
        <f t="shared" si="49"/>
        <v>0</v>
      </c>
      <c r="BW92" s="11">
        <f t="shared" si="49"/>
        <v>0</v>
      </c>
      <c r="BX92" s="11">
        <f t="shared" si="49"/>
        <v>0</v>
      </c>
      <c r="BY92" s="11">
        <f t="shared" si="49"/>
        <v>0</v>
      </c>
      <c r="BZ92" s="11">
        <f t="shared" si="49"/>
        <v>0</v>
      </c>
      <c r="CA92" s="11">
        <f t="shared" si="49"/>
        <v>0</v>
      </c>
      <c r="CB92" s="11">
        <f t="shared" si="49"/>
        <v>0</v>
      </c>
      <c r="CC92" s="11">
        <f t="shared" si="49"/>
        <v>0</v>
      </c>
      <c r="CD92" s="11">
        <f t="shared" si="49"/>
        <v>0</v>
      </c>
      <c r="CE92" s="11">
        <f t="shared" si="49"/>
        <v>0</v>
      </c>
      <c r="CF92" s="11">
        <f t="shared" si="49"/>
        <v>0</v>
      </c>
      <c r="CG92" s="11">
        <f t="shared" si="49"/>
        <v>0</v>
      </c>
      <c r="CH92" s="11">
        <f t="shared" si="49"/>
        <v>0</v>
      </c>
      <c r="CI92" s="11">
        <f t="shared" si="49"/>
        <v>0</v>
      </c>
      <c r="CJ92" s="11">
        <f t="shared" si="49"/>
        <v>0</v>
      </c>
      <c r="CK92" s="11">
        <f t="shared" si="49"/>
        <v>0</v>
      </c>
      <c r="CL92" s="11">
        <f t="shared" si="49"/>
        <v>0</v>
      </c>
      <c r="CM92" s="11">
        <f t="shared" si="49"/>
        <v>0</v>
      </c>
      <c r="CN92" s="11">
        <f t="shared" si="49"/>
        <v>0</v>
      </c>
      <c r="CO92" s="11">
        <f t="shared" si="49"/>
        <v>0</v>
      </c>
      <c r="CP92" s="11">
        <f t="shared" si="49"/>
        <v>0</v>
      </c>
      <c r="CQ92" s="11">
        <f t="shared" si="49"/>
        <v>0</v>
      </c>
      <c r="CR92" s="11">
        <f t="shared" si="49"/>
        <v>0</v>
      </c>
      <c r="CS92" s="11">
        <f t="shared" si="49"/>
        <v>0</v>
      </c>
      <c r="CT92" s="11">
        <f t="shared" si="49"/>
        <v>0</v>
      </c>
      <c r="CU92" s="11">
        <f t="shared" si="49"/>
        <v>0</v>
      </c>
      <c r="CV92" s="11">
        <f t="shared" si="49"/>
        <v>0</v>
      </c>
      <c r="CW92" s="11">
        <f t="shared" si="49"/>
        <v>0</v>
      </c>
      <c r="CX92" s="11">
        <f t="shared" si="49"/>
        <v>0</v>
      </c>
      <c r="CY92" s="11">
        <f t="shared" si="49"/>
        <v>0</v>
      </c>
      <c r="CZ92" s="11">
        <f t="shared" si="49"/>
        <v>0</v>
      </c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</row>
    <row r="93" spans="1:122" ht="18" customHeight="1">
      <c r="A93" s="13" t="s">
        <v>67</v>
      </c>
      <c r="B93" s="14">
        <f>IFERROR(VLOOKUP(A93,PRICELIST!$A$3:$D$138,4,0),"-")</f>
        <v>140.13999999999999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9">
        <f t="shared" ref="CY93:CZ94" si="50">C93+E93+G93+I93+K93+M93+O93+Q93+S93+U93+W93+Y93+AA93+AC93+AE93+AG93+AI93+AK93+AM93+AO93+AQ93+AS93+AU93+AW93+AY93+BA93+BC93+BE93+BG93+BI93+BK93+BM93+BO93+BQ93+BS93+BU93+BW93+BY93+CA93+CC93+CE93+CG93+CI93+CK93+CM93+CO93+CQ93+CS93+CU93+CW93</f>
        <v>0</v>
      </c>
      <c r="CZ93" s="19">
        <f t="shared" si="50"/>
        <v>0</v>
      </c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</row>
    <row r="94" spans="1:122" ht="18" customHeight="1">
      <c r="A94" s="13" t="s">
        <v>68</v>
      </c>
      <c r="B94" s="14">
        <f>IFERROR(VLOOKUP(A94,PRICELIST!$A$3:$D$138,4,0),"-")</f>
        <v>203.14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9">
        <f t="shared" si="50"/>
        <v>0</v>
      </c>
      <c r="CZ94" s="19">
        <f t="shared" si="50"/>
        <v>0</v>
      </c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</row>
    <row r="95" spans="1:122" ht="18" customHeight="1">
      <c r="A95" s="9" t="s">
        <v>69</v>
      </c>
      <c r="B95" s="10"/>
      <c r="C95" s="11">
        <f>SUMPRODUCT($B93:$B94,C93:C94)</f>
        <v>0</v>
      </c>
      <c r="D95" s="11">
        <f t="shared" ref="D95:BO95" si="51">SUMPRODUCT($B93:$B94,D93:D94)</f>
        <v>0</v>
      </c>
      <c r="E95" s="11">
        <f t="shared" si="51"/>
        <v>0</v>
      </c>
      <c r="F95" s="11">
        <f t="shared" si="51"/>
        <v>0</v>
      </c>
      <c r="G95" s="11">
        <f t="shared" si="51"/>
        <v>0</v>
      </c>
      <c r="H95" s="11">
        <f t="shared" si="51"/>
        <v>0</v>
      </c>
      <c r="I95" s="11">
        <f t="shared" si="51"/>
        <v>0</v>
      </c>
      <c r="J95" s="11">
        <f t="shared" si="51"/>
        <v>0</v>
      </c>
      <c r="K95" s="11">
        <f t="shared" si="51"/>
        <v>0</v>
      </c>
      <c r="L95" s="11">
        <f t="shared" si="51"/>
        <v>0</v>
      </c>
      <c r="M95" s="11">
        <f t="shared" si="51"/>
        <v>0</v>
      </c>
      <c r="N95" s="11">
        <f t="shared" si="51"/>
        <v>0</v>
      </c>
      <c r="O95" s="11">
        <f t="shared" si="51"/>
        <v>0</v>
      </c>
      <c r="P95" s="11">
        <f t="shared" si="51"/>
        <v>0</v>
      </c>
      <c r="Q95" s="11">
        <f t="shared" si="51"/>
        <v>0</v>
      </c>
      <c r="R95" s="11">
        <f t="shared" si="51"/>
        <v>0</v>
      </c>
      <c r="S95" s="11">
        <f t="shared" si="51"/>
        <v>0</v>
      </c>
      <c r="T95" s="11">
        <f t="shared" si="51"/>
        <v>0</v>
      </c>
      <c r="U95" s="11">
        <f t="shared" si="51"/>
        <v>0</v>
      </c>
      <c r="V95" s="11">
        <f t="shared" si="51"/>
        <v>0</v>
      </c>
      <c r="W95" s="11">
        <f t="shared" si="51"/>
        <v>0</v>
      </c>
      <c r="X95" s="11">
        <f t="shared" si="51"/>
        <v>0</v>
      </c>
      <c r="Y95" s="11">
        <f t="shared" si="51"/>
        <v>0</v>
      </c>
      <c r="Z95" s="11">
        <f t="shared" si="51"/>
        <v>0</v>
      </c>
      <c r="AA95" s="11">
        <f t="shared" si="51"/>
        <v>0</v>
      </c>
      <c r="AB95" s="11">
        <f t="shared" si="51"/>
        <v>0</v>
      </c>
      <c r="AC95" s="11">
        <f t="shared" si="51"/>
        <v>0</v>
      </c>
      <c r="AD95" s="11">
        <f t="shared" si="51"/>
        <v>0</v>
      </c>
      <c r="AE95" s="11">
        <f t="shared" si="51"/>
        <v>0</v>
      </c>
      <c r="AF95" s="11">
        <f t="shared" si="51"/>
        <v>0</v>
      </c>
      <c r="AG95" s="11">
        <f t="shared" si="51"/>
        <v>0</v>
      </c>
      <c r="AH95" s="11">
        <f t="shared" si="51"/>
        <v>0</v>
      </c>
      <c r="AI95" s="11">
        <f t="shared" si="51"/>
        <v>0</v>
      </c>
      <c r="AJ95" s="11">
        <f t="shared" si="51"/>
        <v>0</v>
      </c>
      <c r="AK95" s="11">
        <f t="shared" si="51"/>
        <v>0</v>
      </c>
      <c r="AL95" s="11">
        <f t="shared" si="51"/>
        <v>0</v>
      </c>
      <c r="AM95" s="11">
        <f t="shared" si="51"/>
        <v>0</v>
      </c>
      <c r="AN95" s="11">
        <f t="shared" si="51"/>
        <v>0</v>
      </c>
      <c r="AO95" s="11">
        <f t="shared" si="51"/>
        <v>0</v>
      </c>
      <c r="AP95" s="11">
        <f t="shared" si="51"/>
        <v>0</v>
      </c>
      <c r="AQ95" s="11">
        <f t="shared" si="51"/>
        <v>0</v>
      </c>
      <c r="AR95" s="11">
        <f t="shared" si="51"/>
        <v>0</v>
      </c>
      <c r="AS95" s="11">
        <f t="shared" si="51"/>
        <v>0</v>
      </c>
      <c r="AT95" s="11">
        <f t="shared" si="51"/>
        <v>0</v>
      </c>
      <c r="AU95" s="11">
        <f t="shared" si="51"/>
        <v>0</v>
      </c>
      <c r="AV95" s="11">
        <f t="shared" si="51"/>
        <v>0</v>
      </c>
      <c r="AW95" s="11">
        <f t="shared" si="51"/>
        <v>0</v>
      </c>
      <c r="AX95" s="11">
        <f t="shared" si="51"/>
        <v>0</v>
      </c>
      <c r="AY95" s="11">
        <f t="shared" si="51"/>
        <v>0</v>
      </c>
      <c r="AZ95" s="11">
        <f t="shared" si="51"/>
        <v>0</v>
      </c>
      <c r="BA95" s="11">
        <f t="shared" si="51"/>
        <v>0</v>
      </c>
      <c r="BB95" s="11">
        <f t="shared" si="51"/>
        <v>0</v>
      </c>
      <c r="BC95" s="11">
        <f t="shared" si="51"/>
        <v>0</v>
      </c>
      <c r="BD95" s="11">
        <f t="shared" si="51"/>
        <v>0</v>
      </c>
      <c r="BE95" s="11">
        <f t="shared" si="51"/>
        <v>0</v>
      </c>
      <c r="BF95" s="11">
        <f t="shared" si="51"/>
        <v>0</v>
      </c>
      <c r="BG95" s="11">
        <f t="shared" si="51"/>
        <v>0</v>
      </c>
      <c r="BH95" s="11">
        <f t="shared" si="51"/>
        <v>0</v>
      </c>
      <c r="BI95" s="11">
        <f t="shared" si="51"/>
        <v>0</v>
      </c>
      <c r="BJ95" s="11">
        <f t="shared" si="51"/>
        <v>0</v>
      </c>
      <c r="BK95" s="11">
        <f t="shared" si="51"/>
        <v>0</v>
      </c>
      <c r="BL95" s="11">
        <f t="shared" si="51"/>
        <v>0</v>
      </c>
      <c r="BM95" s="11">
        <f t="shared" si="51"/>
        <v>0</v>
      </c>
      <c r="BN95" s="11">
        <f t="shared" si="51"/>
        <v>0</v>
      </c>
      <c r="BO95" s="11">
        <f t="shared" si="51"/>
        <v>0</v>
      </c>
      <c r="BP95" s="11">
        <f t="shared" ref="BP95:CZ95" si="52">SUMPRODUCT($B93:$B94,BP93:BP94)</f>
        <v>0</v>
      </c>
      <c r="BQ95" s="11">
        <f t="shared" si="52"/>
        <v>0</v>
      </c>
      <c r="BR95" s="11">
        <f t="shared" si="52"/>
        <v>0</v>
      </c>
      <c r="BS95" s="11">
        <f t="shared" si="52"/>
        <v>0</v>
      </c>
      <c r="BT95" s="11">
        <f t="shared" si="52"/>
        <v>0</v>
      </c>
      <c r="BU95" s="11">
        <f t="shared" si="52"/>
        <v>0</v>
      </c>
      <c r="BV95" s="11">
        <f t="shared" si="52"/>
        <v>0</v>
      </c>
      <c r="BW95" s="11">
        <f t="shared" si="52"/>
        <v>0</v>
      </c>
      <c r="BX95" s="11">
        <f t="shared" si="52"/>
        <v>0</v>
      </c>
      <c r="BY95" s="11">
        <f t="shared" si="52"/>
        <v>0</v>
      </c>
      <c r="BZ95" s="11">
        <f t="shared" si="52"/>
        <v>0</v>
      </c>
      <c r="CA95" s="11">
        <f t="shared" si="52"/>
        <v>0</v>
      </c>
      <c r="CB95" s="11">
        <f t="shared" si="52"/>
        <v>0</v>
      </c>
      <c r="CC95" s="11">
        <f t="shared" si="52"/>
        <v>0</v>
      </c>
      <c r="CD95" s="11">
        <f t="shared" si="52"/>
        <v>0</v>
      </c>
      <c r="CE95" s="11">
        <f t="shared" si="52"/>
        <v>0</v>
      </c>
      <c r="CF95" s="11">
        <f t="shared" si="52"/>
        <v>0</v>
      </c>
      <c r="CG95" s="11">
        <f t="shared" si="52"/>
        <v>0</v>
      </c>
      <c r="CH95" s="11">
        <f t="shared" si="52"/>
        <v>0</v>
      </c>
      <c r="CI95" s="11">
        <f t="shared" si="52"/>
        <v>0</v>
      </c>
      <c r="CJ95" s="11">
        <f t="shared" si="52"/>
        <v>0</v>
      </c>
      <c r="CK95" s="11">
        <f t="shared" si="52"/>
        <v>0</v>
      </c>
      <c r="CL95" s="11">
        <f t="shared" si="52"/>
        <v>0</v>
      </c>
      <c r="CM95" s="11">
        <f t="shared" si="52"/>
        <v>0</v>
      </c>
      <c r="CN95" s="11">
        <f t="shared" si="52"/>
        <v>0</v>
      </c>
      <c r="CO95" s="11">
        <f t="shared" si="52"/>
        <v>0</v>
      </c>
      <c r="CP95" s="11">
        <f t="shared" si="52"/>
        <v>0</v>
      </c>
      <c r="CQ95" s="11">
        <f t="shared" si="52"/>
        <v>0</v>
      </c>
      <c r="CR95" s="11">
        <f t="shared" si="52"/>
        <v>0</v>
      </c>
      <c r="CS95" s="11">
        <f t="shared" si="52"/>
        <v>0</v>
      </c>
      <c r="CT95" s="11">
        <f t="shared" si="52"/>
        <v>0</v>
      </c>
      <c r="CU95" s="11">
        <f t="shared" si="52"/>
        <v>0</v>
      </c>
      <c r="CV95" s="11">
        <f t="shared" si="52"/>
        <v>0</v>
      </c>
      <c r="CW95" s="11">
        <f t="shared" si="52"/>
        <v>0</v>
      </c>
      <c r="CX95" s="11">
        <f t="shared" si="52"/>
        <v>0</v>
      </c>
      <c r="CY95" s="11">
        <f t="shared" si="52"/>
        <v>0</v>
      </c>
      <c r="CZ95" s="11">
        <f t="shared" si="52"/>
        <v>0</v>
      </c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</row>
    <row r="96" spans="1:122" ht="18" customHeight="1">
      <c r="A96" s="34" t="s">
        <v>126</v>
      </c>
      <c r="B96" s="14">
        <f>IFERROR(VLOOKUP(A96,PRICELIST!$A$3:$D$138,4,0),"-")</f>
        <v>201.54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9">
        <f t="shared" ref="CY96:CZ98" si="53">C96+E96+G96+I96+K96+M96+O96+Q96+S96+U96+W96+Y96+AA96+AC96+AE96+AG96+AI96+AK96+AM96+AO96+AQ96+AS96+AU96+AW96+AY96+BA96+BC96+BE96+BG96+BI96+BK96+BM96+BO96+BQ96+BS96+BU96+BW96+BY96+CA96+CC96+CE96+CG96+CI96+CK96+CM96+CO96+CQ96+CS96+CU96+CW96</f>
        <v>0</v>
      </c>
      <c r="CZ96" s="19">
        <f t="shared" si="53"/>
        <v>0</v>
      </c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</row>
    <row r="97" spans="1:122" ht="18" customHeight="1">
      <c r="A97" s="13" t="s">
        <v>123</v>
      </c>
      <c r="B97" s="14">
        <f>IFERROR(VLOOKUP(A97,PRICELIST!$A$3:$D$138,4,0),"-")</f>
        <v>225.64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9">
        <f t="shared" si="53"/>
        <v>0</v>
      </c>
      <c r="CZ97" s="19">
        <f t="shared" si="53"/>
        <v>0</v>
      </c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</row>
    <row r="98" spans="1:122" ht="18" customHeight="1">
      <c r="A98" s="13" t="s">
        <v>131</v>
      </c>
      <c r="B98" s="14">
        <f>IFERROR(VLOOKUP(A98,PRICELIST!$A$3:$D$138,4,0),"-")</f>
        <v>198.64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9">
        <f t="shared" si="53"/>
        <v>0</v>
      </c>
      <c r="CZ98" s="19">
        <f t="shared" si="53"/>
        <v>0</v>
      </c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</row>
    <row r="99" spans="1:122" ht="18" customHeight="1">
      <c r="A99" s="9" t="s">
        <v>70</v>
      </c>
      <c r="B99" s="10"/>
      <c r="C99" s="11">
        <f t="shared" ref="C99:BN99" si="54">SUMPRODUCT($B96:$B98,C96:C98)</f>
        <v>0</v>
      </c>
      <c r="D99" s="11">
        <f t="shared" si="54"/>
        <v>0</v>
      </c>
      <c r="E99" s="11">
        <f t="shared" si="54"/>
        <v>0</v>
      </c>
      <c r="F99" s="11">
        <f t="shared" si="54"/>
        <v>0</v>
      </c>
      <c r="G99" s="11">
        <f t="shared" si="54"/>
        <v>0</v>
      </c>
      <c r="H99" s="11">
        <f t="shared" si="54"/>
        <v>0</v>
      </c>
      <c r="I99" s="11">
        <f t="shared" si="54"/>
        <v>0</v>
      </c>
      <c r="J99" s="11">
        <f t="shared" si="54"/>
        <v>0</v>
      </c>
      <c r="K99" s="11">
        <f t="shared" si="54"/>
        <v>0</v>
      </c>
      <c r="L99" s="11">
        <f t="shared" si="54"/>
        <v>0</v>
      </c>
      <c r="M99" s="11">
        <f t="shared" si="54"/>
        <v>0</v>
      </c>
      <c r="N99" s="11">
        <f t="shared" si="54"/>
        <v>0</v>
      </c>
      <c r="O99" s="11">
        <f t="shared" si="54"/>
        <v>0</v>
      </c>
      <c r="P99" s="11">
        <f t="shared" si="54"/>
        <v>0</v>
      </c>
      <c r="Q99" s="11">
        <f t="shared" si="54"/>
        <v>0</v>
      </c>
      <c r="R99" s="11">
        <f t="shared" si="54"/>
        <v>0</v>
      </c>
      <c r="S99" s="11">
        <f t="shared" si="54"/>
        <v>0</v>
      </c>
      <c r="T99" s="11">
        <f t="shared" si="54"/>
        <v>0</v>
      </c>
      <c r="U99" s="11">
        <f t="shared" si="54"/>
        <v>0</v>
      </c>
      <c r="V99" s="11">
        <f t="shared" si="54"/>
        <v>0</v>
      </c>
      <c r="W99" s="11">
        <f t="shared" si="54"/>
        <v>0</v>
      </c>
      <c r="X99" s="11">
        <f t="shared" si="54"/>
        <v>0</v>
      </c>
      <c r="Y99" s="11">
        <f t="shared" si="54"/>
        <v>0</v>
      </c>
      <c r="Z99" s="11">
        <f t="shared" si="54"/>
        <v>0</v>
      </c>
      <c r="AA99" s="11">
        <f t="shared" si="54"/>
        <v>0</v>
      </c>
      <c r="AB99" s="11">
        <f t="shared" si="54"/>
        <v>0</v>
      </c>
      <c r="AC99" s="11">
        <f t="shared" si="54"/>
        <v>0</v>
      </c>
      <c r="AD99" s="11">
        <f t="shared" si="54"/>
        <v>0</v>
      </c>
      <c r="AE99" s="11">
        <f t="shared" si="54"/>
        <v>0</v>
      </c>
      <c r="AF99" s="11">
        <f t="shared" si="54"/>
        <v>0</v>
      </c>
      <c r="AG99" s="11">
        <f t="shared" si="54"/>
        <v>0</v>
      </c>
      <c r="AH99" s="11">
        <f t="shared" si="54"/>
        <v>0</v>
      </c>
      <c r="AI99" s="11">
        <f t="shared" si="54"/>
        <v>0</v>
      </c>
      <c r="AJ99" s="11">
        <f t="shared" si="54"/>
        <v>0</v>
      </c>
      <c r="AK99" s="11">
        <f t="shared" si="54"/>
        <v>0</v>
      </c>
      <c r="AL99" s="11">
        <f t="shared" si="54"/>
        <v>0</v>
      </c>
      <c r="AM99" s="11">
        <f t="shared" si="54"/>
        <v>0</v>
      </c>
      <c r="AN99" s="11">
        <f t="shared" si="54"/>
        <v>0</v>
      </c>
      <c r="AO99" s="11">
        <f t="shared" si="54"/>
        <v>0</v>
      </c>
      <c r="AP99" s="11">
        <f t="shared" si="54"/>
        <v>0</v>
      </c>
      <c r="AQ99" s="11">
        <f t="shared" si="54"/>
        <v>0</v>
      </c>
      <c r="AR99" s="11">
        <f t="shared" si="54"/>
        <v>0</v>
      </c>
      <c r="AS99" s="11">
        <f t="shared" si="54"/>
        <v>0</v>
      </c>
      <c r="AT99" s="11">
        <f t="shared" si="54"/>
        <v>0</v>
      </c>
      <c r="AU99" s="11">
        <f t="shared" si="54"/>
        <v>0</v>
      </c>
      <c r="AV99" s="11">
        <f t="shared" si="54"/>
        <v>0</v>
      </c>
      <c r="AW99" s="11">
        <f t="shared" si="54"/>
        <v>0</v>
      </c>
      <c r="AX99" s="11">
        <f t="shared" si="54"/>
        <v>0</v>
      </c>
      <c r="AY99" s="11">
        <f t="shared" si="54"/>
        <v>0</v>
      </c>
      <c r="AZ99" s="11">
        <f t="shared" si="54"/>
        <v>0</v>
      </c>
      <c r="BA99" s="11">
        <f t="shared" si="54"/>
        <v>0</v>
      </c>
      <c r="BB99" s="11">
        <f t="shared" si="54"/>
        <v>0</v>
      </c>
      <c r="BC99" s="11">
        <f t="shared" si="54"/>
        <v>0</v>
      </c>
      <c r="BD99" s="11">
        <f t="shared" si="54"/>
        <v>0</v>
      </c>
      <c r="BE99" s="11">
        <f t="shared" si="54"/>
        <v>0</v>
      </c>
      <c r="BF99" s="11">
        <f t="shared" si="54"/>
        <v>0</v>
      </c>
      <c r="BG99" s="11">
        <f t="shared" si="54"/>
        <v>0</v>
      </c>
      <c r="BH99" s="11">
        <f t="shared" si="54"/>
        <v>0</v>
      </c>
      <c r="BI99" s="11">
        <f t="shared" si="54"/>
        <v>0</v>
      </c>
      <c r="BJ99" s="11">
        <f t="shared" si="54"/>
        <v>0</v>
      </c>
      <c r="BK99" s="11">
        <f t="shared" si="54"/>
        <v>0</v>
      </c>
      <c r="BL99" s="11">
        <f t="shared" si="54"/>
        <v>0</v>
      </c>
      <c r="BM99" s="11">
        <f t="shared" si="54"/>
        <v>0</v>
      </c>
      <c r="BN99" s="11">
        <f t="shared" si="54"/>
        <v>0</v>
      </c>
      <c r="BO99" s="11">
        <f t="shared" ref="BO99:CZ99" si="55">SUMPRODUCT($B96:$B98,BO96:BO98)</f>
        <v>0</v>
      </c>
      <c r="BP99" s="11">
        <f t="shared" si="55"/>
        <v>0</v>
      </c>
      <c r="BQ99" s="11">
        <f t="shared" si="55"/>
        <v>0</v>
      </c>
      <c r="BR99" s="11">
        <f t="shared" si="55"/>
        <v>0</v>
      </c>
      <c r="BS99" s="11">
        <f t="shared" si="55"/>
        <v>0</v>
      </c>
      <c r="BT99" s="11">
        <f t="shared" si="55"/>
        <v>0</v>
      </c>
      <c r="BU99" s="11">
        <f t="shared" si="55"/>
        <v>0</v>
      </c>
      <c r="BV99" s="11">
        <f t="shared" si="55"/>
        <v>0</v>
      </c>
      <c r="BW99" s="11">
        <f t="shared" si="55"/>
        <v>0</v>
      </c>
      <c r="BX99" s="11">
        <f t="shared" si="55"/>
        <v>0</v>
      </c>
      <c r="BY99" s="11">
        <f t="shared" si="55"/>
        <v>0</v>
      </c>
      <c r="BZ99" s="11">
        <f t="shared" si="55"/>
        <v>0</v>
      </c>
      <c r="CA99" s="11">
        <f t="shared" si="55"/>
        <v>0</v>
      </c>
      <c r="CB99" s="11">
        <f t="shared" si="55"/>
        <v>0</v>
      </c>
      <c r="CC99" s="11">
        <f t="shared" si="55"/>
        <v>0</v>
      </c>
      <c r="CD99" s="11">
        <f t="shared" si="55"/>
        <v>0</v>
      </c>
      <c r="CE99" s="11">
        <f t="shared" si="55"/>
        <v>0</v>
      </c>
      <c r="CF99" s="11">
        <f t="shared" si="55"/>
        <v>0</v>
      </c>
      <c r="CG99" s="11">
        <f t="shared" si="55"/>
        <v>0</v>
      </c>
      <c r="CH99" s="11">
        <f t="shared" si="55"/>
        <v>0</v>
      </c>
      <c r="CI99" s="11">
        <f t="shared" si="55"/>
        <v>0</v>
      </c>
      <c r="CJ99" s="11">
        <f t="shared" si="55"/>
        <v>0</v>
      </c>
      <c r="CK99" s="11">
        <f t="shared" si="55"/>
        <v>0</v>
      </c>
      <c r="CL99" s="11">
        <f t="shared" si="55"/>
        <v>0</v>
      </c>
      <c r="CM99" s="11">
        <f t="shared" si="55"/>
        <v>0</v>
      </c>
      <c r="CN99" s="11">
        <f t="shared" si="55"/>
        <v>0</v>
      </c>
      <c r="CO99" s="11">
        <f t="shared" si="55"/>
        <v>0</v>
      </c>
      <c r="CP99" s="11">
        <f t="shared" si="55"/>
        <v>0</v>
      </c>
      <c r="CQ99" s="11">
        <f t="shared" si="55"/>
        <v>0</v>
      </c>
      <c r="CR99" s="11">
        <f t="shared" si="55"/>
        <v>0</v>
      </c>
      <c r="CS99" s="11">
        <f t="shared" si="55"/>
        <v>0</v>
      </c>
      <c r="CT99" s="11">
        <f t="shared" si="55"/>
        <v>0</v>
      </c>
      <c r="CU99" s="11">
        <f t="shared" si="55"/>
        <v>0</v>
      </c>
      <c r="CV99" s="11">
        <f t="shared" si="55"/>
        <v>0</v>
      </c>
      <c r="CW99" s="11">
        <f t="shared" si="55"/>
        <v>0</v>
      </c>
      <c r="CX99" s="11">
        <f t="shared" si="55"/>
        <v>0</v>
      </c>
      <c r="CY99" s="11">
        <f t="shared" si="55"/>
        <v>0</v>
      </c>
      <c r="CZ99" s="11">
        <f t="shared" si="55"/>
        <v>0</v>
      </c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</row>
    <row r="100" spans="1:122" ht="18" customHeight="1">
      <c r="A100" s="13" t="s">
        <v>134</v>
      </c>
      <c r="B100" s="14">
        <f>IFERROR(VLOOKUP(A100,PRICELIST!$A$3:$D$138,4,0),"-")</f>
        <v>52.46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9">
        <f t="shared" ref="CY100:CZ109" si="56">C100+E100+G100+I100+K100+M100+O100+Q100+S100+U100+W100+Y100+AA100+AC100+AE100+AG100+AI100+AK100+AM100+AO100+AQ100+AS100+AU100+AW100+AY100+BA100+BC100+BE100+BG100+BI100+BK100+BM100+BO100+BQ100+BS100+BU100+BW100+BY100+CA100+CC100+CE100+CG100+CI100+CK100+CM100+CO100+CQ100+CS100+CU100+CW100</f>
        <v>0</v>
      </c>
      <c r="CZ100" s="19">
        <f t="shared" si="56"/>
        <v>0</v>
      </c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</row>
    <row r="101" spans="1:122" ht="18" customHeight="1">
      <c r="A101" s="13" t="s">
        <v>135</v>
      </c>
      <c r="B101" s="14">
        <f>IFERROR(VLOOKUP(A101,PRICELIST!$A$3:$D$138,4,0),"-")</f>
        <v>89.62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9">
        <f t="shared" si="56"/>
        <v>0</v>
      </c>
      <c r="CZ101" s="19">
        <f t="shared" si="56"/>
        <v>0</v>
      </c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</row>
    <row r="102" spans="1:122" ht="18" customHeight="1">
      <c r="A102" s="13" t="s">
        <v>136</v>
      </c>
      <c r="B102" s="14">
        <f>IFERROR(VLOOKUP(A102,PRICELIST!$A$3:$D$138,4,0),"-")</f>
        <v>83.41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9">
        <f t="shared" si="56"/>
        <v>0</v>
      </c>
      <c r="CZ102" s="19">
        <f t="shared" si="56"/>
        <v>0</v>
      </c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</row>
    <row r="103" spans="1:122" ht="18" customHeight="1">
      <c r="A103" s="13" t="s">
        <v>137</v>
      </c>
      <c r="B103" s="14">
        <f>IFERROR(VLOOKUP(A103,PRICELIST!$A$3:$D$138,4,0),"-")</f>
        <v>109.58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9">
        <f t="shared" si="56"/>
        <v>0</v>
      </c>
      <c r="CZ103" s="19">
        <f t="shared" si="56"/>
        <v>0</v>
      </c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</row>
    <row r="104" spans="1:122" ht="18" customHeight="1">
      <c r="A104" s="13" t="s">
        <v>140</v>
      </c>
      <c r="B104" s="14">
        <f>IFERROR(VLOOKUP(A104,PRICELIST!$A$3:$D$138,4,0),"-")</f>
        <v>28.8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9">
        <f>C104+E104+G104+I104+K104+M104+O104+Q104+S104+U104+W104+Y104+AA104+AC104+AE104+AG104+AI104+AK104+AM104+AO104+AQ104+AS104+AU104+AW104+AY104+BA104+BC104+BE104+BG104+BI104+BK104+BM104+BO104+BQ104+BS104+BU104+BW104+BY104+CA104+CC104+CE104+CG104+CI104+CK104+CM104+CO104+CQ104+CS104+CU104+CW104</f>
        <v>0</v>
      </c>
      <c r="CZ104" s="19">
        <f>D104+F104+H104+J104+L104+N104+P104+R104+T104+V104+X104+Z104+AB104+AD104+AF104+AH104+AJ104+AL104+AN104+AP104+AR104+AT104+AV104+AX104+AZ104+BB104+BD104+BF104+BH104+BJ104+BL104+BN104+BP104+BR104+BT104+BV104+BX104+BZ104+CB104+CD104+CF104+CH104+CJ104+CL104+CN104+CP104+CR104+CT104+CV104+CX104</f>
        <v>0</v>
      </c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</row>
    <row r="105" spans="1:122" ht="18" customHeight="1">
      <c r="A105" s="13" t="s">
        <v>141</v>
      </c>
      <c r="B105" s="14">
        <f>IFERROR(VLOOKUP(A105,PRICELIST!$A$3:$D$138,4,0),"-")</f>
        <v>60.43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9">
        <f>C105+E105+G105+I105+K105+M105+O105+Q105+S105+U105+W105+Y105+AA105+AC105+AE105+AG105+AI105+AK105+AM105+AO105+AQ105+AS105+AU105+AW105+AY105+BA105+BC105+BE105+BG105+BI105+BK105+BM105+BO105+BQ105+BS105+BU105+BW105+BY105+CA105+CC105+CE105+CG105+CI105+CK105+CM105+CO105+CQ105+CS105+CU105+CW105</f>
        <v>0</v>
      </c>
      <c r="CZ105" s="19">
        <f>D105+F105+H105+J105+L105+N105+P105+R105+T105+V105+X105+Z105+AB105+AD105+AF105+AH105+AJ105+AL105+AN105+AP105+AR105+AT105+AV105+AX105+AZ105+BB105+BD105+BF105+BH105+BJ105+BL105+BN105+BP105+BR105+BT105+BV105+BX105+BZ105+CB105+CD105+CF105+CH105+CJ105+CL105+CN105+CP105+CR105+CT105+CV105+CX105</f>
        <v>0</v>
      </c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</row>
    <row r="106" spans="1:122" ht="18" customHeight="1">
      <c r="A106" s="13" t="s">
        <v>138</v>
      </c>
      <c r="B106" s="14">
        <f>IFERROR(VLOOKUP(A106,PRICELIST!$A$3:$D$138,4,0),"-")</f>
        <v>96.43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9">
        <f t="shared" si="56"/>
        <v>0</v>
      </c>
      <c r="CZ106" s="19">
        <f t="shared" si="56"/>
        <v>0</v>
      </c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</row>
    <row r="107" spans="1:122" ht="18" customHeight="1">
      <c r="A107" s="13" t="s">
        <v>139</v>
      </c>
      <c r="B107" s="14">
        <f>IFERROR(VLOOKUP(A107,PRICELIST!$A$3:$D$138,4,0),"-")</f>
        <v>123.43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9">
        <f t="shared" si="56"/>
        <v>0</v>
      </c>
      <c r="CZ107" s="19">
        <f t="shared" si="56"/>
        <v>0</v>
      </c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</row>
    <row r="108" spans="1:122" ht="18" customHeight="1">
      <c r="A108" s="13" t="s">
        <v>142</v>
      </c>
      <c r="B108" s="14">
        <f>IFERROR(VLOOKUP(A108,PRICELIST!$A$3:$D$138,4,0),"-")</f>
        <v>121.5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9">
        <f t="shared" si="56"/>
        <v>0</v>
      </c>
      <c r="CZ108" s="19">
        <f t="shared" si="56"/>
        <v>0</v>
      </c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</row>
    <row r="109" spans="1:122" ht="18" customHeight="1">
      <c r="A109" s="13" t="s">
        <v>143</v>
      </c>
      <c r="B109" s="14">
        <f>IFERROR(VLOOKUP(A109,PRICELIST!$A$3:$D$138,4,0),"-")</f>
        <v>109.23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9">
        <f t="shared" si="56"/>
        <v>0</v>
      </c>
      <c r="CZ109" s="19">
        <f t="shared" si="56"/>
        <v>0</v>
      </c>
    </row>
    <row r="110" spans="1:122" ht="18" customHeight="1">
      <c r="A110" s="9" t="s">
        <v>144</v>
      </c>
      <c r="B110" s="10"/>
      <c r="C110" s="11">
        <f t="shared" ref="C110:AH110" si="57">SUMPRODUCT($B100:$B109,C100:C109)</f>
        <v>0</v>
      </c>
      <c r="D110" s="11">
        <f t="shared" si="57"/>
        <v>0</v>
      </c>
      <c r="E110" s="11">
        <f t="shared" si="57"/>
        <v>0</v>
      </c>
      <c r="F110" s="11">
        <f t="shared" si="57"/>
        <v>0</v>
      </c>
      <c r="G110" s="11">
        <f t="shared" si="57"/>
        <v>0</v>
      </c>
      <c r="H110" s="11">
        <f t="shared" si="57"/>
        <v>0</v>
      </c>
      <c r="I110" s="11">
        <f t="shared" si="57"/>
        <v>0</v>
      </c>
      <c r="J110" s="11">
        <f t="shared" si="57"/>
        <v>0</v>
      </c>
      <c r="K110" s="11">
        <f t="shared" si="57"/>
        <v>0</v>
      </c>
      <c r="L110" s="11">
        <f t="shared" si="57"/>
        <v>0</v>
      </c>
      <c r="M110" s="11">
        <f t="shared" si="57"/>
        <v>0</v>
      </c>
      <c r="N110" s="11">
        <f t="shared" si="57"/>
        <v>0</v>
      </c>
      <c r="O110" s="11">
        <f t="shared" si="57"/>
        <v>0</v>
      </c>
      <c r="P110" s="11">
        <f t="shared" si="57"/>
        <v>0</v>
      </c>
      <c r="Q110" s="11">
        <f t="shared" si="57"/>
        <v>0</v>
      </c>
      <c r="R110" s="11">
        <f t="shared" si="57"/>
        <v>0</v>
      </c>
      <c r="S110" s="11">
        <f t="shared" si="57"/>
        <v>0</v>
      </c>
      <c r="T110" s="11">
        <f t="shared" si="57"/>
        <v>0</v>
      </c>
      <c r="U110" s="11">
        <f t="shared" si="57"/>
        <v>0</v>
      </c>
      <c r="V110" s="11">
        <f t="shared" si="57"/>
        <v>0</v>
      </c>
      <c r="W110" s="11">
        <f t="shared" si="57"/>
        <v>0</v>
      </c>
      <c r="X110" s="11">
        <f t="shared" si="57"/>
        <v>0</v>
      </c>
      <c r="Y110" s="11">
        <f t="shared" si="57"/>
        <v>0</v>
      </c>
      <c r="Z110" s="11">
        <f t="shared" si="57"/>
        <v>0</v>
      </c>
      <c r="AA110" s="11">
        <f t="shared" si="57"/>
        <v>0</v>
      </c>
      <c r="AB110" s="11">
        <f t="shared" si="57"/>
        <v>0</v>
      </c>
      <c r="AC110" s="11">
        <f t="shared" si="57"/>
        <v>0</v>
      </c>
      <c r="AD110" s="11">
        <f t="shared" si="57"/>
        <v>0</v>
      </c>
      <c r="AE110" s="11">
        <f t="shared" si="57"/>
        <v>0</v>
      </c>
      <c r="AF110" s="11">
        <f t="shared" si="57"/>
        <v>0</v>
      </c>
      <c r="AG110" s="11">
        <f t="shared" si="57"/>
        <v>0</v>
      </c>
      <c r="AH110" s="11">
        <f t="shared" si="57"/>
        <v>0</v>
      </c>
      <c r="AI110" s="11">
        <f t="shared" ref="AI110:BN110" si="58">SUMPRODUCT($B100:$B109,AI100:AI109)</f>
        <v>0</v>
      </c>
      <c r="AJ110" s="11">
        <f t="shared" si="58"/>
        <v>0</v>
      </c>
      <c r="AK110" s="11">
        <f t="shared" si="58"/>
        <v>0</v>
      </c>
      <c r="AL110" s="11">
        <f t="shared" si="58"/>
        <v>0</v>
      </c>
      <c r="AM110" s="11">
        <f t="shared" si="58"/>
        <v>0</v>
      </c>
      <c r="AN110" s="11">
        <f t="shared" si="58"/>
        <v>0</v>
      </c>
      <c r="AO110" s="11">
        <f t="shared" si="58"/>
        <v>0</v>
      </c>
      <c r="AP110" s="11">
        <f t="shared" si="58"/>
        <v>0</v>
      </c>
      <c r="AQ110" s="11">
        <f t="shared" si="58"/>
        <v>0</v>
      </c>
      <c r="AR110" s="11">
        <f t="shared" si="58"/>
        <v>0</v>
      </c>
      <c r="AS110" s="11">
        <f t="shared" si="58"/>
        <v>0</v>
      </c>
      <c r="AT110" s="11">
        <f t="shared" si="58"/>
        <v>0</v>
      </c>
      <c r="AU110" s="11">
        <f t="shared" si="58"/>
        <v>0</v>
      </c>
      <c r="AV110" s="11">
        <f t="shared" si="58"/>
        <v>0</v>
      </c>
      <c r="AW110" s="11">
        <f t="shared" si="58"/>
        <v>0</v>
      </c>
      <c r="AX110" s="11">
        <f t="shared" si="58"/>
        <v>0</v>
      </c>
      <c r="AY110" s="11">
        <f t="shared" si="58"/>
        <v>0</v>
      </c>
      <c r="AZ110" s="11">
        <f t="shared" si="58"/>
        <v>0</v>
      </c>
      <c r="BA110" s="11">
        <f t="shared" si="58"/>
        <v>0</v>
      </c>
      <c r="BB110" s="11">
        <f t="shared" si="58"/>
        <v>0</v>
      </c>
      <c r="BC110" s="11">
        <f t="shared" si="58"/>
        <v>0</v>
      </c>
      <c r="BD110" s="11">
        <f t="shared" si="58"/>
        <v>0</v>
      </c>
      <c r="BE110" s="11">
        <f t="shared" si="58"/>
        <v>0</v>
      </c>
      <c r="BF110" s="11">
        <f t="shared" si="58"/>
        <v>0</v>
      </c>
      <c r="BG110" s="11">
        <f t="shared" si="58"/>
        <v>0</v>
      </c>
      <c r="BH110" s="11">
        <f t="shared" si="58"/>
        <v>0</v>
      </c>
      <c r="BI110" s="11">
        <f t="shared" si="58"/>
        <v>0</v>
      </c>
      <c r="BJ110" s="11">
        <f t="shared" si="58"/>
        <v>0</v>
      </c>
      <c r="BK110" s="11">
        <f t="shared" si="58"/>
        <v>0</v>
      </c>
      <c r="BL110" s="11">
        <f t="shared" si="58"/>
        <v>0</v>
      </c>
      <c r="BM110" s="11">
        <f t="shared" si="58"/>
        <v>0</v>
      </c>
      <c r="BN110" s="11">
        <f t="shared" si="58"/>
        <v>0</v>
      </c>
      <c r="BO110" s="11">
        <f t="shared" ref="BO110:CT110" si="59">SUMPRODUCT($B100:$B109,BO100:BO109)</f>
        <v>0</v>
      </c>
      <c r="BP110" s="11">
        <f t="shared" si="59"/>
        <v>0</v>
      </c>
      <c r="BQ110" s="11">
        <f t="shared" si="59"/>
        <v>0</v>
      </c>
      <c r="BR110" s="11">
        <f t="shared" si="59"/>
        <v>0</v>
      </c>
      <c r="BS110" s="11">
        <f t="shared" si="59"/>
        <v>0</v>
      </c>
      <c r="BT110" s="11">
        <f t="shared" si="59"/>
        <v>0</v>
      </c>
      <c r="BU110" s="11">
        <f t="shared" si="59"/>
        <v>0</v>
      </c>
      <c r="BV110" s="11">
        <f t="shared" si="59"/>
        <v>0</v>
      </c>
      <c r="BW110" s="11">
        <f t="shared" si="59"/>
        <v>0</v>
      </c>
      <c r="BX110" s="11">
        <f t="shared" si="59"/>
        <v>0</v>
      </c>
      <c r="BY110" s="11">
        <f t="shared" si="59"/>
        <v>0</v>
      </c>
      <c r="BZ110" s="11">
        <f t="shared" si="59"/>
        <v>0</v>
      </c>
      <c r="CA110" s="11">
        <f t="shared" si="59"/>
        <v>0</v>
      </c>
      <c r="CB110" s="11">
        <f t="shared" si="59"/>
        <v>0</v>
      </c>
      <c r="CC110" s="11">
        <f t="shared" si="59"/>
        <v>0</v>
      </c>
      <c r="CD110" s="11">
        <f t="shared" si="59"/>
        <v>0</v>
      </c>
      <c r="CE110" s="11">
        <f t="shared" si="59"/>
        <v>0</v>
      </c>
      <c r="CF110" s="11">
        <f t="shared" si="59"/>
        <v>0</v>
      </c>
      <c r="CG110" s="11">
        <f t="shared" si="59"/>
        <v>0</v>
      </c>
      <c r="CH110" s="11">
        <f t="shared" si="59"/>
        <v>0</v>
      </c>
      <c r="CI110" s="11">
        <f t="shared" si="59"/>
        <v>0</v>
      </c>
      <c r="CJ110" s="11">
        <f t="shared" si="59"/>
        <v>0</v>
      </c>
      <c r="CK110" s="11">
        <f t="shared" si="59"/>
        <v>0</v>
      </c>
      <c r="CL110" s="11">
        <f t="shared" si="59"/>
        <v>0</v>
      </c>
      <c r="CM110" s="11">
        <f t="shared" si="59"/>
        <v>0</v>
      </c>
      <c r="CN110" s="11">
        <f t="shared" si="59"/>
        <v>0</v>
      </c>
      <c r="CO110" s="11">
        <f t="shared" si="59"/>
        <v>0</v>
      </c>
      <c r="CP110" s="11">
        <f t="shared" si="59"/>
        <v>0</v>
      </c>
      <c r="CQ110" s="11">
        <f t="shared" si="59"/>
        <v>0</v>
      </c>
      <c r="CR110" s="11">
        <f t="shared" si="59"/>
        <v>0</v>
      </c>
      <c r="CS110" s="11">
        <f t="shared" si="59"/>
        <v>0</v>
      </c>
      <c r="CT110" s="11">
        <f t="shared" si="59"/>
        <v>0</v>
      </c>
      <c r="CU110" s="11">
        <f t="shared" ref="CU110:CZ110" si="60">SUMPRODUCT($B100:$B109,CU100:CU109)</f>
        <v>0</v>
      </c>
      <c r="CV110" s="11">
        <f t="shared" si="60"/>
        <v>0</v>
      </c>
      <c r="CW110" s="11">
        <f t="shared" si="60"/>
        <v>0</v>
      </c>
      <c r="CX110" s="11">
        <f t="shared" si="60"/>
        <v>0</v>
      </c>
      <c r="CY110" s="11">
        <f t="shared" si="60"/>
        <v>0</v>
      </c>
      <c r="CZ110" s="11">
        <f t="shared" si="60"/>
        <v>0</v>
      </c>
    </row>
    <row r="111" spans="1:122">
      <c r="A111" s="13" t="s">
        <v>146</v>
      </c>
      <c r="B111" s="14">
        <f>IFERROR(VLOOKUP(A111,PRICELIST!$A$3:$D$138,4,0),"-")</f>
        <v>31.29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9">
        <f t="shared" ref="CY111:CZ114" si="61">C111+E111+G111+I111+K111+M111+O111+Q111+S111+U111+W111+Y111+AA111+AC111+AE111+AG111+AI111+AK111+AM111+AO111+AQ111+AS111+AU111+AW111+AY111+BA111+BC111+BE111+BG111+BI111+BK111+BM111+BO111+BQ111+BS111+BU111+BW111+BY111+CA111+CC111+CE111+CG111+CI111+CK111+CM111+CO111+CQ111+CS111+CU111+CW111</f>
        <v>0</v>
      </c>
      <c r="CZ111" s="19">
        <f t="shared" si="61"/>
        <v>0</v>
      </c>
    </row>
    <row r="112" spans="1:122">
      <c r="A112" s="13" t="s">
        <v>147</v>
      </c>
      <c r="B112" s="14">
        <f>IFERROR(VLOOKUP(A112,PRICELIST!$A$3:$D$138,4,0),"-")</f>
        <v>68.36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9">
        <f t="shared" si="61"/>
        <v>0</v>
      </c>
      <c r="CZ112" s="19">
        <f t="shared" si="61"/>
        <v>0</v>
      </c>
    </row>
    <row r="113" spans="1:104">
      <c r="A113" s="13" t="s">
        <v>148</v>
      </c>
      <c r="B113" s="14">
        <f>IFERROR(VLOOKUP(A113,PRICELIST!$A$3:$D$138,4,0),"-")</f>
        <v>210.72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9">
        <f t="shared" si="61"/>
        <v>0</v>
      </c>
      <c r="CZ113" s="19">
        <f t="shared" si="61"/>
        <v>0</v>
      </c>
    </row>
    <row r="114" spans="1:104">
      <c r="A114" s="13" t="s">
        <v>149</v>
      </c>
      <c r="B114" s="14">
        <f>IFERROR(VLOOKUP(A114,PRICELIST!$A$3:$D$138,4,0),"-")</f>
        <v>180.9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9">
        <f t="shared" si="61"/>
        <v>0</v>
      </c>
      <c r="CZ114" s="19">
        <f t="shared" si="61"/>
        <v>0</v>
      </c>
    </row>
    <row r="115" spans="1:104">
      <c r="A115" s="9" t="s">
        <v>145</v>
      </c>
      <c r="B115" s="10"/>
      <c r="C115" s="11">
        <f>SUMPRODUCT($B111:$B114,C111:C114)</f>
        <v>0</v>
      </c>
      <c r="D115" s="11">
        <f t="shared" ref="D115:BO115" si="62">SUMPRODUCT($B111:$B114,D111:D114)</f>
        <v>0</v>
      </c>
      <c r="E115" s="11">
        <f t="shared" si="62"/>
        <v>0</v>
      </c>
      <c r="F115" s="11">
        <f t="shared" si="62"/>
        <v>0</v>
      </c>
      <c r="G115" s="11">
        <f t="shared" si="62"/>
        <v>0</v>
      </c>
      <c r="H115" s="11">
        <f t="shared" si="62"/>
        <v>0</v>
      </c>
      <c r="I115" s="11">
        <f t="shared" si="62"/>
        <v>0</v>
      </c>
      <c r="J115" s="11">
        <f t="shared" si="62"/>
        <v>0</v>
      </c>
      <c r="K115" s="11">
        <f t="shared" si="62"/>
        <v>0</v>
      </c>
      <c r="L115" s="11">
        <f t="shared" si="62"/>
        <v>0</v>
      </c>
      <c r="M115" s="11">
        <f t="shared" si="62"/>
        <v>0</v>
      </c>
      <c r="N115" s="11">
        <f t="shared" si="62"/>
        <v>0</v>
      </c>
      <c r="O115" s="11">
        <f t="shared" si="62"/>
        <v>0</v>
      </c>
      <c r="P115" s="11">
        <f t="shared" si="62"/>
        <v>0</v>
      </c>
      <c r="Q115" s="11">
        <f t="shared" si="62"/>
        <v>0</v>
      </c>
      <c r="R115" s="11">
        <f t="shared" si="62"/>
        <v>0</v>
      </c>
      <c r="S115" s="11">
        <f t="shared" si="62"/>
        <v>0</v>
      </c>
      <c r="T115" s="11">
        <f t="shared" si="62"/>
        <v>0</v>
      </c>
      <c r="U115" s="11">
        <f t="shared" si="62"/>
        <v>0</v>
      </c>
      <c r="V115" s="11">
        <f t="shared" si="62"/>
        <v>0</v>
      </c>
      <c r="W115" s="11">
        <f t="shared" si="62"/>
        <v>0</v>
      </c>
      <c r="X115" s="11">
        <f t="shared" si="62"/>
        <v>0</v>
      </c>
      <c r="Y115" s="11">
        <f t="shared" si="62"/>
        <v>0</v>
      </c>
      <c r="Z115" s="11">
        <f t="shared" si="62"/>
        <v>0</v>
      </c>
      <c r="AA115" s="11">
        <f t="shared" si="62"/>
        <v>0</v>
      </c>
      <c r="AB115" s="11">
        <f t="shared" si="62"/>
        <v>0</v>
      </c>
      <c r="AC115" s="11">
        <f t="shared" si="62"/>
        <v>0</v>
      </c>
      <c r="AD115" s="11">
        <f t="shared" si="62"/>
        <v>0</v>
      </c>
      <c r="AE115" s="11">
        <f t="shared" si="62"/>
        <v>0</v>
      </c>
      <c r="AF115" s="11">
        <f t="shared" si="62"/>
        <v>0</v>
      </c>
      <c r="AG115" s="11">
        <f t="shared" si="62"/>
        <v>0</v>
      </c>
      <c r="AH115" s="11">
        <f t="shared" si="62"/>
        <v>0</v>
      </c>
      <c r="AI115" s="11">
        <f t="shared" si="62"/>
        <v>0</v>
      </c>
      <c r="AJ115" s="11">
        <f t="shared" si="62"/>
        <v>0</v>
      </c>
      <c r="AK115" s="11">
        <f t="shared" si="62"/>
        <v>0</v>
      </c>
      <c r="AL115" s="11">
        <f t="shared" si="62"/>
        <v>0</v>
      </c>
      <c r="AM115" s="11">
        <f t="shared" si="62"/>
        <v>0</v>
      </c>
      <c r="AN115" s="11">
        <f t="shared" si="62"/>
        <v>0</v>
      </c>
      <c r="AO115" s="11">
        <f t="shared" si="62"/>
        <v>0</v>
      </c>
      <c r="AP115" s="11">
        <f t="shared" si="62"/>
        <v>0</v>
      </c>
      <c r="AQ115" s="11">
        <f t="shared" si="62"/>
        <v>0</v>
      </c>
      <c r="AR115" s="11">
        <f t="shared" si="62"/>
        <v>0</v>
      </c>
      <c r="AS115" s="11">
        <f t="shared" si="62"/>
        <v>0</v>
      </c>
      <c r="AT115" s="11">
        <f t="shared" si="62"/>
        <v>0</v>
      </c>
      <c r="AU115" s="11">
        <f t="shared" si="62"/>
        <v>0</v>
      </c>
      <c r="AV115" s="11">
        <f t="shared" si="62"/>
        <v>0</v>
      </c>
      <c r="AW115" s="11">
        <f t="shared" si="62"/>
        <v>0</v>
      </c>
      <c r="AX115" s="11">
        <f t="shared" si="62"/>
        <v>0</v>
      </c>
      <c r="AY115" s="11">
        <f t="shared" si="62"/>
        <v>0</v>
      </c>
      <c r="AZ115" s="11">
        <f t="shared" si="62"/>
        <v>0</v>
      </c>
      <c r="BA115" s="11">
        <f t="shared" si="62"/>
        <v>0</v>
      </c>
      <c r="BB115" s="11">
        <f t="shared" si="62"/>
        <v>0</v>
      </c>
      <c r="BC115" s="11">
        <f t="shared" si="62"/>
        <v>0</v>
      </c>
      <c r="BD115" s="11">
        <f t="shared" si="62"/>
        <v>0</v>
      </c>
      <c r="BE115" s="11">
        <f t="shared" si="62"/>
        <v>0</v>
      </c>
      <c r="BF115" s="11">
        <f t="shared" si="62"/>
        <v>0</v>
      </c>
      <c r="BG115" s="11">
        <f t="shared" si="62"/>
        <v>0</v>
      </c>
      <c r="BH115" s="11">
        <f t="shared" si="62"/>
        <v>0</v>
      </c>
      <c r="BI115" s="11">
        <f t="shared" si="62"/>
        <v>0</v>
      </c>
      <c r="BJ115" s="11">
        <f t="shared" si="62"/>
        <v>0</v>
      </c>
      <c r="BK115" s="11">
        <f t="shared" si="62"/>
        <v>0</v>
      </c>
      <c r="BL115" s="11">
        <f t="shared" si="62"/>
        <v>0</v>
      </c>
      <c r="BM115" s="11">
        <f t="shared" si="62"/>
        <v>0</v>
      </c>
      <c r="BN115" s="11">
        <f t="shared" si="62"/>
        <v>0</v>
      </c>
      <c r="BO115" s="11">
        <f t="shared" si="62"/>
        <v>0</v>
      </c>
      <c r="BP115" s="11">
        <f t="shared" ref="BP115:CZ115" si="63">SUMPRODUCT($B111:$B114,BP111:BP114)</f>
        <v>0</v>
      </c>
      <c r="BQ115" s="11">
        <f t="shared" si="63"/>
        <v>0</v>
      </c>
      <c r="BR115" s="11">
        <f t="shared" si="63"/>
        <v>0</v>
      </c>
      <c r="BS115" s="11">
        <f t="shared" si="63"/>
        <v>0</v>
      </c>
      <c r="BT115" s="11">
        <f t="shared" si="63"/>
        <v>0</v>
      </c>
      <c r="BU115" s="11">
        <f t="shared" si="63"/>
        <v>0</v>
      </c>
      <c r="BV115" s="11">
        <f t="shared" si="63"/>
        <v>0</v>
      </c>
      <c r="BW115" s="11">
        <f t="shared" si="63"/>
        <v>0</v>
      </c>
      <c r="BX115" s="11">
        <f t="shared" si="63"/>
        <v>0</v>
      </c>
      <c r="BY115" s="11">
        <f t="shared" si="63"/>
        <v>0</v>
      </c>
      <c r="BZ115" s="11">
        <f t="shared" si="63"/>
        <v>0</v>
      </c>
      <c r="CA115" s="11">
        <f t="shared" si="63"/>
        <v>0</v>
      </c>
      <c r="CB115" s="11">
        <f t="shared" si="63"/>
        <v>0</v>
      </c>
      <c r="CC115" s="11">
        <f t="shared" si="63"/>
        <v>0</v>
      </c>
      <c r="CD115" s="11">
        <f t="shared" si="63"/>
        <v>0</v>
      </c>
      <c r="CE115" s="11">
        <f t="shared" si="63"/>
        <v>0</v>
      </c>
      <c r="CF115" s="11">
        <f t="shared" si="63"/>
        <v>0</v>
      </c>
      <c r="CG115" s="11">
        <f t="shared" si="63"/>
        <v>0</v>
      </c>
      <c r="CH115" s="11">
        <f t="shared" si="63"/>
        <v>0</v>
      </c>
      <c r="CI115" s="11">
        <f t="shared" si="63"/>
        <v>0</v>
      </c>
      <c r="CJ115" s="11">
        <f t="shared" si="63"/>
        <v>0</v>
      </c>
      <c r="CK115" s="11">
        <f t="shared" si="63"/>
        <v>0</v>
      </c>
      <c r="CL115" s="11">
        <f t="shared" si="63"/>
        <v>0</v>
      </c>
      <c r="CM115" s="11">
        <f t="shared" si="63"/>
        <v>0</v>
      </c>
      <c r="CN115" s="11">
        <f t="shared" si="63"/>
        <v>0</v>
      </c>
      <c r="CO115" s="11">
        <f t="shared" si="63"/>
        <v>0</v>
      </c>
      <c r="CP115" s="11">
        <f t="shared" si="63"/>
        <v>0</v>
      </c>
      <c r="CQ115" s="11">
        <f t="shared" si="63"/>
        <v>0</v>
      </c>
      <c r="CR115" s="11">
        <f t="shared" si="63"/>
        <v>0</v>
      </c>
      <c r="CS115" s="11">
        <f t="shared" si="63"/>
        <v>0</v>
      </c>
      <c r="CT115" s="11">
        <f t="shared" si="63"/>
        <v>0</v>
      </c>
      <c r="CU115" s="11">
        <f t="shared" si="63"/>
        <v>0</v>
      </c>
      <c r="CV115" s="11">
        <f t="shared" si="63"/>
        <v>0</v>
      </c>
      <c r="CW115" s="11">
        <f t="shared" si="63"/>
        <v>0</v>
      </c>
      <c r="CX115" s="11">
        <f t="shared" si="63"/>
        <v>0</v>
      </c>
      <c r="CY115" s="11">
        <f t="shared" si="63"/>
        <v>0</v>
      </c>
      <c r="CZ115" s="11">
        <f t="shared" si="63"/>
        <v>0</v>
      </c>
    </row>
    <row r="116" spans="1:104">
      <c r="A116" s="4"/>
      <c r="B116" s="14" t="str">
        <f>IFERROR(VLOOKUP(A116,PRICELIST!$A$3:$D$138,4,0),"-")</f>
        <v>-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9">
        <f t="shared" ref="CY116:CZ118" si="64">C116+E116+G116+I116+K116+M116+O116+Q116+S116+U116+W116+Y116+AA116+AC116+AE116+AG116+AI116+AK116+AM116+AO116+AQ116+AS116+AU116+AW116+AY116+BA116+BC116+BE116+BG116+BI116+BK116+BM116+BO116+BQ116+BS116+BU116+BW116+BY116+CA116+CC116+CE116+CG116+CI116+CK116+CM116+CO116+CQ116+CS116+CU116+CW116</f>
        <v>0</v>
      </c>
      <c r="CZ116" s="19">
        <f t="shared" si="64"/>
        <v>0</v>
      </c>
    </row>
    <row r="117" spans="1:104">
      <c r="A117" s="4"/>
      <c r="B117" s="14" t="str">
        <f>IFERROR(VLOOKUP(A117,PRICELIST!$A$3:$D$138,4,0),"-")</f>
        <v>-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9">
        <f t="shared" si="64"/>
        <v>0</v>
      </c>
      <c r="CZ117" s="19">
        <f t="shared" si="64"/>
        <v>0</v>
      </c>
    </row>
    <row r="118" spans="1:104">
      <c r="A118" s="4"/>
      <c r="B118" s="14" t="str">
        <f>IFERROR(VLOOKUP(A118,PRICELIST!$A$3:$D$138,4,0),"-")</f>
        <v>-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9">
        <f t="shared" si="64"/>
        <v>0</v>
      </c>
      <c r="CZ118" s="19">
        <f t="shared" si="64"/>
        <v>0</v>
      </c>
    </row>
    <row r="119" spans="1:104">
      <c r="A119" s="9"/>
      <c r="B119" s="15"/>
      <c r="C119" s="5">
        <f>SUMPRODUCT($B116:$B118,C116:C118)</f>
        <v>0</v>
      </c>
      <c r="D119" s="5">
        <f t="shared" ref="D119:BO119" si="65">SUMPRODUCT($B116:$B118,D116:D118)</f>
        <v>0</v>
      </c>
      <c r="E119" s="5">
        <f t="shared" si="65"/>
        <v>0</v>
      </c>
      <c r="F119" s="5">
        <f t="shared" si="65"/>
        <v>0</v>
      </c>
      <c r="G119" s="5">
        <f t="shared" si="65"/>
        <v>0</v>
      </c>
      <c r="H119" s="5">
        <f t="shared" si="65"/>
        <v>0</v>
      </c>
      <c r="I119" s="5">
        <f t="shared" si="65"/>
        <v>0</v>
      </c>
      <c r="J119" s="5">
        <f t="shared" si="65"/>
        <v>0</v>
      </c>
      <c r="K119" s="5">
        <f t="shared" si="65"/>
        <v>0</v>
      </c>
      <c r="L119" s="5">
        <f t="shared" si="65"/>
        <v>0</v>
      </c>
      <c r="M119" s="5">
        <f t="shared" si="65"/>
        <v>0</v>
      </c>
      <c r="N119" s="5">
        <f t="shared" si="65"/>
        <v>0</v>
      </c>
      <c r="O119" s="5">
        <f t="shared" si="65"/>
        <v>0</v>
      </c>
      <c r="P119" s="5">
        <f t="shared" si="65"/>
        <v>0</v>
      </c>
      <c r="Q119" s="5">
        <f t="shared" si="65"/>
        <v>0</v>
      </c>
      <c r="R119" s="5">
        <f t="shared" si="65"/>
        <v>0</v>
      </c>
      <c r="S119" s="5">
        <f t="shared" si="65"/>
        <v>0</v>
      </c>
      <c r="T119" s="5">
        <f t="shared" si="65"/>
        <v>0</v>
      </c>
      <c r="U119" s="5">
        <f t="shared" si="65"/>
        <v>0</v>
      </c>
      <c r="V119" s="5">
        <f t="shared" si="65"/>
        <v>0</v>
      </c>
      <c r="W119" s="5">
        <f t="shared" si="65"/>
        <v>0</v>
      </c>
      <c r="X119" s="5">
        <f t="shared" si="65"/>
        <v>0</v>
      </c>
      <c r="Y119" s="5">
        <f t="shared" si="65"/>
        <v>0</v>
      </c>
      <c r="Z119" s="5">
        <f t="shared" si="65"/>
        <v>0</v>
      </c>
      <c r="AA119" s="5">
        <f t="shared" si="65"/>
        <v>0</v>
      </c>
      <c r="AB119" s="5">
        <f t="shared" si="65"/>
        <v>0</v>
      </c>
      <c r="AC119" s="5">
        <f t="shared" si="65"/>
        <v>0</v>
      </c>
      <c r="AD119" s="5">
        <f t="shared" si="65"/>
        <v>0</v>
      </c>
      <c r="AE119" s="5">
        <f t="shared" si="65"/>
        <v>0</v>
      </c>
      <c r="AF119" s="5">
        <f t="shared" si="65"/>
        <v>0</v>
      </c>
      <c r="AG119" s="5">
        <f t="shared" si="65"/>
        <v>0</v>
      </c>
      <c r="AH119" s="5">
        <f t="shared" si="65"/>
        <v>0</v>
      </c>
      <c r="AI119" s="5">
        <f t="shared" si="65"/>
        <v>0</v>
      </c>
      <c r="AJ119" s="5">
        <f t="shared" si="65"/>
        <v>0</v>
      </c>
      <c r="AK119" s="5">
        <f t="shared" si="65"/>
        <v>0</v>
      </c>
      <c r="AL119" s="5">
        <f t="shared" si="65"/>
        <v>0</v>
      </c>
      <c r="AM119" s="5">
        <f t="shared" si="65"/>
        <v>0</v>
      </c>
      <c r="AN119" s="5">
        <f t="shared" si="65"/>
        <v>0</v>
      </c>
      <c r="AO119" s="5">
        <f t="shared" si="65"/>
        <v>0</v>
      </c>
      <c r="AP119" s="5">
        <f t="shared" si="65"/>
        <v>0</v>
      </c>
      <c r="AQ119" s="5">
        <f t="shared" si="65"/>
        <v>0</v>
      </c>
      <c r="AR119" s="5">
        <f t="shared" si="65"/>
        <v>0</v>
      </c>
      <c r="AS119" s="5">
        <f t="shared" si="65"/>
        <v>0</v>
      </c>
      <c r="AT119" s="5">
        <f t="shared" si="65"/>
        <v>0</v>
      </c>
      <c r="AU119" s="5">
        <f t="shared" si="65"/>
        <v>0</v>
      </c>
      <c r="AV119" s="5">
        <f t="shared" si="65"/>
        <v>0</v>
      </c>
      <c r="AW119" s="5">
        <f t="shared" si="65"/>
        <v>0</v>
      </c>
      <c r="AX119" s="5">
        <f t="shared" si="65"/>
        <v>0</v>
      </c>
      <c r="AY119" s="5">
        <f t="shared" si="65"/>
        <v>0</v>
      </c>
      <c r="AZ119" s="5">
        <f t="shared" si="65"/>
        <v>0</v>
      </c>
      <c r="BA119" s="5">
        <f t="shared" si="65"/>
        <v>0</v>
      </c>
      <c r="BB119" s="5">
        <f t="shared" si="65"/>
        <v>0</v>
      </c>
      <c r="BC119" s="5">
        <f t="shared" si="65"/>
        <v>0</v>
      </c>
      <c r="BD119" s="5">
        <f t="shared" si="65"/>
        <v>0</v>
      </c>
      <c r="BE119" s="5">
        <f t="shared" si="65"/>
        <v>0</v>
      </c>
      <c r="BF119" s="5">
        <f t="shared" si="65"/>
        <v>0</v>
      </c>
      <c r="BG119" s="5">
        <f t="shared" si="65"/>
        <v>0</v>
      </c>
      <c r="BH119" s="5">
        <f t="shared" si="65"/>
        <v>0</v>
      </c>
      <c r="BI119" s="5">
        <f t="shared" si="65"/>
        <v>0</v>
      </c>
      <c r="BJ119" s="5">
        <f t="shared" si="65"/>
        <v>0</v>
      </c>
      <c r="BK119" s="5">
        <f t="shared" si="65"/>
        <v>0</v>
      </c>
      <c r="BL119" s="5">
        <f t="shared" si="65"/>
        <v>0</v>
      </c>
      <c r="BM119" s="5">
        <f t="shared" si="65"/>
        <v>0</v>
      </c>
      <c r="BN119" s="5">
        <f t="shared" si="65"/>
        <v>0</v>
      </c>
      <c r="BO119" s="5">
        <f t="shared" si="65"/>
        <v>0</v>
      </c>
      <c r="BP119" s="5">
        <f t="shared" ref="BP119:CZ119" si="66">SUMPRODUCT($B116:$B118,BP116:BP118)</f>
        <v>0</v>
      </c>
      <c r="BQ119" s="5">
        <f t="shared" si="66"/>
        <v>0</v>
      </c>
      <c r="BR119" s="5">
        <f t="shared" si="66"/>
        <v>0</v>
      </c>
      <c r="BS119" s="5">
        <f t="shared" si="66"/>
        <v>0</v>
      </c>
      <c r="BT119" s="5">
        <f t="shared" si="66"/>
        <v>0</v>
      </c>
      <c r="BU119" s="5">
        <f t="shared" si="66"/>
        <v>0</v>
      </c>
      <c r="BV119" s="5">
        <f t="shared" si="66"/>
        <v>0</v>
      </c>
      <c r="BW119" s="5">
        <f t="shared" si="66"/>
        <v>0</v>
      </c>
      <c r="BX119" s="5">
        <f t="shared" si="66"/>
        <v>0</v>
      </c>
      <c r="BY119" s="5">
        <f t="shared" si="66"/>
        <v>0</v>
      </c>
      <c r="BZ119" s="5">
        <f t="shared" si="66"/>
        <v>0</v>
      </c>
      <c r="CA119" s="5">
        <f t="shared" si="66"/>
        <v>0</v>
      </c>
      <c r="CB119" s="5">
        <f t="shared" si="66"/>
        <v>0</v>
      </c>
      <c r="CC119" s="5">
        <f t="shared" si="66"/>
        <v>0</v>
      </c>
      <c r="CD119" s="5">
        <f t="shared" si="66"/>
        <v>0</v>
      </c>
      <c r="CE119" s="5">
        <f t="shared" si="66"/>
        <v>0</v>
      </c>
      <c r="CF119" s="5">
        <f t="shared" si="66"/>
        <v>0</v>
      </c>
      <c r="CG119" s="5">
        <f t="shared" si="66"/>
        <v>0</v>
      </c>
      <c r="CH119" s="5">
        <f t="shared" si="66"/>
        <v>0</v>
      </c>
      <c r="CI119" s="5">
        <f t="shared" si="66"/>
        <v>0</v>
      </c>
      <c r="CJ119" s="5">
        <f t="shared" si="66"/>
        <v>0</v>
      </c>
      <c r="CK119" s="5">
        <f t="shared" si="66"/>
        <v>0</v>
      </c>
      <c r="CL119" s="5">
        <f t="shared" si="66"/>
        <v>0</v>
      </c>
      <c r="CM119" s="5">
        <f t="shared" si="66"/>
        <v>0</v>
      </c>
      <c r="CN119" s="5">
        <f t="shared" si="66"/>
        <v>0</v>
      </c>
      <c r="CO119" s="5">
        <f t="shared" si="66"/>
        <v>0</v>
      </c>
      <c r="CP119" s="5">
        <f t="shared" si="66"/>
        <v>0</v>
      </c>
      <c r="CQ119" s="5">
        <f t="shared" si="66"/>
        <v>0</v>
      </c>
      <c r="CR119" s="5">
        <f t="shared" si="66"/>
        <v>0</v>
      </c>
      <c r="CS119" s="5">
        <f t="shared" si="66"/>
        <v>0</v>
      </c>
      <c r="CT119" s="5">
        <f t="shared" si="66"/>
        <v>0</v>
      </c>
      <c r="CU119" s="5">
        <f t="shared" si="66"/>
        <v>0</v>
      </c>
      <c r="CV119" s="5">
        <f t="shared" si="66"/>
        <v>0</v>
      </c>
      <c r="CW119" s="5">
        <f t="shared" si="66"/>
        <v>0</v>
      </c>
      <c r="CX119" s="5">
        <f t="shared" si="66"/>
        <v>0</v>
      </c>
      <c r="CY119" s="5">
        <f t="shared" si="66"/>
        <v>0</v>
      </c>
      <c r="CZ119" s="5">
        <f t="shared" si="66"/>
        <v>0</v>
      </c>
    </row>
    <row r="120" spans="1:104" ht="15.5">
      <c r="A120" s="16" t="s">
        <v>71</v>
      </c>
      <c r="B120" s="17"/>
      <c r="C120" s="6">
        <f t="shared" ref="C120:AH120" si="67">SUM(C10,C20,C24,C27,C34,C37,C40,C47,C49,C53,C59,C71,C79,C81,C88,C92,C95,C99,C110,C115,C119)/100000</f>
        <v>0</v>
      </c>
      <c r="D120" s="6">
        <f t="shared" si="67"/>
        <v>0</v>
      </c>
      <c r="E120" s="6">
        <f t="shared" si="67"/>
        <v>0</v>
      </c>
      <c r="F120" s="6">
        <f t="shared" si="67"/>
        <v>0</v>
      </c>
      <c r="G120" s="6">
        <f t="shared" si="67"/>
        <v>0</v>
      </c>
      <c r="H120" s="6">
        <f t="shared" si="67"/>
        <v>0</v>
      </c>
      <c r="I120" s="6">
        <f t="shared" si="67"/>
        <v>0</v>
      </c>
      <c r="J120" s="6">
        <f t="shared" si="67"/>
        <v>0</v>
      </c>
      <c r="K120" s="6">
        <f t="shared" si="67"/>
        <v>0</v>
      </c>
      <c r="L120" s="6">
        <f t="shared" si="67"/>
        <v>0</v>
      </c>
      <c r="M120" s="6">
        <f t="shared" si="67"/>
        <v>0</v>
      </c>
      <c r="N120" s="6">
        <f t="shared" si="67"/>
        <v>0</v>
      </c>
      <c r="O120" s="6">
        <f t="shared" si="67"/>
        <v>0</v>
      </c>
      <c r="P120" s="6">
        <f t="shared" si="67"/>
        <v>0</v>
      </c>
      <c r="Q120" s="6">
        <f t="shared" si="67"/>
        <v>0</v>
      </c>
      <c r="R120" s="6">
        <f t="shared" si="67"/>
        <v>0</v>
      </c>
      <c r="S120" s="6">
        <f t="shared" si="67"/>
        <v>0</v>
      </c>
      <c r="T120" s="6">
        <f t="shared" si="67"/>
        <v>0</v>
      </c>
      <c r="U120" s="6">
        <f t="shared" si="67"/>
        <v>0</v>
      </c>
      <c r="V120" s="6">
        <f t="shared" si="67"/>
        <v>0</v>
      </c>
      <c r="W120" s="6">
        <f t="shared" si="67"/>
        <v>0</v>
      </c>
      <c r="X120" s="6">
        <f t="shared" si="67"/>
        <v>0</v>
      </c>
      <c r="Y120" s="6">
        <f t="shared" si="67"/>
        <v>0</v>
      </c>
      <c r="Z120" s="6">
        <f t="shared" si="67"/>
        <v>0</v>
      </c>
      <c r="AA120" s="6">
        <f t="shared" si="67"/>
        <v>0</v>
      </c>
      <c r="AB120" s="6">
        <f t="shared" si="67"/>
        <v>0</v>
      </c>
      <c r="AC120" s="6">
        <f t="shared" si="67"/>
        <v>0</v>
      </c>
      <c r="AD120" s="6">
        <f t="shared" si="67"/>
        <v>0</v>
      </c>
      <c r="AE120" s="6">
        <f t="shared" si="67"/>
        <v>0</v>
      </c>
      <c r="AF120" s="6">
        <f t="shared" si="67"/>
        <v>0</v>
      </c>
      <c r="AG120" s="6">
        <f t="shared" si="67"/>
        <v>0</v>
      </c>
      <c r="AH120" s="6">
        <f t="shared" si="67"/>
        <v>0</v>
      </c>
      <c r="AI120" s="6">
        <f t="shared" ref="AI120:BN120" si="68">SUM(AI10,AI20,AI24,AI27,AI34,AI37,AI40,AI47,AI49,AI53,AI59,AI71,AI79,AI81,AI88,AI92,AI95,AI99,AI110,AI115,AI119)/100000</f>
        <v>0</v>
      </c>
      <c r="AJ120" s="6">
        <f t="shared" si="68"/>
        <v>0</v>
      </c>
      <c r="AK120" s="6">
        <f t="shared" si="68"/>
        <v>0</v>
      </c>
      <c r="AL120" s="6">
        <f t="shared" si="68"/>
        <v>0</v>
      </c>
      <c r="AM120" s="6">
        <f t="shared" si="68"/>
        <v>0</v>
      </c>
      <c r="AN120" s="6">
        <f t="shared" si="68"/>
        <v>0</v>
      </c>
      <c r="AO120" s="6">
        <f t="shared" si="68"/>
        <v>0</v>
      </c>
      <c r="AP120" s="6">
        <f t="shared" si="68"/>
        <v>0</v>
      </c>
      <c r="AQ120" s="6">
        <f t="shared" si="68"/>
        <v>0</v>
      </c>
      <c r="AR120" s="6">
        <f t="shared" si="68"/>
        <v>0</v>
      </c>
      <c r="AS120" s="6">
        <f t="shared" si="68"/>
        <v>0</v>
      </c>
      <c r="AT120" s="6">
        <f t="shared" si="68"/>
        <v>0</v>
      </c>
      <c r="AU120" s="6">
        <f t="shared" si="68"/>
        <v>0</v>
      </c>
      <c r="AV120" s="6">
        <f t="shared" si="68"/>
        <v>0</v>
      </c>
      <c r="AW120" s="6">
        <f t="shared" si="68"/>
        <v>0</v>
      </c>
      <c r="AX120" s="6">
        <f t="shared" si="68"/>
        <v>0</v>
      </c>
      <c r="AY120" s="6">
        <f t="shared" si="68"/>
        <v>0</v>
      </c>
      <c r="AZ120" s="6">
        <f t="shared" si="68"/>
        <v>0</v>
      </c>
      <c r="BA120" s="6">
        <f t="shared" si="68"/>
        <v>0</v>
      </c>
      <c r="BB120" s="6">
        <f t="shared" si="68"/>
        <v>0</v>
      </c>
      <c r="BC120" s="6">
        <f t="shared" si="68"/>
        <v>0</v>
      </c>
      <c r="BD120" s="6">
        <f t="shared" si="68"/>
        <v>0</v>
      </c>
      <c r="BE120" s="6">
        <f t="shared" si="68"/>
        <v>0</v>
      </c>
      <c r="BF120" s="6">
        <f t="shared" si="68"/>
        <v>0</v>
      </c>
      <c r="BG120" s="6">
        <f t="shared" si="68"/>
        <v>0</v>
      </c>
      <c r="BH120" s="6">
        <f t="shared" si="68"/>
        <v>0</v>
      </c>
      <c r="BI120" s="6">
        <f t="shared" si="68"/>
        <v>0</v>
      </c>
      <c r="BJ120" s="6">
        <f t="shared" si="68"/>
        <v>0</v>
      </c>
      <c r="BK120" s="6">
        <f t="shared" si="68"/>
        <v>0</v>
      </c>
      <c r="BL120" s="6">
        <f t="shared" si="68"/>
        <v>0</v>
      </c>
      <c r="BM120" s="6">
        <f t="shared" si="68"/>
        <v>0</v>
      </c>
      <c r="BN120" s="6">
        <f t="shared" si="68"/>
        <v>0</v>
      </c>
      <c r="BO120" s="6">
        <f t="shared" ref="BO120:CT120" si="69">SUM(BO10,BO20,BO24,BO27,BO34,BO37,BO40,BO47,BO49,BO53,BO59,BO71,BO79,BO81,BO88,BO92,BO95,BO99,BO110,BO115,BO119)/100000</f>
        <v>0</v>
      </c>
      <c r="BP120" s="6">
        <f t="shared" si="69"/>
        <v>0</v>
      </c>
      <c r="BQ120" s="6">
        <f t="shared" si="69"/>
        <v>0</v>
      </c>
      <c r="BR120" s="6">
        <f t="shared" si="69"/>
        <v>0</v>
      </c>
      <c r="BS120" s="6">
        <f t="shared" si="69"/>
        <v>0</v>
      </c>
      <c r="BT120" s="6">
        <f t="shared" si="69"/>
        <v>0</v>
      </c>
      <c r="BU120" s="6">
        <f t="shared" si="69"/>
        <v>0</v>
      </c>
      <c r="BV120" s="6">
        <f t="shared" si="69"/>
        <v>0</v>
      </c>
      <c r="BW120" s="6">
        <f t="shared" si="69"/>
        <v>0</v>
      </c>
      <c r="BX120" s="6">
        <f t="shared" si="69"/>
        <v>0</v>
      </c>
      <c r="BY120" s="6">
        <f t="shared" si="69"/>
        <v>0</v>
      </c>
      <c r="BZ120" s="6">
        <f t="shared" si="69"/>
        <v>0</v>
      </c>
      <c r="CA120" s="6">
        <f t="shared" si="69"/>
        <v>0</v>
      </c>
      <c r="CB120" s="6">
        <f t="shared" si="69"/>
        <v>0</v>
      </c>
      <c r="CC120" s="6">
        <f t="shared" si="69"/>
        <v>0</v>
      </c>
      <c r="CD120" s="6">
        <f t="shared" si="69"/>
        <v>0</v>
      </c>
      <c r="CE120" s="6">
        <f t="shared" si="69"/>
        <v>0</v>
      </c>
      <c r="CF120" s="6">
        <f t="shared" si="69"/>
        <v>0</v>
      </c>
      <c r="CG120" s="6">
        <f t="shared" si="69"/>
        <v>0</v>
      </c>
      <c r="CH120" s="6">
        <f t="shared" si="69"/>
        <v>0</v>
      </c>
      <c r="CI120" s="6">
        <f t="shared" si="69"/>
        <v>0</v>
      </c>
      <c r="CJ120" s="6">
        <f t="shared" si="69"/>
        <v>0</v>
      </c>
      <c r="CK120" s="6">
        <f t="shared" si="69"/>
        <v>0</v>
      </c>
      <c r="CL120" s="6">
        <f t="shared" si="69"/>
        <v>0</v>
      </c>
      <c r="CM120" s="6">
        <f t="shared" si="69"/>
        <v>0</v>
      </c>
      <c r="CN120" s="6">
        <f t="shared" si="69"/>
        <v>0</v>
      </c>
      <c r="CO120" s="6">
        <f t="shared" si="69"/>
        <v>0</v>
      </c>
      <c r="CP120" s="6">
        <f t="shared" si="69"/>
        <v>0</v>
      </c>
      <c r="CQ120" s="6">
        <f t="shared" si="69"/>
        <v>0</v>
      </c>
      <c r="CR120" s="6">
        <f t="shared" si="69"/>
        <v>0</v>
      </c>
      <c r="CS120" s="6">
        <f t="shared" si="69"/>
        <v>0</v>
      </c>
      <c r="CT120" s="6">
        <f t="shared" si="69"/>
        <v>0</v>
      </c>
      <c r="CU120" s="6">
        <f t="shared" ref="CU120:CZ120" si="70">SUM(CU10,CU20,CU24,CU27,CU34,CU37,CU40,CU47,CU49,CU53,CU59,CU71,CU79,CU81,CU88,CU92,CU95,CU99,CU110,CU115,CU119)/100000</f>
        <v>0</v>
      </c>
      <c r="CV120" s="6">
        <f t="shared" si="70"/>
        <v>0</v>
      </c>
      <c r="CW120" s="6">
        <f t="shared" si="70"/>
        <v>0</v>
      </c>
      <c r="CX120" s="6">
        <f t="shared" si="70"/>
        <v>0</v>
      </c>
      <c r="CY120" s="6">
        <f t="shared" si="70"/>
        <v>0</v>
      </c>
      <c r="CZ120" s="6">
        <f t="shared" si="70"/>
        <v>0</v>
      </c>
    </row>
  </sheetData>
  <sheetProtection formatCells="0" selectLockedCells="1" autoFilter="0"/>
  <autoFilter ref="A2:CZ110" xr:uid="{00000000-0009-0000-0000-000005000000}"/>
  <mergeCells count="52">
    <mergeCell ref="CS1:CT1"/>
    <mergeCell ref="CU1:CV1"/>
    <mergeCell ref="CW1:CX1"/>
    <mergeCell ref="CY1:CZ1"/>
    <mergeCell ref="CG1:CH1"/>
    <mergeCell ref="CI1:CJ1"/>
    <mergeCell ref="CK1:CL1"/>
    <mergeCell ref="CM1:CN1"/>
    <mergeCell ref="CO1:CP1"/>
    <mergeCell ref="CQ1:CR1"/>
    <mergeCell ref="CE1:CF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BG1:BH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AI1:AJ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K1:L1"/>
    <mergeCell ref="A1:A2"/>
    <mergeCell ref="C1:D1"/>
    <mergeCell ref="E1:F1"/>
    <mergeCell ref="G1:H1"/>
    <mergeCell ref="I1:J1"/>
  </mergeCells>
  <pageMargins left="0.69930555555555596" right="0.69930555555555596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R12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:CZ121"/>
    </sheetView>
  </sheetViews>
  <sheetFormatPr defaultColWidth="9.1796875" defaultRowHeight="14.5"/>
  <cols>
    <col min="1" max="1" width="31.54296875" style="2" customWidth="1"/>
    <col min="2" max="2" width="8.81640625" style="3" customWidth="1"/>
    <col min="3" max="3" width="10" style="3" bestFit="1" customWidth="1"/>
    <col min="4" max="41" width="9.1796875" style="3"/>
    <col min="42" max="42" width="8.54296875" style="3" customWidth="1"/>
    <col min="43" max="43" width="7.54296875" style="3" customWidth="1"/>
    <col min="44" max="44" width="8.54296875" style="3" customWidth="1"/>
    <col min="45" max="45" width="7.54296875" style="3" customWidth="1"/>
    <col min="46" max="46" width="8.54296875" style="3" customWidth="1"/>
    <col min="47" max="47" width="7.54296875" style="3" customWidth="1"/>
    <col min="48" max="48" width="8.54296875" style="3" customWidth="1"/>
    <col min="49" max="49" width="7.54296875" style="3" customWidth="1"/>
    <col min="50" max="50" width="8.54296875" style="3" customWidth="1"/>
    <col min="51" max="51" width="7.54296875" style="3" customWidth="1"/>
    <col min="52" max="52" width="8.54296875" style="3" customWidth="1"/>
    <col min="53" max="53" width="7.54296875" style="3" customWidth="1"/>
    <col min="54" max="54" width="8.54296875" style="3" customWidth="1"/>
    <col min="55" max="55" width="7.54296875" style="3" customWidth="1"/>
    <col min="56" max="56" width="8.54296875" style="3" customWidth="1"/>
    <col min="57" max="57" width="7.54296875" style="3" customWidth="1"/>
    <col min="58" max="58" width="8.54296875" style="3" customWidth="1"/>
    <col min="59" max="59" width="7.54296875" style="3" customWidth="1"/>
    <col min="60" max="60" width="8.54296875" style="3" customWidth="1"/>
    <col min="61" max="61" width="7.54296875" style="3" customWidth="1"/>
    <col min="62" max="62" width="8.54296875" style="3" customWidth="1"/>
    <col min="63" max="63" width="7.54296875" style="3" customWidth="1"/>
    <col min="64" max="64" width="8.54296875" style="3" customWidth="1"/>
    <col min="65" max="65" width="7.54296875" style="3" customWidth="1"/>
    <col min="66" max="66" width="8.54296875" style="3" customWidth="1"/>
    <col min="67" max="67" width="7.54296875" style="3" customWidth="1"/>
    <col min="68" max="68" width="8.54296875" style="3" customWidth="1"/>
    <col min="69" max="69" width="7.54296875" style="3" customWidth="1"/>
    <col min="70" max="70" width="8.54296875" style="3" customWidth="1"/>
    <col min="71" max="71" width="7.54296875" style="3" customWidth="1"/>
    <col min="72" max="72" width="8.54296875" style="3" customWidth="1"/>
    <col min="73" max="73" width="7.54296875" style="3" customWidth="1"/>
    <col min="74" max="74" width="8.54296875" style="3" customWidth="1"/>
    <col min="75" max="75" width="7.54296875" style="3" customWidth="1"/>
    <col min="76" max="76" width="8.54296875" style="3" customWidth="1"/>
    <col min="77" max="77" width="7.54296875" style="3" customWidth="1"/>
    <col min="78" max="78" width="8.54296875" style="3" customWidth="1"/>
    <col min="79" max="79" width="7.54296875" style="3" customWidth="1"/>
    <col min="80" max="80" width="8.54296875" style="3" customWidth="1"/>
    <col min="81" max="81" width="7.54296875" style="3" customWidth="1"/>
    <col min="82" max="82" width="8.54296875" style="3" customWidth="1"/>
    <col min="83" max="83" width="7.54296875" style="3" customWidth="1"/>
    <col min="84" max="84" width="8.54296875" style="3" customWidth="1"/>
    <col min="85" max="85" width="7.54296875" style="3" customWidth="1"/>
    <col min="86" max="86" width="8.54296875" style="3" customWidth="1"/>
    <col min="87" max="87" width="7.54296875" style="3" customWidth="1"/>
    <col min="88" max="88" width="8.54296875" style="3" customWidth="1"/>
    <col min="89" max="89" width="7.54296875" style="3" customWidth="1"/>
    <col min="90" max="90" width="8.54296875" style="3" customWidth="1"/>
    <col min="91" max="91" width="7.54296875" style="3" customWidth="1"/>
    <col min="92" max="92" width="8.54296875" style="3" customWidth="1"/>
    <col min="93" max="93" width="7.54296875" style="3" customWidth="1"/>
    <col min="94" max="94" width="8.54296875" style="3" customWidth="1"/>
    <col min="95" max="95" width="7.54296875" style="3" customWidth="1"/>
    <col min="96" max="96" width="8.54296875" style="3" customWidth="1"/>
    <col min="97" max="97" width="7.54296875" style="3" customWidth="1"/>
    <col min="98" max="98" width="8.54296875" style="3" customWidth="1"/>
    <col min="99" max="99" width="7.54296875" style="3" customWidth="1"/>
    <col min="100" max="100" width="8.54296875" style="3" customWidth="1"/>
    <col min="101" max="101" width="7.54296875" style="3" customWidth="1"/>
    <col min="102" max="102" width="8.54296875" style="3" customWidth="1"/>
    <col min="103" max="103" width="11.81640625" style="3" customWidth="1"/>
    <col min="104" max="104" width="12.453125" style="3" customWidth="1"/>
    <col min="105" max="107" width="9.1796875" style="2"/>
    <col min="108" max="108" width="8" style="2" customWidth="1"/>
    <col min="109" max="16384" width="9.1796875" style="2"/>
  </cols>
  <sheetData>
    <row r="1" spans="1:122" s="37" customFormat="1" ht="19.5" customHeight="1">
      <c r="A1" s="44" t="s">
        <v>0</v>
      </c>
      <c r="B1" s="12"/>
      <c r="C1" s="46" t="str">
        <f>APRIL!C1</f>
        <v>VASU PHARMA DRUGS PVT LTD</v>
      </c>
      <c r="D1" s="46"/>
      <c r="E1" s="46" t="str">
        <f>APRIL!E1</f>
        <v>PRAKASH PHARMA DISTRIBUTORS</v>
      </c>
      <c r="F1" s="46"/>
      <c r="G1" s="46" t="str">
        <f>APRIL!G1</f>
        <v>Divya Pharma</v>
      </c>
      <c r="H1" s="46"/>
      <c r="I1" s="46" t="str">
        <f>APRIL!I1</f>
        <v>KEIMED PRIVATE LIMITED</v>
      </c>
      <c r="J1" s="46"/>
      <c r="K1" s="46" t="str">
        <f>APRIL!K1</f>
        <v>SAI SRIDHAR PHARMA PVT LTD</v>
      </c>
      <c r="L1" s="46"/>
      <c r="M1" s="46" t="str">
        <f>APRIL!M1</f>
        <v>SRI VENKATARAGHAVA AGENCIES</v>
      </c>
      <c r="N1" s="46"/>
      <c r="O1" s="46" t="str">
        <f>APRIL!O1</f>
        <v>SHREEJI DIST PVT LTD</v>
      </c>
      <c r="P1" s="46"/>
      <c r="Q1" s="46" t="str">
        <f>APRIL!Q1</f>
        <v>SVS PHARMA</v>
      </c>
      <c r="R1" s="46"/>
      <c r="S1" s="46" t="str">
        <f>APRIL!S1</f>
        <v>PHARMA DISTRIBUTORS</v>
      </c>
      <c r="T1" s="46"/>
      <c r="U1" s="46" t="str">
        <f>APRIL!U1</f>
        <v>SAI PHARMA DISTRIBUTERS PVT LTD</v>
      </c>
      <c r="V1" s="46"/>
      <c r="W1" s="46" t="str">
        <f>APRIL!W1</f>
        <v>ALANKRITA AGENCIES</v>
      </c>
      <c r="X1" s="46"/>
      <c r="Y1" s="46" t="str">
        <f>APRIL!Y1</f>
        <v>JAYA SURG &amp; PHARMA PVT LTD</v>
      </c>
      <c r="Z1" s="46"/>
      <c r="AA1" s="46" t="str">
        <f>APRIL!AA1</f>
        <v>MANASA MEDICAL AGENCIES</v>
      </c>
      <c r="AB1" s="46"/>
      <c r="AC1" s="46" t="str">
        <f>APRIL!AC1</f>
        <v>KARTHICK AGENCIES</v>
      </c>
      <c r="AD1" s="46"/>
      <c r="AE1" s="46" t="str">
        <f>APRIL!AE1</f>
        <v>NIRMALA AGENCIES</v>
      </c>
      <c r="AF1" s="46"/>
      <c r="AG1" s="46" t="str">
        <f>APRIL!AG1</f>
        <v>HIMALAYA MEDICAL AGENCIES</v>
      </c>
      <c r="AH1" s="46"/>
      <c r="AI1" s="46" t="str">
        <f>APRIL!AI1</f>
        <v xml:space="preserve">Maruthi </v>
      </c>
      <c r="AJ1" s="46"/>
      <c r="AK1" s="46" t="str">
        <f>APRIL!AK1</f>
        <v>LAXMI SAI MEDICAL AGENCIES</v>
      </c>
      <c r="AL1" s="46"/>
      <c r="AM1" s="46" t="str">
        <f>APRIL!AM1</f>
        <v>Patwari Pharma</v>
      </c>
      <c r="AN1" s="46"/>
      <c r="AO1" s="46" t="str">
        <f>APRIL!AO1</f>
        <v>Vishnu &amp; Co</v>
      </c>
      <c r="AP1" s="46"/>
      <c r="AQ1" s="46" t="str">
        <f>APRIL!AQ1</f>
        <v>SUMAN AGENCIES HYD PVT LTD</v>
      </c>
      <c r="AR1" s="46"/>
      <c r="AS1" s="46" t="str">
        <f>APRIL!AS1</f>
        <v>Sri Nirmala</v>
      </c>
      <c r="AT1" s="46"/>
      <c r="AU1" s="46" t="str">
        <f>APRIL!AU1</f>
        <v>SHREE SHARADA PHARMA</v>
      </c>
      <c r="AV1" s="46"/>
      <c r="AW1" s="46" t="str">
        <f>APRIL!AW1</f>
        <v>ALLIED PHARMA</v>
      </c>
      <c r="AX1" s="46"/>
      <c r="AY1" s="46" t="str">
        <f>APRIL!AY1</f>
        <v>GOEL DISTRIBUTER</v>
      </c>
      <c r="AZ1" s="46"/>
      <c r="BA1" s="46" t="str">
        <f>APRIL!BA1</f>
        <v>KAMALESH PHARMA</v>
      </c>
      <c r="BB1" s="46"/>
      <c r="BC1" s="46" t="str">
        <f>APRIL!BC1</f>
        <v>ARVIND PHARMA DISTRIBUTER</v>
      </c>
      <c r="BD1" s="46"/>
      <c r="BE1" s="46" t="str">
        <f>APRIL!BE1</f>
        <v>GOEL PHARMA</v>
      </c>
      <c r="BF1" s="46"/>
      <c r="BG1" s="46" t="str">
        <f>APRIL!BG1</f>
        <v>KRISHNA  PHARMACEUTICALS</v>
      </c>
      <c r="BH1" s="46"/>
      <c r="BI1" s="46" t="str">
        <f>APRIL!BI1</f>
        <v>AP DRUGS</v>
      </c>
      <c r="BJ1" s="46"/>
      <c r="BK1" s="46" t="str">
        <f>APRIL!BK1</f>
        <v>MAWA PHARMACEUTICALS</v>
      </c>
      <c r="BL1" s="46"/>
      <c r="BM1" s="46" t="str">
        <f>APRIL!BM1</f>
        <v>TIRUMALA AGENCIES</v>
      </c>
      <c r="BN1" s="46"/>
      <c r="BO1" s="46" t="str">
        <f>APRIL!BO1</f>
        <v>SREE HARI MEDICALS</v>
      </c>
      <c r="BP1" s="46"/>
      <c r="BQ1" s="46" t="str">
        <f>APRIL!BQ1</f>
        <v>SREE VENKATESHWARA MEDISOLUTIONS</v>
      </c>
      <c r="BR1" s="46"/>
      <c r="BS1" s="46" t="str">
        <f>APRIL!BS1</f>
        <v>SRI BALAJI DRUGS</v>
      </c>
      <c r="BT1" s="46"/>
      <c r="BU1" s="46" t="str">
        <f>APRIL!BU1</f>
        <v>VISHNU MEDICAL HALL</v>
      </c>
      <c r="BV1" s="46"/>
      <c r="BW1" s="46" t="str">
        <f>APRIL!BW1</f>
        <v>HYDERABAD SPECIALITY DRUGS</v>
      </c>
      <c r="BX1" s="46"/>
      <c r="BY1" s="46" t="str">
        <f>APRIL!BY1</f>
        <v>LORVEN PHARMA &amp; SURGICALS (CORP)</v>
      </c>
      <c r="BZ1" s="46"/>
      <c r="CA1" s="46" t="str">
        <f>APRIL!CA1</f>
        <v>AK PHARMA</v>
      </c>
      <c r="CB1" s="46"/>
      <c r="CC1" s="46" t="str">
        <f>APRIL!CC1</f>
        <v>OPTIVAL HEALTHSOLUTIONS</v>
      </c>
      <c r="CD1" s="46"/>
      <c r="CE1" s="46" t="str">
        <f>APRIL!CE1</f>
        <v>BALAJI MEDICAL AGENCIES</v>
      </c>
      <c r="CF1" s="46"/>
      <c r="CG1" s="46" t="str">
        <f>APRIL!CG1</f>
        <v>S42</v>
      </c>
      <c r="CH1" s="46"/>
      <c r="CI1" s="46" t="str">
        <f>APRIL!CI1</f>
        <v>S43</v>
      </c>
      <c r="CJ1" s="46"/>
      <c r="CK1" s="46" t="str">
        <f>APRIL!CK1</f>
        <v>S44</v>
      </c>
      <c r="CL1" s="46"/>
      <c r="CM1" s="46" t="str">
        <f>APRIL!CM1</f>
        <v>S45</v>
      </c>
      <c r="CN1" s="46"/>
      <c r="CO1" s="46" t="str">
        <f>APRIL!CO1</f>
        <v>S46</v>
      </c>
      <c r="CP1" s="46"/>
      <c r="CQ1" s="46" t="str">
        <f>APRIL!CQ1</f>
        <v>S47</v>
      </c>
      <c r="CR1" s="46"/>
      <c r="CS1" s="46" t="str">
        <f>APRIL!CS1</f>
        <v>S48</v>
      </c>
      <c r="CT1" s="46"/>
      <c r="CU1" s="46" t="str">
        <f>APRIL!CU1</f>
        <v>S49</v>
      </c>
      <c r="CV1" s="46"/>
      <c r="CW1" s="46" t="str">
        <f>APRIL!CW1</f>
        <v>S50</v>
      </c>
      <c r="CX1" s="46"/>
      <c r="CY1" s="43" t="s">
        <v>1</v>
      </c>
      <c r="CZ1" s="43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</row>
    <row r="2" spans="1:122" ht="43.5">
      <c r="A2" s="44"/>
      <c r="B2" s="12" t="s">
        <v>2</v>
      </c>
      <c r="C2" s="7" t="s">
        <v>90</v>
      </c>
      <c r="D2" s="7" t="s">
        <v>91</v>
      </c>
      <c r="E2" s="7" t="s">
        <v>90</v>
      </c>
      <c r="F2" s="7" t="s">
        <v>91</v>
      </c>
      <c r="G2" s="7" t="s">
        <v>90</v>
      </c>
      <c r="H2" s="7" t="s">
        <v>91</v>
      </c>
      <c r="I2" s="7" t="s">
        <v>90</v>
      </c>
      <c r="J2" s="7" t="s">
        <v>91</v>
      </c>
      <c r="K2" s="7" t="s">
        <v>90</v>
      </c>
      <c r="L2" s="7" t="s">
        <v>91</v>
      </c>
      <c r="M2" s="7" t="s">
        <v>90</v>
      </c>
      <c r="N2" s="7" t="s">
        <v>91</v>
      </c>
      <c r="O2" s="7" t="s">
        <v>90</v>
      </c>
      <c r="P2" s="7" t="s">
        <v>91</v>
      </c>
      <c r="Q2" s="7" t="s">
        <v>90</v>
      </c>
      <c r="R2" s="7" t="s">
        <v>91</v>
      </c>
      <c r="S2" s="7" t="s">
        <v>90</v>
      </c>
      <c r="T2" s="7" t="s">
        <v>91</v>
      </c>
      <c r="U2" s="7" t="s">
        <v>90</v>
      </c>
      <c r="V2" s="7" t="s">
        <v>91</v>
      </c>
      <c r="W2" s="7" t="s">
        <v>90</v>
      </c>
      <c r="X2" s="7" t="s">
        <v>91</v>
      </c>
      <c r="Y2" s="7" t="s">
        <v>90</v>
      </c>
      <c r="Z2" s="7" t="s">
        <v>91</v>
      </c>
      <c r="AA2" s="7" t="s">
        <v>90</v>
      </c>
      <c r="AB2" s="7" t="s">
        <v>91</v>
      </c>
      <c r="AC2" s="7" t="s">
        <v>90</v>
      </c>
      <c r="AD2" s="7" t="s">
        <v>91</v>
      </c>
      <c r="AE2" s="7" t="s">
        <v>90</v>
      </c>
      <c r="AF2" s="7" t="s">
        <v>91</v>
      </c>
      <c r="AG2" s="7" t="s">
        <v>90</v>
      </c>
      <c r="AH2" s="7" t="s">
        <v>91</v>
      </c>
      <c r="AI2" s="7" t="s">
        <v>90</v>
      </c>
      <c r="AJ2" s="7" t="s">
        <v>91</v>
      </c>
      <c r="AK2" s="7" t="s">
        <v>90</v>
      </c>
      <c r="AL2" s="7" t="s">
        <v>91</v>
      </c>
      <c r="AM2" s="7" t="s">
        <v>90</v>
      </c>
      <c r="AN2" s="7" t="s">
        <v>91</v>
      </c>
      <c r="AO2" s="7" t="s">
        <v>90</v>
      </c>
      <c r="AP2" s="7" t="s">
        <v>91</v>
      </c>
      <c r="AQ2" s="7" t="s">
        <v>90</v>
      </c>
      <c r="AR2" s="7" t="s">
        <v>91</v>
      </c>
      <c r="AS2" s="7" t="s">
        <v>90</v>
      </c>
      <c r="AT2" s="7" t="s">
        <v>91</v>
      </c>
      <c r="AU2" s="7" t="s">
        <v>90</v>
      </c>
      <c r="AV2" s="7" t="s">
        <v>91</v>
      </c>
      <c r="AW2" s="7" t="s">
        <v>90</v>
      </c>
      <c r="AX2" s="7" t="s">
        <v>91</v>
      </c>
      <c r="AY2" s="7" t="s">
        <v>90</v>
      </c>
      <c r="AZ2" s="7" t="s">
        <v>91</v>
      </c>
      <c r="BA2" s="7" t="s">
        <v>90</v>
      </c>
      <c r="BB2" s="7" t="s">
        <v>91</v>
      </c>
      <c r="BC2" s="7" t="s">
        <v>90</v>
      </c>
      <c r="BD2" s="7" t="s">
        <v>91</v>
      </c>
      <c r="BE2" s="7" t="s">
        <v>90</v>
      </c>
      <c r="BF2" s="7" t="s">
        <v>91</v>
      </c>
      <c r="BG2" s="7" t="s">
        <v>90</v>
      </c>
      <c r="BH2" s="7" t="s">
        <v>91</v>
      </c>
      <c r="BI2" s="7" t="s">
        <v>90</v>
      </c>
      <c r="BJ2" s="7" t="s">
        <v>91</v>
      </c>
      <c r="BK2" s="7" t="s">
        <v>90</v>
      </c>
      <c r="BL2" s="7" t="s">
        <v>91</v>
      </c>
      <c r="BM2" s="7" t="s">
        <v>90</v>
      </c>
      <c r="BN2" s="7" t="s">
        <v>91</v>
      </c>
      <c r="BO2" s="7" t="s">
        <v>90</v>
      </c>
      <c r="BP2" s="7" t="s">
        <v>91</v>
      </c>
      <c r="BQ2" s="7" t="s">
        <v>90</v>
      </c>
      <c r="BR2" s="7" t="s">
        <v>91</v>
      </c>
      <c r="BS2" s="7" t="s">
        <v>90</v>
      </c>
      <c r="BT2" s="7" t="s">
        <v>91</v>
      </c>
      <c r="BU2" s="7" t="s">
        <v>90</v>
      </c>
      <c r="BV2" s="7" t="s">
        <v>91</v>
      </c>
      <c r="BW2" s="7" t="s">
        <v>90</v>
      </c>
      <c r="BX2" s="7" t="s">
        <v>91</v>
      </c>
      <c r="BY2" s="7" t="s">
        <v>90</v>
      </c>
      <c r="BZ2" s="7" t="s">
        <v>91</v>
      </c>
      <c r="CA2" s="7" t="s">
        <v>90</v>
      </c>
      <c r="CB2" s="7" t="s">
        <v>91</v>
      </c>
      <c r="CC2" s="7" t="s">
        <v>90</v>
      </c>
      <c r="CD2" s="7" t="s">
        <v>91</v>
      </c>
      <c r="CE2" s="7" t="s">
        <v>90</v>
      </c>
      <c r="CF2" s="7" t="s">
        <v>91</v>
      </c>
      <c r="CG2" s="7" t="s">
        <v>90</v>
      </c>
      <c r="CH2" s="7" t="s">
        <v>91</v>
      </c>
      <c r="CI2" s="7" t="s">
        <v>90</v>
      </c>
      <c r="CJ2" s="7" t="s">
        <v>91</v>
      </c>
      <c r="CK2" s="7" t="s">
        <v>90</v>
      </c>
      <c r="CL2" s="7" t="s">
        <v>91</v>
      </c>
      <c r="CM2" s="7" t="s">
        <v>90</v>
      </c>
      <c r="CN2" s="7" t="s">
        <v>91</v>
      </c>
      <c r="CO2" s="7" t="s">
        <v>90</v>
      </c>
      <c r="CP2" s="7" t="s">
        <v>91</v>
      </c>
      <c r="CQ2" s="7" t="s">
        <v>90</v>
      </c>
      <c r="CR2" s="7" t="s">
        <v>91</v>
      </c>
      <c r="CS2" s="7" t="s">
        <v>90</v>
      </c>
      <c r="CT2" s="7" t="s">
        <v>91</v>
      </c>
      <c r="CU2" s="7" t="s">
        <v>90</v>
      </c>
      <c r="CV2" s="7" t="s">
        <v>91</v>
      </c>
      <c r="CW2" s="7" t="s">
        <v>90</v>
      </c>
      <c r="CX2" s="7" t="s">
        <v>91</v>
      </c>
      <c r="CY2" s="7" t="s">
        <v>90</v>
      </c>
      <c r="CZ2" s="7" t="s">
        <v>91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</row>
    <row r="3" spans="1:122" ht="18" customHeight="1">
      <c r="A3" s="13" t="s">
        <v>3</v>
      </c>
      <c r="B3" s="14">
        <f>IFERROR(VLOOKUP(A3,PRICELIST!$A$3:$D$138,4,0),"-")</f>
        <v>167.79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9">
        <f>C3+E3+G3+I3+K3+M3+O3+Q3+S3+U3+W3+Y3+AA3+AC3+AE3+AG3+AI3+AK3+AM3+AO3+AQ3+AS3+AU3+AW3+AY3+BA3+BC3+BE3+BG3+BI3+BK3+BM3+BO3+BQ3+BS3+BU3+BW3+BY3+CA3+CC3+CE3+CG3+CI3+CK3+CM3+CO3+CQ3+CS3+CU3+CW3</f>
        <v>0</v>
      </c>
      <c r="CZ3" s="19">
        <f>D3+F3+H3+J3+L3+N3+P3+R3+T3+V3+X3+Z3+AB3+AD3+AF3+AH3+AJ3+AL3+AN3+AP3+AR3+AT3+AV3+AX3+AZ3+BB3+BD3+BF3+BH3+BJ3+BL3+BN3+BP3+BR3+BT3+BV3+BX3+BZ3+CB3+CD3+CF3+CH3+CJ3+CL3+CN3+CP3+CR3+CT3+CV3+CX3</f>
        <v>0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</row>
    <row r="4" spans="1:122" ht="18" customHeight="1">
      <c r="A4" s="13" t="s">
        <v>4</v>
      </c>
      <c r="B4" s="14">
        <f>IFERROR(VLOOKUP(A4,PRICELIST!$A$3:$D$138,4,0),"-")</f>
        <v>112.5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9">
        <f t="shared" ref="CY4:CZ9" si="0">C4+E4+G4+I4+K4+M4+O4+Q4+S4+U4+W4+Y4+AA4+AC4+AE4+AG4+AI4+AK4+AM4+AO4+AQ4+AS4+AU4+AW4+AY4+BA4+BC4+BE4+BG4+BI4+BK4+BM4+BO4+BQ4+BS4+BU4+BW4+BY4+CA4+CC4+CE4+CG4+CI4+CK4+CM4+CO4+CQ4+CS4+CU4+CW4</f>
        <v>0</v>
      </c>
      <c r="CZ4" s="19">
        <f t="shared" si="0"/>
        <v>0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</row>
    <row r="5" spans="1:122" ht="18" customHeight="1">
      <c r="A5" s="13" t="s">
        <v>5</v>
      </c>
      <c r="B5" s="14">
        <f>IFERROR(VLOOKUP(A5,PRICELIST!$A$3:$D$138,4,0),"-")</f>
        <v>127.87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9">
        <f t="shared" si="0"/>
        <v>0</v>
      </c>
      <c r="CZ5" s="19">
        <f t="shared" si="0"/>
        <v>0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</row>
    <row r="6" spans="1:122" ht="18" customHeight="1">
      <c r="A6" s="13" t="s">
        <v>6</v>
      </c>
      <c r="B6" s="14">
        <f>IFERROR(VLOOKUP(A6,PRICELIST!$A$3:$D$138,4,0),"-")</f>
        <v>88.7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9">
        <f t="shared" si="0"/>
        <v>0</v>
      </c>
      <c r="CZ6" s="19">
        <f t="shared" si="0"/>
        <v>0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</row>
    <row r="7" spans="1:122" ht="18" customHeight="1">
      <c r="A7" s="13" t="s">
        <v>78</v>
      </c>
      <c r="B7" s="14">
        <f>IFERROR(VLOOKUP(A7,PRICELIST!$A$3:$D$138,4,0),"-")</f>
        <v>171.64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9">
        <f t="shared" si="0"/>
        <v>0</v>
      </c>
      <c r="CZ7" s="19">
        <f t="shared" si="0"/>
        <v>0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</row>
    <row r="8" spans="1:122" ht="18" customHeight="1">
      <c r="A8" s="13" t="s">
        <v>7</v>
      </c>
      <c r="B8" s="14">
        <f>IFERROR(VLOOKUP(A8,PRICELIST!$A$3:$D$138,4,0),"-")</f>
        <v>216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9">
        <f t="shared" si="0"/>
        <v>0</v>
      </c>
      <c r="CZ8" s="19">
        <f t="shared" si="0"/>
        <v>0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</row>
    <row r="9" spans="1:122" ht="18" customHeight="1">
      <c r="A9" s="13" t="s">
        <v>8</v>
      </c>
      <c r="B9" s="14">
        <f>IFERROR(VLOOKUP(A9,PRICELIST!$A$3:$D$138,4,0),"-")</f>
        <v>163.93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9">
        <f t="shared" si="0"/>
        <v>0</v>
      </c>
      <c r="CZ9" s="19">
        <f t="shared" si="0"/>
        <v>0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</row>
    <row r="10" spans="1:122" ht="18" customHeight="1">
      <c r="A10" s="9" t="s">
        <v>9</v>
      </c>
      <c r="B10" s="10"/>
      <c r="C10" s="11">
        <f>SUMPRODUCT($B3:$B9,C3:C9)</f>
        <v>0</v>
      </c>
      <c r="D10" s="11">
        <f t="shared" ref="D10:BO10" si="1">SUMPRODUCT($B3:$B9,D3:D9)</f>
        <v>0</v>
      </c>
      <c r="E10" s="11">
        <f t="shared" si="1"/>
        <v>0</v>
      </c>
      <c r="F10" s="11">
        <f t="shared" si="1"/>
        <v>0</v>
      </c>
      <c r="G10" s="11">
        <f t="shared" si="1"/>
        <v>0</v>
      </c>
      <c r="H10" s="11">
        <f t="shared" si="1"/>
        <v>0</v>
      </c>
      <c r="I10" s="11">
        <f t="shared" si="1"/>
        <v>0</v>
      </c>
      <c r="J10" s="11">
        <f t="shared" si="1"/>
        <v>0</v>
      </c>
      <c r="K10" s="11">
        <f t="shared" si="1"/>
        <v>0</v>
      </c>
      <c r="L10" s="11">
        <f t="shared" si="1"/>
        <v>0</v>
      </c>
      <c r="M10" s="11">
        <f t="shared" si="1"/>
        <v>0</v>
      </c>
      <c r="N10" s="11">
        <f t="shared" si="1"/>
        <v>0</v>
      </c>
      <c r="O10" s="11">
        <f t="shared" si="1"/>
        <v>0</v>
      </c>
      <c r="P10" s="11">
        <f t="shared" si="1"/>
        <v>0</v>
      </c>
      <c r="Q10" s="11">
        <f t="shared" si="1"/>
        <v>0</v>
      </c>
      <c r="R10" s="11">
        <f t="shared" si="1"/>
        <v>0</v>
      </c>
      <c r="S10" s="11">
        <f t="shared" si="1"/>
        <v>0</v>
      </c>
      <c r="T10" s="11">
        <f t="shared" si="1"/>
        <v>0</v>
      </c>
      <c r="U10" s="11">
        <f t="shared" si="1"/>
        <v>0</v>
      </c>
      <c r="V10" s="11">
        <f t="shared" si="1"/>
        <v>0</v>
      </c>
      <c r="W10" s="11">
        <f t="shared" si="1"/>
        <v>0</v>
      </c>
      <c r="X10" s="11">
        <f t="shared" si="1"/>
        <v>0</v>
      </c>
      <c r="Y10" s="11">
        <f t="shared" si="1"/>
        <v>0</v>
      </c>
      <c r="Z10" s="11">
        <f t="shared" si="1"/>
        <v>0</v>
      </c>
      <c r="AA10" s="11">
        <f t="shared" si="1"/>
        <v>0</v>
      </c>
      <c r="AB10" s="11">
        <f t="shared" si="1"/>
        <v>0</v>
      </c>
      <c r="AC10" s="11">
        <f t="shared" si="1"/>
        <v>0</v>
      </c>
      <c r="AD10" s="11">
        <f t="shared" si="1"/>
        <v>0</v>
      </c>
      <c r="AE10" s="11">
        <f t="shared" si="1"/>
        <v>0</v>
      </c>
      <c r="AF10" s="11">
        <f t="shared" si="1"/>
        <v>0</v>
      </c>
      <c r="AG10" s="11">
        <f t="shared" si="1"/>
        <v>0</v>
      </c>
      <c r="AH10" s="11">
        <f t="shared" si="1"/>
        <v>0</v>
      </c>
      <c r="AI10" s="11">
        <f t="shared" si="1"/>
        <v>0</v>
      </c>
      <c r="AJ10" s="11">
        <f t="shared" si="1"/>
        <v>0</v>
      </c>
      <c r="AK10" s="11">
        <f t="shared" si="1"/>
        <v>0</v>
      </c>
      <c r="AL10" s="11">
        <f t="shared" si="1"/>
        <v>0</v>
      </c>
      <c r="AM10" s="11">
        <f t="shared" si="1"/>
        <v>0</v>
      </c>
      <c r="AN10" s="11">
        <f t="shared" si="1"/>
        <v>0</v>
      </c>
      <c r="AO10" s="11">
        <f t="shared" si="1"/>
        <v>0</v>
      </c>
      <c r="AP10" s="11">
        <f t="shared" si="1"/>
        <v>0</v>
      </c>
      <c r="AQ10" s="11">
        <f t="shared" si="1"/>
        <v>0</v>
      </c>
      <c r="AR10" s="11">
        <f t="shared" si="1"/>
        <v>0</v>
      </c>
      <c r="AS10" s="11">
        <f t="shared" si="1"/>
        <v>0</v>
      </c>
      <c r="AT10" s="11">
        <f t="shared" si="1"/>
        <v>0</v>
      </c>
      <c r="AU10" s="11">
        <f t="shared" si="1"/>
        <v>0</v>
      </c>
      <c r="AV10" s="11">
        <f t="shared" si="1"/>
        <v>0</v>
      </c>
      <c r="AW10" s="11">
        <f t="shared" si="1"/>
        <v>0</v>
      </c>
      <c r="AX10" s="11">
        <f t="shared" si="1"/>
        <v>0</v>
      </c>
      <c r="AY10" s="11">
        <f t="shared" si="1"/>
        <v>0</v>
      </c>
      <c r="AZ10" s="11">
        <f t="shared" si="1"/>
        <v>0</v>
      </c>
      <c r="BA10" s="11">
        <f t="shared" si="1"/>
        <v>0</v>
      </c>
      <c r="BB10" s="11">
        <f t="shared" si="1"/>
        <v>0</v>
      </c>
      <c r="BC10" s="11">
        <f t="shared" si="1"/>
        <v>0</v>
      </c>
      <c r="BD10" s="11">
        <f t="shared" si="1"/>
        <v>0</v>
      </c>
      <c r="BE10" s="11">
        <f t="shared" si="1"/>
        <v>0</v>
      </c>
      <c r="BF10" s="11">
        <f t="shared" si="1"/>
        <v>0</v>
      </c>
      <c r="BG10" s="11">
        <f t="shared" si="1"/>
        <v>0</v>
      </c>
      <c r="BH10" s="11">
        <f t="shared" si="1"/>
        <v>0</v>
      </c>
      <c r="BI10" s="11">
        <f t="shared" si="1"/>
        <v>0</v>
      </c>
      <c r="BJ10" s="11">
        <f t="shared" si="1"/>
        <v>0</v>
      </c>
      <c r="BK10" s="11">
        <f t="shared" si="1"/>
        <v>0</v>
      </c>
      <c r="BL10" s="11">
        <f t="shared" si="1"/>
        <v>0</v>
      </c>
      <c r="BM10" s="11">
        <f t="shared" si="1"/>
        <v>0</v>
      </c>
      <c r="BN10" s="11">
        <f t="shared" si="1"/>
        <v>0</v>
      </c>
      <c r="BO10" s="11">
        <f t="shared" si="1"/>
        <v>0</v>
      </c>
      <c r="BP10" s="11">
        <f t="shared" ref="BP10:CZ10" si="2">SUMPRODUCT($B3:$B9,BP3:BP9)</f>
        <v>0</v>
      </c>
      <c r="BQ10" s="11">
        <f t="shared" si="2"/>
        <v>0</v>
      </c>
      <c r="BR10" s="11">
        <f t="shared" si="2"/>
        <v>0</v>
      </c>
      <c r="BS10" s="11">
        <f t="shared" si="2"/>
        <v>0</v>
      </c>
      <c r="BT10" s="11">
        <f t="shared" si="2"/>
        <v>0</v>
      </c>
      <c r="BU10" s="11">
        <f t="shared" si="2"/>
        <v>0</v>
      </c>
      <c r="BV10" s="11">
        <f t="shared" si="2"/>
        <v>0</v>
      </c>
      <c r="BW10" s="11">
        <f t="shared" si="2"/>
        <v>0</v>
      </c>
      <c r="BX10" s="11">
        <f t="shared" si="2"/>
        <v>0</v>
      </c>
      <c r="BY10" s="11">
        <f t="shared" si="2"/>
        <v>0</v>
      </c>
      <c r="BZ10" s="11">
        <f t="shared" si="2"/>
        <v>0</v>
      </c>
      <c r="CA10" s="11">
        <f t="shared" si="2"/>
        <v>0</v>
      </c>
      <c r="CB10" s="11">
        <f t="shared" si="2"/>
        <v>0</v>
      </c>
      <c r="CC10" s="11">
        <f t="shared" si="2"/>
        <v>0</v>
      </c>
      <c r="CD10" s="11">
        <f t="shared" si="2"/>
        <v>0</v>
      </c>
      <c r="CE10" s="11">
        <f t="shared" si="2"/>
        <v>0</v>
      </c>
      <c r="CF10" s="11">
        <f t="shared" si="2"/>
        <v>0</v>
      </c>
      <c r="CG10" s="11">
        <f t="shared" si="2"/>
        <v>0</v>
      </c>
      <c r="CH10" s="11">
        <f t="shared" si="2"/>
        <v>0</v>
      </c>
      <c r="CI10" s="11">
        <f t="shared" si="2"/>
        <v>0</v>
      </c>
      <c r="CJ10" s="11">
        <f t="shared" si="2"/>
        <v>0</v>
      </c>
      <c r="CK10" s="11">
        <f t="shared" si="2"/>
        <v>0</v>
      </c>
      <c r="CL10" s="11">
        <f t="shared" si="2"/>
        <v>0</v>
      </c>
      <c r="CM10" s="11">
        <f t="shared" si="2"/>
        <v>0</v>
      </c>
      <c r="CN10" s="11">
        <f t="shared" si="2"/>
        <v>0</v>
      </c>
      <c r="CO10" s="11">
        <f t="shared" si="2"/>
        <v>0</v>
      </c>
      <c r="CP10" s="11">
        <f t="shared" si="2"/>
        <v>0</v>
      </c>
      <c r="CQ10" s="11">
        <f t="shared" si="2"/>
        <v>0</v>
      </c>
      <c r="CR10" s="11">
        <f t="shared" si="2"/>
        <v>0</v>
      </c>
      <c r="CS10" s="11">
        <f t="shared" si="2"/>
        <v>0</v>
      </c>
      <c r="CT10" s="11">
        <f t="shared" si="2"/>
        <v>0</v>
      </c>
      <c r="CU10" s="11">
        <f t="shared" si="2"/>
        <v>0</v>
      </c>
      <c r="CV10" s="11">
        <f t="shared" si="2"/>
        <v>0</v>
      </c>
      <c r="CW10" s="11">
        <f t="shared" si="2"/>
        <v>0</v>
      </c>
      <c r="CX10" s="11">
        <f t="shared" si="2"/>
        <v>0</v>
      </c>
      <c r="CY10" s="11">
        <f t="shared" si="2"/>
        <v>0</v>
      </c>
      <c r="CZ10" s="11">
        <f t="shared" si="2"/>
        <v>0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</row>
    <row r="11" spans="1:122" ht="18" customHeight="1">
      <c r="A11" s="4" t="s">
        <v>127</v>
      </c>
      <c r="B11" s="14">
        <f>IFERROR(VLOOKUP(A11,PRICELIST!$A$3:$D$138,4,0),"-")</f>
        <v>432.21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9">
        <f t="shared" ref="CY11:CZ19" si="3">C11+E11+G11+I11+K11+M11+O11+Q11+S11+U11+W11+Y11+AA11+AC11+AE11+AG11+AI11+AK11+AM11+AO11+AQ11+AS11+AU11+AW11+AY11+BA11+BC11+BE11+BG11+BI11+BK11+BM11+BO11+BQ11+BS11+BU11+BW11+BY11+CA11+CC11+CE11+CG11+CI11+CK11+CM11+CO11+CQ11+CS11+CU11+CW11</f>
        <v>0</v>
      </c>
      <c r="CZ11" s="19">
        <f t="shared" si="3"/>
        <v>0</v>
      </c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</row>
    <row r="12" spans="1:122" ht="18" customHeight="1">
      <c r="A12" s="4" t="s">
        <v>128</v>
      </c>
      <c r="B12" s="14">
        <f>IFERROR(VLOOKUP(A12,PRICELIST!$A$3:$D$138,4,0),"-")</f>
        <v>107.11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9">
        <f t="shared" si="3"/>
        <v>0</v>
      </c>
      <c r="CZ12" s="19">
        <f t="shared" si="3"/>
        <v>0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</row>
    <row r="13" spans="1:122" ht="18" customHeight="1">
      <c r="A13" s="4" t="s">
        <v>129</v>
      </c>
      <c r="B13" s="14">
        <f>IFERROR(VLOOKUP(A13,PRICELIST!$A$3:$D$138,4,0),"-")</f>
        <v>205.07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9">
        <f t="shared" si="3"/>
        <v>0</v>
      </c>
      <c r="CZ13" s="19">
        <f t="shared" si="3"/>
        <v>0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</row>
    <row r="14" spans="1:122" ht="18" customHeight="1">
      <c r="A14" s="4" t="s">
        <v>130</v>
      </c>
      <c r="B14" s="14">
        <f>IFERROR(VLOOKUP(A14,PRICELIST!$A$3:$D$138,4,0),"-")</f>
        <v>322.70999999999998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9">
        <f t="shared" si="3"/>
        <v>0</v>
      </c>
      <c r="CZ14" s="19">
        <f t="shared" si="3"/>
        <v>0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</row>
    <row r="15" spans="1:122" ht="18" customHeight="1">
      <c r="A15" s="4" t="s">
        <v>118</v>
      </c>
      <c r="B15" s="14">
        <f>IFERROR(VLOOKUP(A15,PRICELIST!$A$3:$D$138,4,0),"-")</f>
        <v>272.23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9">
        <f t="shared" si="3"/>
        <v>0</v>
      </c>
      <c r="CZ15" s="19">
        <f t="shared" si="3"/>
        <v>0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</row>
    <row r="16" spans="1:122" ht="18" customHeight="1">
      <c r="A16" s="4" t="s">
        <v>119</v>
      </c>
      <c r="B16" s="14">
        <f>IFERROR(VLOOKUP(A16,PRICELIST!$A$3:$D$138,4,0),"-")</f>
        <v>352.76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9">
        <f t="shared" si="3"/>
        <v>0</v>
      </c>
      <c r="CZ16" s="19">
        <f t="shared" si="3"/>
        <v>0</v>
      </c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</row>
    <row r="17" spans="1:122" ht="18" customHeight="1">
      <c r="A17" s="4" t="s">
        <v>120</v>
      </c>
      <c r="B17" s="14">
        <f>IFERROR(VLOOKUP(A17,PRICELIST!$A$3:$D$138,4,0),"-")</f>
        <v>137.57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9">
        <f t="shared" si="3"/>
        <v>0</v>
      </c>
      <c r="CZ17" s="19">
        <f t="shared" si="3"/>
        <v>0</v>
      </c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</row>
    <row r="18" spans="1:122" ht="18" customHeight="1">
      <c r="A18" s="32" t="s">
        <v>124</v>
      </c>
      <c r="B18" s="14">
        <f>IFERROR(VLOOKUP(A18,PRICELIST!$A$3:$D$138,4,0),"-")</f>
        <v>647.36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9">
        <f t="shared" si="3"/>
        <v>0</v>
      </c>
      <c r="CZ18" s="19">
        <f t="shared" si="3"/>
        <v>0</v>
      </c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</row>
    <row r="19" spans="1:122" ht="18" customHeight="1">
      <c r="A19" s="4" t="s">
        <v>79</v>
      </c>
      <c r="B19" s="14">
        <f>IFERROR(VLOOKUP(A19,PRICELIST!$A$3:$D$138,4,0),"-")</f>
        <v>110.25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9">
        <f t="shared" si="3"/>
        <v>0</v>
      </c>
      <c r="CZ19" s="19">
        <f t="shared" si="3"/>
        <v>0</v>
      </c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</row>
    <row r="20" spans="1:122" ht="18" customHeight="1">
      <c r="A20" s="33" t="s">
        <v>125</v>
      </c>
      <c r="B20" s="15"/>
      <c r="C20" s="11">
        <f t="shared" ref="C20:BN20" si="4">SUMPRODUCT($B11:$B19,C11:C19)</f>
        <v>0</v>
      </c>
      <c r="D20" s="11">
        <f t="shared" si="4"/>
        <v>0</v>
      </c>
      <c r="E20" s="11">
        <f t="shared" si="4"/>
        <v>0</v>
      </c>
      <c r="F20" s="11">
        <f t="shared" si="4"/>
        <v>0</v>
      </c>
      <c r="G20" s="11">
        <f t="shared" si="4"/>
        <v>0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0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0</v>
      </c>
      <c r="X20" s="11">
        <f t="shared" si="4"/>
        <v>0</v>
      </c>
      <c r="Y20" s="11">
        <f t="shared" si="4"/>
        <v>0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  <c r="AI20" s="11">
        <f t="shared" si="4"/>
        <v>0</v>
      </c>
      <c r="AJ20" s="11">
        <f t="shared" si="4"/>
        <v>0</v>
      </c>
      <c r="AK20" s="11">
        <f t="shared" si="4"/>
        <v>0</v>
      </c>
      <c r="AL20" s="11">
        <f t="shared" si="4"/>
        <v>0</v>
      </c>
      <c r="AM20" s="11">
        <f t="shared" si="4"/>
        <v>0</v>
      </c>
      <c r="AN20" s="11">
        <f t="shared" si="4"/>
        <v>0</v>
      </c>
      <c r="AO20" s="11">
        <f t="shared" si="4"/>
        <v>0</v>
      </c>
      <c r="AP20" s="11">
        <f t="shared" si="4"/>
        <v>0</v>
      </c>
      <c r="AQ20" s="11">
        <f t="shared" si="4"/>
        <v>0</v>
      </c>
      <c r="AR20" s="11">
        <f t="shared" si="4"/>
        <v>0</v>
      </c>
      <c r="AS20" s="11">
        <f t="shared" si="4"/>
        <v>0</v>
      </c>
      <c r="AT20" s="11">
        <f t="shared" si="4"/>
        <v>0</v>
      </c>
      <c r="AU20" s="11">
        <f t="shared" si="4"/>
        <v>0</v>
      </c>
      <c r="AV20" s="11">
        <f t="shared" si="4"/>
        <v>0</v>
      </c>
      <c r="AW20" s="11">
        <f t="shared" si="4"/>
        <v>0</v>
      </c>
      <c r="AX20" s="11">
        <f t="shared" si="4"/>
        <v>0</v>
      </c>
      <c r="AY20" s="11">
        <f t="shared" si="4"/>
        <v>0</v>
      </c>
      <c r="AZ20" s="11">
        <f t="shared" si="4"/>
        <v>0</v>
      </c>
      <c r="BA20" s="11">
        <f t="shared" si="4"/>
        <v>0</v>
      </c>
      <c r="BB20" s="11">
        <f t="shared" si="4"/>
        <v>0</v>
      </c>
      <c r="BC20" s="11">
        <f t="shared" si="4"/>
        <v>0</v>
      </c>
      <c r="BD20" s="11">
        <f t="shared" si="4"/>
        <v>0</v>
      </c>
      <c r="BE20" s="11">
        <f t="shared" si="4"/>
        <v>0</v>
      </c>
      <c r="BF20" s="11">
        <f t="shared" si="4"/>
        <v>0</v>
      </c>
      <c r="BG20" s="11">
        <f t="shared" si="4"/>
        <v>0</v>
      </c>
      <c r="BH20" s="11">
        <f t="shared" si="4"/>
        <v>0</v>
      </c>
      <c r="BI20" s="11">
        <f t="shared" si="4"/>
        <v>0</v>
      </c>
      <c r="BJ20" s="11">
        <f t="shared" si="4"/>
        <v>0</v>
      </c>
      <c r="BK20" s="11">
        <f t="shared" si="4"/>
        <v>0</v>
      </c>
      <c r="BL20" s="11">
        <f t="shared" si="4"/>
        <v>0</v>
      </c>
      <c r="BM20" s="11">
        <f t="shared" si="4"/>
        <v>0</v>
      </c>
      <c r="BN20" s="11">
        <f t="shared" si="4"/>
        <v>0</v>
      </c>
      <c r="BO20" s="11">
        <f t="shared" ref="BO20:CZ20" si="5">SUMPRODUCT($B11:$B19,BO11:BO19)</f>
        <v>0</v>
      </c>
      <c r="BP20" s="11">
        <f t="shared" si="5"/>
        <v>0</v>
      </c>
      <c r="BQ20" s="11">
        <f t="shared" si="5"/>
        <v>0</v>
      </c>
      <c r="BR20" s="11">
        <f t="shared" si="5"/>
        <v>0</v>
      </c>
      <c r="BS20" s="11">
        <f t="shared" si="5"/>
        <v>0</v>
      </c>
      <c r="BT20" s="11">
        <f t="shared" si="5"/>
        <v>0</v>
      </c>
      <c r="BU20" s="11">
        <f t="shared" si="5"/>
        <v>0</v>
      </c>
      <c r="BV20" s="11">
        <f t="shared" si="5"/>
        <v>0</v>
      </c>
      <c r="BW20" s="11">
        <f t="shared" si="5"/>
        <v>0</v>
      </c>
      <c r="BX20" s="11">
        <f t="shared" si="5"/>
        <v>0</v>
      </c>
      <c r="BY20" s="11">
        <f t="shared" si="5"/>
        <v>0</v>
      </c>
      <c r="BZ20" s="11">
        <f t="shared" si="5"/>
        <v>0</v>
      </c>
      <c r="CA20" s="11">
        <f t="shared" si="5"/>
        <v>0</v>
      </c>
      <c r="CB20" s="11">
        <f t="shared" si="5"/>
        <v>0</v>
      </c>
      <c r="CC20" s="11">
        <f t="shared" si="5"/>
        <v>0</v>
      </c>
      <c r="CD20" s="11">
        <f t="shared" si="5"/>
        <v>0</v>
      </c>
      <c r="CE20" s="11">
        <f t="shared" si="5"/>
        <v>0</v>
      </c>
      <c r="CF20" s="11">
        <f t="shared" si="5"/>
        <v>0</v>
      </c>
      <c r="CG20" s="11">
        <f t="shared" si="5"/>
        <v>0</v>
      </c>
      <c r="CH20" s="11">
        <f t="shared" si="5"/>
        <v>0</v>
      </c>
      <c r="CI20" s="11">
        <f t="shared" si="5"/>
        <v>0</v>
      </c>
      <c r="CJ20" s="11">
        <f t="shared" si="5"/>
        <v>0</v>
      </c>
      <c r="CK20" s="11">
        <f t="shared" si="5"/>
        <v>0</v>
      </c>
      <c r="CL20" s="11">
        <f t="shared" si="5"/>
        <v>0</v>
      </c>
      <c r="CM20" s="11">
        <f t="shared" si="5"/>
        <v>0</v>
      </c>
      <c r="CN20" s="11">
        <f t="shared" si="5"/>
        <v>0</v>
      </c>
      <c r="CO20" s="11">
        <f t="shared" si="5"/>
        <v>0</v>
      </c>
      <c r="CP20" s="11">
        <f t="shared" si="5"/>
        <v>0</v>
      </c>
      <c r="CQ20" s="11">
        <f t="shared" si="5"/>
        <v>0</v>
      </c>
      <c r="CR20" s="11">
        <f t="shared" si="5"/>
        <v>0</v>
      </c>
      <c r="CS20" s="11">
        <f t="shared" si="5"/>
        <v>0</v>
      </c>
      <c r="CT20" s="11">
        <f t="shared" si="5"/>
        <v>0</v>
      </c>
      <c r="CU20" s="11">
        <f t="shared" si="5"/>
        <v>0</v>
      </c>
      <c r="CV20" s="11">
        <f t="shared" si="5"/>
        <v>0</v>
      </c>
      <c r="CW20" s="11">
        <f t="shared" si="5"/>
        <v>0</v>
      </c>
      <c r="CX20" s="11">
        <f t="shared" si="5"/>
        <v>0</v>
      </c>
      <c r="CY20" s="11">
        <f t="shared" si="5"/>
        <v>0</v>
      </c>
      <c r="CZ20" s="11">
        <f t="shared" si="5"/>
        <v>0</v>
      </c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</row>
    <row r="21" spans="1:122" ht="18" customHeight="1">
      <c r="A21" s="13" t="s">
        <v>80</v>
      </c>
      <c r="B21" s="14">
        <f>IFERROR(VLOOKUP(A21,PRICELIST!$A$3:$D$138,4,0),"-")</f>
        <v>128.88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9">
        <f t="shared" ref="CY21:CZ23" si="6">C21+E21+G21+I21+K21+M21+O21+Q21+S21+U21+W21+Y21+AA21+AC21+AE21+AG21+AI21+AK21+AM21+AO21+AQ21+AS21+AU21+AW21+AY21+BA21+BC21+BE21+BG21+BI21+BK21+BM21+BO21+BQ21+BS21+BU21+BW21+BY21+CA21+CC21+CE21+CG21+CI21+CK21+CM21+CO21+CQ21+CS21+CU21+CW21</f>
        <v>0</v>
      </c>
      <c r="CZ21" s="19">
        <f t="shared" si="6"/>
        <v>0</v>
      </c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</row>
    <row r="22" spans="1:122" ht="18" customHeight="1">
      <c r="A22" s="13" t="s">
        <v>10</v>
      </c>
      <c r="B22" s="14">
        <f>IFERROR(VLOOKUP(A22,PRICELIST!$A$3:$D$138,4,0),"-")</f>
        <v>120.53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9">
        <f t="shared" si="6"/>
        <v>0</v>
      </c>
      <c r="CZ22" s="19">
        <f t="shared" si="6"/>
        <v>0</v>
      </c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</row>
    <row r="23" spans="1:122" ht="18" customHeight="1">
      <c r="A23" s="13" t="s">
        <v>11</v>
      </c>
      <c r="B23" s="14">
        <f>IFERROR(VLOOKUP(A23,PRICELIST!$A$3:$D$138,4,0),"-")</f>
        <v>144.29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9">
        <f t="shared" si="6"/>
        <v>0</v>
      </c>
      <c r="CZ23" s="19">
        <f t="shared" si="6"/>
        <v>0</v>
      </c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</row>
    <row r="24" spans="1:122" ht="18" customHeight="1">
      <c r="A24" s="9" t="s">
        <v>12</v>
      </c>
      <c r="B24" s="10"/>
      <c r="C24" s="11">
        <f>SUMPRODUCT($B21:$B23,C21:C23)</f>
        <v>0</v>
      </c>
      <c r="D24" s="11">
        <f t="shared" ref="D24:BO24" si="7">SUMPRODUCT($B21:$B23,D21:D23)</f>
        <v>0</v>
      </c>
      <c r="E24" s="11">
        <f t="shared" si="7"/>
        <v>0</v>
      </c>
      <c r="F24" s="11">
        <f t="shared" si="7"/>
        <v>0</v>
      </c>
      <c r="G24" s="11">
        <f t="shared" si="7"/>
        <v>0</v>
      </c>
      <c r="H24" s="11">
        <f t="shared" si="7"/>
        <v>0</v>
      </c>
      <c r="I24" s="11">
        <f t="shared" si="7"/>
        <v>0</v>
      </c>
      <c r="J24" s="11">
        <f t="shared" si="7"/>
        <v>0</v>
      </c>
      <c r="K24" s="11">
        <f t="shared" si="7"/>
        <v>0</v>
      </c>
      <c r="L24" s="11">
        <f t="shared" si="7"/>
        <v>0</v>
      </c>
      <c r="M24" s="11">
        <f t="shared" si="7"/>
        <v>0</v>
      </c>
      <c r="N24" s="11">
        <f t="shared" si="7"/>
        <v>0</v>
      </c>
      <c r="O24" s="11">
        <f t="shared" si="7"/>
        <v>0</v>
      </c>
      <c r="P24" s="11">
        <f t="shared" si="7"/>
        <v>0</v>
      </c>
      <c r="Q24" s="11">
        <f t="shared" si="7"/>
        <v>0</v>
      </c>
      <c r="R24" s="11">
        <f t="shared" si="7"/>
        <v>0</v>
      </c>
      <c r="S24" s="11">
        <f t="shared" si="7"/>
        <v>0</v>
      </c>
      <c r="T24" s="11">
        <f t="shared" si="7"/>
        <v>0</v>
      </c>
      <c r="U24" s="11">
        <f t="shared" si="7"/>
        <v>0</v>
      </c>
      <c r="V24" s="11">
        <f t="shared" si="7"/>
        <v>0</v>
      </c>
      <c r="W24" s="11">
        <f t="shared" si="7"/>
        <v>0</v>
      </c>
      <c r="X24" s="11">
        <f t="shared" si="7"/>
        <v>0</v>
      </c>
      <c r="Y24" s="11">
        <f t="shared" si="7"/>
        <v>0</v>
      </c>
      <c r="Z24" s="11">
        <f t="shared" si="7"/>
        <v>0</v>
      </c>
      <c r="AA24" s="11">
        <f t="shared" si="7"/>
        <v>0</v>
      </c>
      <c r="AB24" s="11">
        <f t="shared" si="7"/>
        <v>0</v>
      </c>
      <c r="AC24" s="11">
        <f t="shared" si="7"/>
        <v>0</v>
      </c>
      <c r="AD24" s="11">
        <f t="shared" si="7"/>
        <v>0</v>
      </c>
      <c r="AE24" s="11">
        <f t="shared" si="7"/>
        <v>0</v>
      </c>
      <c r="AF24" s="11">
        <f t="shared" si="7"/>
        <v>0</v>
      </c>
      <c r="AG24" s="11">
        <f t="shared" si="7"/>
        <v>0</v>
      </c>
      <c r="AH24" s="11">
        <f t="shared" si="7"/>
        <v>0</v>
      </c>
      <c r="AI24" s="11">
        <f t="shared" si="7"/>
        <v>0</v>
      </c>
      <c r="AJ24" s="11">
        <f t="shared" si="7"/>
        <v>0</v>
      </c>
      <c r="AK24" s="11">
        <f t="shared" si="7"/>
        <v>0</v>
      </c>
      <c r="AL24" s="11">
        <f t="shared" si="7"/>
        <v>0</v>
      </c>
      <c r="AM24" s="11">
        <f t="shared" si="7"/>
        <v>0</v>
      </c>
      <c r="AN24" s="11">
        <f t="shared" si="7"/>
        <v>0</v>
      </c>
      <c r="AO24" s="11">
        <f t="shared" si="7"/>
        <v>0</v>
      </c>
      <c r="AP24" s="11">
        <f t="shared" si="7"/>
        <v>0</v>
      </c>
      <c r="AQ24" s="11">
        <f t="shared" si="7"/>
        <v>0</v>
      </c>
      <c r="AR24" s="11">
        <f t="shared" si="7"/>
        <v>0</v>
      </c>
      <c r="AS24" s="11">
        <f t="shared" si="7"/>
        <v>0</v>
      </c>
      <c r="AT24" s="11">
        <f t="shared" si="7"/>
        <v>0</v>
      </c>
      <c r="AU24" s="11">
        <f t="shared" si="7"/>
        <v>0</v>
      </c>
      <c r="AV24" s="11">
        <f t="shared" si="7"/>
        <v>0</v>
      </c>
      <c r="AW24" s="11">
        <f t="shared" si="7"/>
        <v>0</v>
      </c>
      <c r="AX24" s="11">
        <f t="shared" si="7"/>
        <v>0</v>
      </c>
      <c r="AY24" s="11">
        <f t="shared" si="7"/>
        <v>0</v>
      </c>
      <c r="AZ24" s="11">
        <f t="shared" si="7"/>
        <v>0</v>
      </c>
      <c r="BA24" s="11">
        <f t="shared" si="7"/>
        <v>0</v>
      </c>
      <c r="BB24" s="11">
        <f t="shared" si="7"/>
        <v>0</v>
      </c>
      <c r="BC24" s="11">
        <f t="shared" si="7"/>
        <v>0</v>
      </c>
      <c r="BD24" s="11">
        <f t="shared" si="7"/>
        <v>0</v>
      </c>
      <c r="BE24" s="11">
        <f t="shared" si="7"/>
        <v>0</v>
      </c>
      <c r="BF24" s="11">
        <f t="shared" si="7"/>
        <v>0</v>
      </c>
      <c r="BG24" s="11">
        <f t="shared" si="7"/>
        <v>0</v>
      </c>
      <c r="BH24" s="11">
        <f t="shared" si="7"/>
        <v>0</v>
      </c>
      <c r="BI24" s="11">
        <f t="shared" si="7"/>
        <v>0</v>
      </c>
      <c r="BJ24" s="11">
        <f t="shared" si="7"/>
        <v>0</v>
      </c>
      <c r="BK24" s="11">
        <f t="shared" si="7"/>
        <v>0</v>
      </c>
      <c r="BL24" s="11">
        <f t="shared" si="7"/>
        <v>0</v>
      </c>
      <c r="BM24" s="11">
        <f t="shared" si="7"/>
        <v>0</v>
      </c>
      <c r="BN24" s="11">
        <f t="shared" si="7"/>
        <v>0</v>
      </c>
      <c r="BO24" s="11">
        <f t="shared" si="7"/>
        <v>0</v>
      </c>
      <c r="BP24" s="11">
        <f t="shared" ref="BP24:CZ24" si="8">SUMPRODUCT($B21:$B23,BP21:BP23)</f>
        <v>0</v>
      </c>
      <c r="BQ24" s="11">
        <f t="shared" si="8"/>
        <v>0</v>
      </c>
      <c r="BR24" s="11">
        <f t="shared" si="8"/>
        <v>0</v>
      </c>
      <c r="BS24" s="11">
        <f t="shared" si="8"/>
        <v>0</v>
      </c>
      <c r="BT24" s="11">
        <f t="shared" si="8"/>
        <v>0</v>
      </c>
      <c r="BU24" s="11">
        <f t="shared" si="8"/>
        <v>0</v>
      </c>
      <c r="BV24" s="11">
        <f t="shared" si="8"/>
        <v>0</v>
      </c>
      <c r="BW24" s="11">
        <f t="shared" si="8"/>
        <v>0</v>
      </c>
      <c r="BX24" s="11">
        <f t="shared" si="8"/>
        <v>0</v>
      </c>
      <c r="BY24" s="11">
        <f t="shared" si="8"/>
        <v>0</v>
      </c>
      <c r="BZ24" s="11">
        <f t="shared" si="8"/>
        <v>0</v>
      </c>
      <c r="CA24" s="11">
        <f t="shared" si="8"/>
        <v>0</v>
      </c>
      <c r="CB24" s="11">
        <f t="shared" si="8"/>
        <v>0</v>
      </c>
      <c r="CC24" s="11">
        <f t="shared" si="8"/>
        <v>0</v>
      </c>
      <c r="CD24" s="11">
        <f t="shared" si="8"/>
        <v>0</v>
      </c>
      <c r="CE24" s="11">
        <f t="shared" si="8"/>
        <v>0</v>
      </c>
      <c r="CF24" s="11">
        <f t="shared" si="8"/>
        <v>0</v>
      </c>
      <c r="CG24" s="11">
        <f t="shared" si="8"/>
        <v>0</v>
      </c>
      <c r="CH24" s="11">
        <f t="shared" si="8"/>
        <v>0</v>
      </c>
      <c r="CI24" s="11">
        <f t="shared" si="8"/>
        <v>0</v>
      </c>
      <c r="CJ24" s="11">
        <f t="shared" si="8"/>
        <v>0</v>
      </c>
      <c r="CK24" s="11">
        <f t="shared" si="8"/>
        <v>0</v>
      </c>
      <c r="CL24" s="11">
        <f t="shared" si="8"/>
        <v>0</v>
      </c>
      <c r="CM24" s="11">
        <f t="shared" si="8"/>
        <v>0</v>
      </c>
      <c r="CN24" s="11">
        <f t="shared" si="8"/>
        <v>0</v>
      </c>
      <c r="CO24" s="11">
        <f t="shared" si="8"/>
        <v>0</v>
      </c>
      <c r="CP24" s="11">
        <f t="shared" si="8"/>
        <v>0</v>
      </c>
      <c r="CQ24" s="11">
        <f t="shared" si="8"/>
        <v>0</v>
      </c>
      <c r="CR24" s="11">
        <f t="shared" si="8"/>
        <v>0</v>
      </c>
      <c r="CS24" s="11">
        <f t="shared" si="8"/>
        <v>0</v>
      </c>
      <c r="CT24" s="11">
        <f t="shared" si="8"/>
        <v>0</v>
      </c>
      <c r="CU24" s="11">
        <f t="shared" si="8"/>
        <v>0</v>
      </c>
      <c r="CV24" s="11">
        <f t="shared" si="8"/>
        <v>0</v>
      </c>
      <c r="CW24" s="11">
        <f t="shared" si="8"/>
        <v>0</v>
      </c>
      <c r="CX24" s="11">
        <f t="shared" si="8"/>
        <v>0</v>
      </c>
      <c r="CY24" s="11">
        <f t="shared" si="8"/>
        <v>0</v>
      </c>
      <c r="CZ24" s="11">
        <f t="shared" si="8"/>
        <v>0</v>
      </c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</row>
    <row r="25" spans="1:122" ht="18" customHeight="1">
      <c r="A25" s="13" t="s">
        <v>13</v>
      </c>
      <c r="B25" s="14">
        <f>IFERROR(VLOOKUP(A25,PRICELIST!$A$3:$D$138,4,0),"-")</f>
        <v>110.57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9">
        <f t="shared" ref="CY25:CZ26" si="9">C25+E25+G25+I25+K25+M25+O25+Q25+S25+U25+W25+Y25+AA25+AC25+AE25+AG25+AI25+AK25+AM25+AO25+AQ25+AS25+AU25+AW25+AY25+BA25+BC25+BE25+BG25+BI25+BK25+BM25+BO25+BQ25+BS25+BU25+BW25+BY25+CA25+CC25+CE25+CG25+CI25+CK25+CM25+CO25+CQ25+CS25+CU25+CW25</f>
        <v>0</v>
      </c>
      <c r="CZ25" s="19">
        <f t="shared" si="9"/>
        <v>0</v>
      </c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</row>
    <row r="26" spans="1:122" ht="18" customHeight="1">
      <c r="A26" s="13" t="s">
        <v>14</v>
      </c>
      <c r="B26" s="14">
        <f>IFERROR(VLOOKUP(A26,PRICELIST!$A$3:$D$138,4,0),"-")</f>
        <v>184.82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9">
        <f t="shared" si="9"/>
        <v>0</v>
      </c>
      <c r="CZ26" s="19">
        <f t="shared" si="9"/>
        <v>0</v>
      </c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</row>
    <row r="27" spans="1:122" ht="18" customHeight="1">
      <c r="A27" s="9" t="s">
        <v>15</v>
      </c>
      <c r="B27" s="10"/>
      <c r="C27" s="11">
        <f>SUMPRODUCT($B25:$B26,C25:C26)</f>
        <v>0</v>
      </c>
      <c r="D27" s="11">
        <f t="shared" ref="D27:BO27" si="10">SUMPRODUCT($B25:$B26,D25:D26)</f>
        <v>0</v>
      </c>
      <c r="E27" s="11">
        <f t="shared" si="10"/>
        <v>0</v>
      </c>
      <c r="F27" s="11">
        <f t="shared" si="10"/>
        <v>0</v>
      </c>
      <c r="G27" s="11">
        <f t="shared" si="10"/>
        <v>0</v>
      </c>
      <c r="H27" s="11">
        <f t="shared" si="10"/>
        <v>0</v>
      </c>
      <c r="I27" s="11">
        <f t="shared" si="10"/>
        <v>0</v>
      </c>
      <c r="J27" s="11">
        <f t="shared" si="10"/>
        <v>0</v>
      </c>
      <c r="K27" s="11">
        <f t="shared" si="10"/>
        <v>0</v>
      </c>
      <c r="L27" s="11">
        <f t="shared" si="10"/>
        <v>0</v>
      </c>
      <c r="M27" s="11">
        <f t="shared" si="10"/>
        <v>0</v>
      </c>
      <c r="N27" s="11">
        <f t="shared" si="10"/>
        <v>0</v>
      </c>
      <c r="O27" s="11">
        <f t="shared" si="10"/>
        <v>0</v>
      </c>
      <c r="P27" s="11">
        <f t="shared" si="10"/>
        <v>0</v>
      </c>
      <c r="Q27" s="11">
        <f t="shared" si="10"/>
        <v>0</v>
      </c>
      <c r="R27" s="11">
        <f t="shared" si="10"/>
        <v>0</v>
      </c>
      <c r="S27" s="11">
        <f t="shared" si="10"/>
        <v>0</v>
      </c>
      <c r="T27" s="11">
        <f t="shared" si="10"/>
        <v>0</v>
      </c>
      <c r="U27" s="11">
        <f t="shared" si="10"/>
        <v>0</v>
      </c>
      <c r="V27" s="11">
        <f t="shared" si="10"/>
        <v>0</v>
      </c>
      <c r="W27" s="11">
        <f t="shared" si="10"/>
        <v>0</v>
      </c>
      <c r="X27" s="11">
        <f t="shared" si="10"/>
        <v>0</v>
      </c>
      <c r="Y27" s="11">
        <f t="shared" si="10"/>
        <v>0</v>
      </c>
      <c r="Z27" s="11">
        <f t="shared" si="10"/>
        <v>0</v>
      </c>
      <c r="AA27" s="11">
        <f t="shared" si="10"/>
        <v>0</v>
      </c>
      <c r="AB27" s="11">
        <f t="shared" si="10"/>
        <v>0</v>
      </c>
      <c r="AC27" s="11">
        <f t="shared" si="10"/>
        <v>0</v>
      </c>
      <c r="AD27" s="11">
        <f t="shared" si="10"/>
        <v>0</v>
      </c>
      <c r="AE27" s="11">
        <f t="shared" si="10"/>
        <v>0</v>
      </c>
      <c r="AF27" s="11">
        <f t="shared" si="10"/>
        <v>0</v>
      </c>
      <c r="AG27" s="11">
        <f t="shared" si="10"/>
        <v>0</v>
      </c>
      <c r="AH27" s="11">
        <f t="shared" si="10"/>
        <v>0</v>
      </c>
      <c r="AI27" s="11">
        <f t="shared" si="10"/>
        <v>0</v>
      </c>
      <c r="AJ27" s="11">
        <f t="shared" si="10"/>
        <v>0</v>
      </c>
      <c r="AK27" s="11">
        <f t="shared" si="10"/>
        <v>0</v>
      </c>
      <c r="AL27" s="11">
        <f t="shared" si="10"/>
        <v>0</v>
      </c>
      <c r="AM27" s="11">
        <f t="shared" si="10"/>
        <v>0</v>
      </c>
      <c r="AN27" s="11">
        <f t="shared" si="10"/>
        <v>0</v>
      </c>
      <c r="AO27" s="11">
        <f t="shared" si="10"/>
        <v>0</v>
      </c>
      <c r="AP27" s="11">
        <f t="shared" si="10"/>
        <v>0</v>
      </c>
      <c r="AQ27" s="11">
        <f t="shared" si="10"/>
        <v>0</v>
      </c>
      <c r="AR27" s="11">
        <f t="shared" si="10"/>
        <v>0</v>
      </c>
      <c r="AS27" s="11">
        <f t="shared" si="10"/>
        <v>0</v>
      </c>
      <c r="AT27" s="11">
        <f t="shared" si="10"/>
        <v>0</v>
      </c>
      <c r="AU27" s="11">
        <f t="shared" si="10"/>
        <v>0</v>
      </c>
      <c r="AV27" s="11">
        <f t="shared" si="10"/>
        <v>0</v>
      </c>
      <c r="AW27" s="11">
        <f t="shared" si="10"/>
        <v>0</v>
      </c>
      <c r="AX27" s="11">
        <f t="shared" si="10"/>
        <v>0</v>
      </c>
      <c r="AY27" s="11">
        <f t="shared" si="10"/>
        <v>0</v>
      </c>
      <c r="AZ27" s="11">
        <f t="shared" si="10"/>
        <v>0</v>
      </c>
      <c r="BA27" s="11">
        <f t="shared" si="10"/>
        <v>0</v>
      </c>
      <c r="BB27" s="11">
        <f t="shared" si="10"/>
        <v>0</v>
      </c>
      <c r="BC27" s="11">
        <f t="shared" si="10"/>
        <v>0</v>
      </c>
      <c r="BD27" s="11">
        <f t="shared" si="10"/>
        <v>0</v>
      </c>
      <c r="BE27" s="11">
        <f t="shared" si="10"/>
        <v>0</v>
      </c>
      <c r="BF27" s="11">
        <f t="shared" si="10"/>
        <v>0</v>
      </c>
      <c r="BG27" s="11">
        <f t="shared" si="10"/>
        <v>0</v>
      </c>
      <c r="BH27" s="11">
        <f t="shared" si="10"/>
        <v>0</v>
      </c>
      <c r="BI27" s="11">
        <f t="shared" si="10"/>
        <v>0</v>
      </c>
      <c r="BJ27" s="11">
        <f t="shared" si="10"/>
        <v>0</v>
      </c>
      <c r="BK27" s="11">
        <f t="shared" si="10"/>
        <v>0</v>
      </c>
      <c r="BL27" s="11">
        <f t="shared" si="10"/>
        <v>0</v>
      </c>
      <c r="BM27" s="11">
        <f t="shared" si="10"/>
        <v>0</v>
      </c>
      <c r="BN27" s="11">
        <f t="shared" si="10"/>
        <v>0</v>
      </c>
      <c r="BO27" s="11">
        <f t="shared" si="10"/>
        <v>0</v>
      </c>
      <c r="BP27" s="11">
        <f t="shared" ref="BP27:CZ27" si="11">SUMPRODUCT($B25:$B26,BP25:BP26)</f>
        <v>0</v>
      </c>
      <c r="BQ27" s="11">
        <f t="shared" si="11"/>
        <v>0</v>
      </c>
      <c r="BR27" s="11">
        <f t="shared" si="11"/>
        <v>0</v>
      </c>
      <c r="BS27" s="11">
        <f t="shared" si="11"/>
        <v>0</v>
      </c>
      <c r="BT27" s="11">
        <f t="shared" si="11"/>
        <v>0</v>
      </c>
      <c r="BU27" s="11">
        <f t="shared" si="11"/>
        <v>0</v>
      </c>
      <c r="BV27" s="11">
        <f t="shared" si="11"/>
        <v>0</v>
      </c>
      <c r="BW27" s="11">
        <f t="shared" si="11"/>
        <v>0</v>
      </c>
      <c r="BX27" s="11">
        <f t="shared" si="11"/>
        <v>0</v>
      </c>
      <c r="BY27" s="11">
        <f t="shared" si="11"/>
        <v>0</v>
      </c>
      <c r="BZ27" s="11">
        <f t="shared" si="11"/>
        <v>0</v>
      </c>
      <c r="CA27" s="11">
        <f t="shared" si="11"/>
        <v>0</v>
      </c>
      <c r="CB27" s="11">
        <f t="shared" si="11"/>
        <v>0</v>
      </c>
      <c r="CC27" s="11">
        <f t="shared" si="11"/>
        <v>0</v>
      </c>
      <c r="CD27" s="11">
        <f t="shared" si="11"/>
        <v>0</v>
      </c>
      <c r="CE27" s="11">
        <f t="shared" si="11"/>
        <v>0</v>
      </c>
      <c r="CF27" s="11">
        <f t="shared" si="11"/>
        <v>0</v>
      </c>
      <c r="CG27" s="11">
        <f t="shared" si="11"/>
        <v>0</v>
      </c>
      <c r="CH27" s="11">
        <f t="shared" si="11"/>
        <v>0</v>
      </c>
      <c r="CI27" s="11">
        <f t="shared" si="11"/>
        <v>0</v>
      </c>
      <c r="CJ27" s="11">
        <f t="shared" si="11"/>
        <v>0</v>
      </c>
      <c r="CK27" s="11">
        <f t="shared" si="11"/>
        <v>0</v>
      </c>
      <c r="CL27" s="11">
        <f t="shared" si="11"/>
        <v>0</v>
      </c>
      <c r="CM27" s="11">
        <f t="shared" si="11"/>
        <v>0</v>
      </c>
      <c r="CN27" s="11">
        <f t="shared" si="11"/>
        <v>0</v>
      </c>
      <c r="CO27" s="11">
        <f t="shared" si="11"/>
        <v>0</v>
      </c>
      <c r="CP27" s="11">
        <f t="shared" si="11"/>
        <v>0</v>
      </c>
      <c r="CQ27" s="11">
        <f t="shared" si="11"/>
        <v>0</v>
      </c>
      <c r="CR27" s="11">
        <f t="shared" si="11"/>
        <v>0</v>
      </c>
      <c r="CS27" s="11">
        <f t="shared" si="11"/>
        <v>0</v>
      </c>
      <c r="CT27" s="11">
        <f t="shared" si="11"/>
        <v>0</v>
      </c>
      <c r="CU27" s="11">
        <f t="shared" si="11"/>
        <v>0</v>
      </c>
      <c r="CV27" s="11">
        <f t="shared" si="11"/>
        <v>0</v>
      </c>
      <c r="CW27" s="11">
        <f t="shared" si="11"/>
        <v>0</v>
      </c>
      <c r="CX27" s="11">
        <f t="shared" si="11"/>
        <v>0</v>
      </c>
      <c r="CY27" s="11">
        <f t="shared" si="11"/>
        <v>0</v>
      </c>
      <c r="CZ27" s="11">
        <f t="shared" si="11"/>
        <v>0</v>
      </c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</row>
    <row r="28" spans="1:122" ht="18" customHeight="1">
      <c r="A28" s="13" t="s">
        <v>16</v>
      </c>
      <c r="B28" s="14">
        <f>IFERROR(VLOOKUP(A28,PRICELIST!$A$3:$D$138,4,0),"-")</f>
        <v>113.79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9">
        <f t="shared" ref="CY28:CZ33" si="12">C28+E28+G28+I28+K28+M28+O28+Q28+S28+U28+W28+Y28+AA28+AC28+AE28+AG28+AI28+AK28+AM28+AO28+AQ28+AS28+AU28+AW28+AY28+BA28+BC28+BE28+BG28+BI28+BK28+BM28+BO28+BQ28+BS28+BU28+BW28+BY28+CA28+CC28+CE28+CG28+CI28+CK28+CM28+CO28+CQ28+CS28+CU28+CW28</f>
        <v>0</v>
      </c>
      <c r="CZ28" s="19">
        <f t="shared" si="12"/>
        <v>0</v>
      </c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</row>
    <row r="29" spans="1:122" ht="18" customHeight="1">
      <c r="A29" s="13" t="s">
        <v>17</v>
      </c>
      <c r="B29" s="14">
        <f>IFERROR(VLOOKUP(A29,PRICELIST!$A$3:$D$138,4,0),"-")</f>
        <v>188.04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9">
        <f t="shared" si="12"/>
        <v>0</v>
      </c>
      <c r="CZ29" s="19">
        <f t="shared" si="12"/>
        <v>0</v>
      </c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</row>
    <row r="30" spans="1:122" ht="18" customHeight="1">
      <c r="A30" s="13" t="s">
        <v>18</v>
      </c>
      <c r="B30" s="14">
        <f>IFERROR(VLOOKUP(A30,PRICELIST!$A$3:$D$138,4,0),"-")</f>
        <v>68.16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9">
        <f t="shared" si="12"/>
        <v>0</v>
      </c>
      <c r="CZ30" s="19">
        <f t="shared" si="12"/>
        <v>0</v>
      </c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</row>
    <row r="31" spans="1:122" ht="18" customHeight="1">
      <c r="A31" s="13" t="s">
        <v>19</v>
      </c>
      <c r="B31" s="14">
        <f>IFERROR(VLOOKUP(A31,PRICELIST!$A$3:$D$138,4,0),"-")</f>
        <v>101.57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9">
        <f t="shared" si="12"/>
        <v>0</v>
      </c>
      <c r="CZ31" s="19">
        <f t="shared" si="12"/>
        <v>0</v>
      </c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</row>
    <row r="32" spans="1:122" ht="18" customHeight="1">
      <c r="A32" s="13" t="s">
        <v>20</v>
      </c>
      <c r="B32" s="14">
        <f>IFERROR(VLOOKUP(A32,PRICELIST!$A$3:$D$138,4,0),"-")</f>
        <v>164.73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9">
        <f t="shared" si="12"/>
        <v>0</v>
      </c>
      <c r="CZ32" s="19">
        <f t="shared" si="12"/>
        <v>0</v>
      </c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</row>
    <row r="33" spans="1:122" ht="18" customHeight="1">
      <c r="A33" s="13" t="s">
        <v>21</v>
      </c>
      <c r="B33" s="14">
        <f>IFERROR(VLOOKUP(A33,PRICELIST!$A$3:$D$138,4,0),"-")</f>
        <v>78.099999999999994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9">
        <f t="shared" si="12"/>
        <v>0</v>
      </c>
      <c r="CZ33" s="19">
        <f t="shared" si="12"/>
        <v>0</v>
      </c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</row>
    <row r="34" spans="1:122" ht="18" customHeight="1">
      <c r="A34" s="9" t="s">
        <v>22</v>
      </c>
      <c r="B34" s="10"/>
      <c r="C34" s="11">
        <f>SUMPRODUCT($B28:$B33,C28:C33)</f>
        <v>0</v>
      </c>
      <c r="D34" s="11">
        <f t="shared" ref="D34:BO34" si="13">SUMPRODUCT($B28:$B33,D28:D33)</f>
        <v>0</v>
      </c>
      <c r="E34" s="11">
        <f t="shared" si="13"/>
        <v>0</v>
      </c>
      <c r="F34" s="11">
        <f t="shared" si="13"/>
        <v>0</v>
      </c>
      <c r="G34" s="11">
        <f t="shared" si="13"/>
        <v>0</v>
      </c>
      <c r="H34" s="11">
        <f t="shared" si="13"/>
        <v>0</v>
      </c>
      <c r="I34" s="11">
        <f t="shared" si="13"/>
        <v>0</v>
      </c>
      <c r="J34" s="11">
        <f t="shared" si="13"/>
        <v>0</v>
      </c>
      <c r="K34" s="11">
        <f t="shared" si="13"/>
        <v>0</v>
      </c>
      <c r="L34" s="11">
        <f t="shared" si="13"/>
        <v>0</v>
      </c>
      <c r="M34" s="11">
        <f t="shared" si="13"/>
        <v>0</v>
      </c>
      <c r="N34" s="11">
        <f t="shared" si="13"/>
        <v>0</v>
      </c>
      <c r="O34" s="11">
        <f t="shared" si="13"/>
        <v>0</v>
      </c>
      <c r="P34" s="11">
        <f t="shared" si="13"/>
        <v>0</v>
      </c>
      <c r="Q34" s="11">
        <f t="shared" si="13"/>
        <v>0</v>
      </c>
      <c r="R34" s="11">
        <f t="shared" si="13"/>
        <v>0</v>
      </c>
      <c r="S34" s="11">
        <f t="shared" si="13"/>
        <v>0</v>
      </c>
      <c r="T34" s="11">
        <f t="shared" si="13"/>
        <v>0</v>
      </c>
      <c r="U34" s="11">
        <f t="shared" si="13"/>
        <v>0</v>
      </c>
      <c r="V34" s="11">
        <f t="shared" si="13"/>
        <v>0</v>
      </c>
      <c r="W34" s="11">
        <f t="shared" si="13"/>
        <v>0</v>
      </c>
      <c r="X34" s="11">
        <f t="shared" si="13"/>
        <v>0</v>
      </c>
      <c r="Y34" s="11">
        <f t="shared" si="13"/>
        <v>0</v>
      </c>
      <c r="Z34" s="11">
        <f t="shared" si="13"/>
        <v>0</v>
      </c>
      <c r="AA34" s="11">
        <f t="shared" si="13"/>
        <v>0</v>
      </c>
      <c r="AB34" s="11">
        <f t="shared" si="13"/>
        <v>0</v>
      </c>
      <c r="AC34" s="11">
        <f t="shared" si="13"/>
        <v>0</v>
      </c>
      <c r="AD34" s="11">
        <f t="shared" si="13"/>
        <v>0</v>
      </c>
      <c r="AE34" s="11">
        <f t="shared" si="13"/>
        <v>0</v>
      </c>
      <c r="AF34" s="11">
        <f t="shared" si="13"/>
        <v>0</v>
      </c>
      <c r="AG34" s="11">
        <f t="shared" si="13"/>
        <v>0</v>
      </c>
      <c r="AH34" s="11">
        <f t="shared" si="13"/>
        <v>0</v>
      </c>
      <c r="AI34" s="11">
        <f t="shared" si="13"/>
        <v>0</v>
      </c>
      <c r="AJ34" s="11">
        <f t="shared" si="13"/>
        <v>0</v>
      </c>
      <c r="AK34" s="11">
        <f t="shared" si="13"/>
        <v>0</v>
      </c>
      <c r="AL34" s="11">
        <f t="shared" si="13"/>
        <v>0</v>
      </c>
      <c r="AM34" s="11">
        <f t="shared" si="13"/>
        <v>0</v>
      </c>
      <c r="AN34" s="11">
        <f t="shared" si="13"/>
        <v>0</v>
      </c>
      <c r="AO34" s="11">
        <f t="shared" si="13"/>
        <v>0</v>
      </c>
      <c r="AP34" s="11">
        <f t="shared" si="13"/>
        <v>0</v>
      </c>
      <c r="AQ34" s="11">
        <f t="shared" si="13"/>
        <v>0</v>
      </c>
      <c r="AR34" s="11">
        <f t="shared" si="13"/>
        <v>0</v>
      </c>
      <c r="AS34" s="11">
        <f t="shared" si="13"/>
        <v>0</v>
      </c>
      <c r="AT34" s="11">
        <f t="shared" si="13"/>
        <v>0</v>
      </c>
      <c r="AU34" s="11">
        <f t="shared" si="13"/>
        <v>0</v>
      </c>
      <c r="AV34" s="11">
        <f t="shared" si="13"/>
        <v>0</v>
      </c>
      <c r="AW34" s="11">
        <f t="shared" si="13"/>
        <v>0</v>
      </c>
      <c r="AX34" s="11">
        <f t="shared" si="13"/>
        <v>0</v>
      </c>
      <c r="AY34" s="11">
        <f t="shared" si="13"/>
        <v>0</v>
      </c>
      <c r="AZ34" s="11">
        <f t="shared" si="13"/>
        <v>0</v>
      </c>
      <c r="BA34" s="11">
        <f t="shared" si="13"/>
        <v>0</v>
      </c>
      <c r="BB34" s="11">
        <f t="shared" si="13"/>
        <v>0</v>
      </c>
      <c r="BC34" s="11">
        <f t="shared" si="13"/>
        <v>0</v>
      </c>
      <c r="BD34" s="11">
        <f t="shared" si="13"/>
        <v>0</v>
      </c>
      <c r="BE34" s="11">
        <f t="shared" si="13"/>
        <v>0</v>
      </c>
      <c r="BF34" s="11">
        <f t="shared" si="13"/>
        <v>0</v>
      </c>
      <c r="BG34" s="11">
        <f t="shared" si="13"/>
        <v>0</v>
      </c>
      <c r="BH34" s="11">
        <f t="shared" si="13"/>
        <v>0</v>
      </c>
      <c r="BI34" s="11">
        <f t="shared" si="13"/>
        <v>0</v>
      </c>
      <c r="BJ34" s="11">
        <f t="shared" si="13"/>
        <v>0</v>
      </c>
      <c r="BK34" s="11">
        <f t="shared" si="13"/>
        <v>0</v>
      </c>
      <c r="BL34" s="11">
        <f t="shared" si="13"/>
        <v>0</v>
      </c>
      <c r="BM34" s="11">
        <f t="shared" si="13"/>
        <v>0</v>
      </c>
      <c r="BN34" s="11">
        <f t="shared" si="13"/>
        <v>0</v>
      </c>
      <c r="BO34" s="11">
        <f t="shared" si="13"/>
        <v>0</v>
      </c>
      <c r="BP34" s="11">
        <f t="shared" ref="BP34:CZ34" si="14">SUMPRODUCT($B28:$B33,BP28:BP33)</f>
        <v>0</v>
      </c>
      <c r="BQ34" s="11">
        <f t="shared" si="14"/>
        <v>0</v>
      </c>
      <c r="BR34" s="11">
        <f t="shared" si="14"/>
        <v>0</v>
      </c>
      <c r="BS34" s="11">
        <f t="shared" si="14"/>
        <v>0</v>
      </c>
      <c r="BT34" s="11">
        <f t="shared" si="14"/>
        <v>0</v>
      </c>
      <c r="BU34" s="11">
        <f t="shared" si="14"/>
        <v>0</v>
      </c>
      <c r="BV34" s="11">
        <f t="shared" si="14"/>
        <v>0</v>
      </c>
      <c r="BW34" s="11">
        <f t="shared" si="14"/>
        <v>0</v>
      </c>
      <c r="BX34" s="11">
        <f t="shared" si="14"/>
        <v>0</v>
      </c>
      <c r="BY34" s="11">
        <f t="shared" si="14"/>
        <v>0</v>
      </c>
      <c r="BZ34" s="11">
        <f t="shared" si="14"/>
        <v>0</v>
      </c>
      <c r="CA34" s="11">
        <f t="shared" si="14"/>
        <v>0</v>
      </c>
      <c r="CB34" s="11">
        <f t="shared" si="14"/>
        <v>0</v>
      </c>
      <c r="CC34" s="11">
        <f t="shared" si="14"/>
        <v>0</v>
      </c>
      <c r="CD34" s="11">
        <f t="shared" si="14"/>
        <v>0</v>
      </c>
      <c r="CE34" s="11">
        <f t="shared" si="14"/>
        <v>0</v>
      </c>
      <c r="CF34" s="11">
        <f t="shared" si="14"/>
        <v>0</v>
      </c>
      <c r="CG34" s="11">
        <f t="shared" si="14"/>
        <v>0</v>
      </c>
      <c r="CH34" s="11">
        <f t="shared" si="14"/>
        <v>0</v>
      </c>
      <c r="CI34" s="11">
        <f t="shared" si="14"/>
        <v>0</v>
      </c>
      <c r="CJ34" s="11">
        <f t="shared" si="14"/>
        <v>0</v>
      </c>
      <c r="CK34" s="11">
        <f t="shared" si="14"/>
        <v>0</v>
      </c>
      <c r="CL34" s="11">
        <f t="shared" si="14"/>
        <v>0</v>
      </c>
      <c r="CM34" s="11">
        <f t="shared" si="14"/>
        <v>0</v>
      </c>
      <c r="CN34" s="11">
        <f t="shared" si="14"/>
        <v>0</v>
      </c>
      <c r="CO34" s="11">
        <f t="shared" si="14"/>
        <v>0</v>
      </c>
      <c r="CP34" s="11">
        <f t="shared" si="14"/>
        <v>0</v>
      </c>
      <c r="CQ34" s="11">
        <f t="shared" si="14"/>
        <v>0</v>
      </c>
      <c r="CR34" s="11">
        <f t="shared" si="14"/>
        <v>0</v>
      </c>
      <c r="CS34" s="11">
        <f t="shared" si="14"/>
        <v>0</v>
      </c>
      <c r="CT34" s="11">
        <f t="shared" si="14"/>
        <v>0</v>
      </c>
      <c r="CU34" s="11">
        <f t="shared" si="14"/>
        <v>0</v>
      </c>
      <c r="CV34" s="11">
        <f t="shared" si="14"/>
        <v>0</v>
      </c>
      <c r="CW34" s="11">
        <f t="shared" si="14"/>
        <v>0</v>
      </c>
      <c r="CX34" s="11">
        <f t="shared" si="14"/>
        <v>0</v>
      </c>
      <c r="CY34" s="11">
        <f t="shared" si="14"/>
        <v>0</v>
      </c>
      <c r="CZ34" s="11">
        <f t="shared" si="14"/>
        <v>0</v>
      </c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</row>
    <row r="35" spans="1:122" ht="18" customHeight="1">
      <c r="A35" s="13" t="s">
        <v>23</v>
      </c>
      <c r="B35" s="14">
        <f>IFERROR(VLOOKUP(A35,PRICELIST!$A$3:$D$138,4,0),"-")</f>
        <v>60.11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9">
        <f t="shared" ref="CY35:CZ36" si="15">C35+E35+G35+I35+K35+M35+O35+Q35+S35+U35+W35+Y35+AA35+AC35+AE35+AG35+AI35+AK35+AM35+AO35+AQ35+AS35+AU35+AW35+AY35+BA35+BC35+BE35+BG35+BI35+BK35+BM35+BO35+BQ35+BS35+BU35+BW35+BY35+CA35+CC35+CE35+CG35+CI35+CK35+CM35+CO35+CQ35+CS35+CU35+CW35</f>
        <v>0</v>
      </c>
      <c r="CZ35" s="19">
        <f t="shared" si="15"/>
        <v>0</v>
      </c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</row>
    <row r="36" spans="1:122" ht="18" customHeight="1">
      <c r="A36" s="13" t="s">
        <v>24</v>
      </c>
      <c r="B36" s="14">
        <f>IFERROR(VLOOKUP(A36,PRICELIST!$A$3:$D$138,4,0),"-")</f>
        <v>91.2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9">
        <f t="shared" si="15"/>
        <v>0</v>
      </c>
      <c r="CZ36" s="19">
        <f t="shared" si="15"/>
        <v>0</v>
      </c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</row>
    <row r="37" spans="1:122" ht="18" customHeight="1">
      <c r="A37" s="9" t="s">
        <v>25</v>
      </c>
      <c r="B37" s="10"/>
      <c r="C37" s="11">
        <f>SUMPRODUCT($B35:$B36,C35:C36)</f>
        <v>0</v>
      </c>
      <c r="D37" s="11">
        <f t="shared" ref="D37:BO37" si="16">SUMPRODUCT($B35:$B36,D35:D36)</f>
        <v>0</v>
      </c>
      <c r="E37" s="11">
        <f t="shared" si="16"/>
        <v>0</v>
      </c>
      <c r="F37" s="11">
        <f t="shared" si="16"/>
        <v>0</v>
      </c>
      <c r="G37" s="11">
        <f t="shared" si="16"/>
        <v>0</v>
      </c>
      <c r="H37" s="11">
        <f t="shared" si="16"/>
        <v>0</v>
      </c>
      <c r="I37" s="11">
        <f t="shared" si="16"/>
        <v>0</v>
      </c>
      <c r="J37" s="11">
        <f t="shared" si="16"/>
        <v>0</v>
      </c>
      <c r="K37" s="11">
        <f t="shared" si="16"/>
        <v>0</v>
      </c>
      <c r="L37" s="11">
        <f t="shared" si="16"/>
        <v>0</v>
      </c>
      <c r="M37" s="11">
        <f t="shared" si="16"/>
        <v>0</v>
      </c>
      <c r="N37" s="11">
        <f t="shared" si="16"/>
        <v>0</v>
      </c>
      <c r="O37" s="11">
        <f t="shared" si="16"/>
        <v>0</v>
      </c>
      <c r="P37" s="11">
        <f t="shared" si="16"/>
        <v>0</v>
      </c>
      <c r="Q37" s="11">
        <f t="shared" si="16"/>
        <v>0</v>
      </c>
      <c r="R37" s="11">
        <f t="shared" si="16"/>
        <v>0</v>
      </c>
      <c r="S37" s="11">
        <f t="shared" si="16"/>
        <v>0</v>
      </c>
      <c r="T37" s="11">
        <f t="shared" si="16"/>
        <v>0</v>
      </c>
      <c r="U37" s="11">
        <f t="shared" si="16"/>
        <v>0</v>
      </c>
      <c r="V37" s="11">
        <f t="shared" si="16"/>
        <v>0</v>
      </c>
      <c r="W37" s="11">
        <f t="shared" si="16"/>
        <v>0</v>
      </c>
      <c r="X37" s="11">
        <f t="shared" si="16"/>
        <v>0</v>
      </c>
      <c r="Y37" s="11">
        <f t="shared" si="16"/>
        <v>0</v>
      </c>
      <c r="Z37" s="11">
        <f t="shared" si="16"/>
        <v>0</v>
      </c>
      <c r="AA37" s="11">
        <f t="shared" si="16"/>
        <v>0</v>
      </c>
      <c r="AB37" s="11">
        <f t="shared" si="16"/>
        <v>0</v>
      </c>
      <c r="AC37" s="11">
        <f t="shared" si="16"/>
        <v>0</v>
      </c>
      <c r="AD37" s="11">
        <f t="shared" si="16"/>
        <v>0</v>
      </c>
      <c r="AE37" s="11">
        <f t="shared" si="16"/>
        <v>0</v>
      </c>
      <c r="AF37" s="11">
        <f t="shared" si="16"/>
        <v>0</v>
      </c>
      <c r="AG37" s="11">
        <f t="shared" si="16"/>
        <v>0</v>
      </c>
      <c r="AH37" s="11">
        <f t="shared" si="16"/>
        <v>0</v>
      </c>
      <c r="AI37" s="11">
        <f t="shared" si="16"/>
        <v>0</v>
      </c>
      <c r="AJ37" s="11">
        <f t="shared" si="16"/>
        <v>0</v>
      </c>
      <c r="AK37" s="11">
        <f t="shared" si="16"/>
        <v>0</v>
      </c>
      <c r="AL37" s="11">
        <f t="shared" si="16"/>
        <v>0</v>
      </c>
      <c r="AM37" s="11">
        <f t="shared" si="16"/>
        <v>0</v>
      </c>
      <c r="AN37" s="11">
        <f t="shared" si="16"/>
        <v>0</v>
      </c>
      <c r="AO37" s="11">
        <f t="shared" si="16"/>
        <v>0</v>
      </c>
      <c r="AP37" s="11">
        <f t="shared" si="16"/>
        <v>0</v>
      </c>
      <c r="AQ37" s="11">
        <f t="shared" si="16"/>
        <v>0</v>
      </c>
      <c r="AR37" s="11">
        <f t="shared" si="16"/>
        <v>0</v>
      </c>
      <c r="AS37" s="11">
        <f t="shared" si="16"/>
        <v>0</v>
      </c>
      <c r="AT37" s="11">
        <f t="shared" si="16"/>
        <v>0</v>
      </c>
      <c r="AU37" s="11">
        <f t="shared" si="16"/>
        <v>0</v>
      </c>
      <c r="AV37" s="11">
        <f t="shared" si="16"/>
        <v>0</v>
      </c>
      <c r="AW37" s="11">
        <f t="shared" si="16"/>
        <v>0</v>
      </c>
      <c r="AX37" s="11">
        <f t="shared" si="16"/>
        <v>0</v>
      </c>
      <c r="AY37" s="11">
        <f t="shared" si="16"/>
        <v>0</v>
      </c>
      <c r="AZ37" s="11">
        <f t="shared" si="16"/>
        <v>0</v>
      </c>
      <c r="BA37" s="11">
        <f t="shared" si="16"/>
        <v>0</v>
      </c>
      <c r="BB37" s="11">
        <f t="shared" si="16"/>
        <v>0</v>
      </c>
      <c r="BC37" s="11">
        <f t="shared" si="16"/>
        <v>0</v>
      </c>
      <c r="BD37" s="11">
        <f t="shared" si="16"/>
        <v>0</v>
      </c>
      <c r="BE37" s="11">
        <f t="shared" si="16"/>
        <v>0</v>
      </c>
      <c r="BF37" s="11">
        <f t="shared" si="16"/>
        <v>0</v>
      </c>
      <c r="BG37" s="11">
        <f t="shared" si="16"/>
        <v>0</v>
      </c>
      <c r="BH37" s="11">
        <f t="shared" si="16"/>
        <v>0</v>
      </c>
      <c r="BI37" s="11">
        <f t="shared" si="16"/>
        <v>0</v>
      </c>
      <c r="BJ37" s="11">
        <f t="shared" si="16"/>
        <v>0</v>
      </c>
      <c r="BK37" s="11">
        <f t="shared" si="16"/>
        <v>0</v>
      </c>
      <c r="BL37" s="11">
        <f t="shared" si="16"/>
        <v>0</v>
      </c>
      <c r="BM37" s="11">
        <f t="shared" si="16"/>
        <v>0</v>
      </c>
      <c r="BN37" s="11">
        <f t="shared" si="16"/>
        <v>0</v>
      </c>
      <c r="BO37" s="11">
        <f t="shared" si="16"/>
        <v>0</v>
      </c>
      <c r="BP37" s="11">
        <f t="shared" ref="BP37:CZ37" si="17">SUMPRODUCT($B35:$B36,BP35:BP36)</f>
        <v>0</v>
      </c>
      <c r="BQ37" s="11">
        <f t="shared" si="17"/>
        <v>0</v>
      </c>
      <c r="BR37" s="11">
        <f t="shared" si="17"/>
        <v>0</v>
      </c>
      <c r="BS37" s="11">
        <f t="shared" si="17"/>
        <v>0</v>
      </c>
      <c r="BT37" s="11">
        <f t="shared" si="17"/>
        <v>0</v>
      </c>
      <c r="BU37" s="11">
        <f t="shared" si="17"/>
        <v>0</v>
      </c>
      <c r="BV37" s="11">
        <f t="shared" si="17"/>
        <v>0</v>
      </c>
      <c r="BW37" s="11">
        <f t="shared" si="17"/>
        <v>0</v>
      </c>
      <c r="BX37" s="11">
        <f t="shared" si="17"/>
        <v>0</v>
      </c>
      <c r="BY37" s="11">
        <f t="shared" si="17"/>
        <v>0</v>
      </c>
      <c r="BZ37" s="11">
        <f t="shared" si="17"/>
        <v>0</v>
      </c>
      <c r="CA37" s="11">
        <f t="shared" si="17"/>
        <v>0</v>
      </c>
      <c r="CB37" s="11">
        <f t="shared" si="17"/>
        <v>0</v>
      </c>
      <c r="CC37" s="11">
        <f t="shared" si="17"/>
        <v>0</v>
      </c>
      <c r="CD37" s="11">
        <f t="shared" si="17"/>
        <v>0</v>
      </c>
      <c r="CE37" s="11">
        <f t="shared" si="17"/>
        <v>0</v>
      </c>
      <c r="CF37" s="11">
        <f t="shared" si="17"/>
        <v>0</v>
      </c>
      <c r="CG37" s="11">
        <f t="shared" si="17"/>
        <v>0</v>
      </c>
      <c r="CH37" s="11">
        <f t="shared" si="17"/>
        <v>0</v>
      </c>
      <c r="CI37" s="11">
        <f t="shared" si="17"/>
        <v>0</v>
      </c>
      <c r="CJ37" s="11">
        <f t="shared" si="17"/>
        <v>0</v>
      </c>
      <c r="CK37" s="11">
        <f t="shared" si="17"/>
        <v>0</v>
      </c>
      <c r="CL37" s="11">
        <f t="shared" si="17"/>
        <v>0</v>
      </c>
      <c r="CM37" s="11">
        <f t="shared" si="17"/>
        <v>0</v>
      </c>
      <c r="CN37" s="11">
        <f t="shared" si="17"/>
        <v>0</v>
      </c>
      <c r="CO37" s="11">
        <f t="shared" si="17"/>
        <v>0</v>
      </c>
      <c r="CP37" s="11">
        <f t="shared" si="17"/>
        <v>0</v>
      </c>
      <c r="CQ37" s="11">
        <f t="shared" si="17"/>
        <v>0</v>
      </c>
      <c r="CR37" s="11">
        <f t="shared" si="17"/>
        <v>0</v>
      </c>
      <c r="CS37" s="11">
        <f t="shared" si="17"/>
        <v>0</v>
      </c>
      <c r="CT37" s="11">
        <f t="shared" si="17"/>
        <v>0</v>
      </c>
      <c r="CU37" s="11">
        <f t="shared" si="17"/>
        <v>0</v>
      </c>
      <c r="CV37" s="11">
        <f t="shared" si="17"/>
        <v>0</v>
      </c>
      <c r="CW37" s="11">
        <f t="shared" si="17"/>
        <v>0</v>
      </c>
      <c r="CX37" s="11">
        <f t="shared" si="17"/>
        <v>0</v>
      </c>
      <c r="CY37" s="11">
        <f t="shared" si="17"/>
        <v>0</v>
      </c>
      <c r="CZ37" s="11">
        <f t="shared" si="17"/>
        <v>0</v>
      </c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</row>
    <row r="38" spans="1:122" ht="18" customHeight="1">
      <c r="A38" s="13" t="s">
        <v>26</v>
      </c>
      <c r="B38" s="14">
        <f>IFERROR(VLOOKUP(A38,PRICELIST!$A$3:$D$138,4,0),"-")</f>
        <v>159.75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9">
        <f t="shared" ref="CY38:CZ39" si="18">C38+E38+G38+I38+K38+M38+O38+Q38+S38+U38+W38+Y38+AA38+AC38+AE38+AG38+AI38+AK38+AM38+AO38+AQ38+AS38+AU38+AW38+AY38+BA38+BC38+BE38+BG38+BI38+BK38+BM38+BO38+BQ38+BS38+BU38+BW38+BY38+CA38+CC38+CE38+CG38+CI38+CK38+CM38+CO38+CQ38+CS38+CU38+CW38</f>
        <v>0</v>
      </c>
      <c r="CZ38" s="19">
        <f t="shared" si="18"/>
        <v>0</v>
      </c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</row>
    <row r="39" spans="1:122" ht="18" customHeight="1">
      <c r="A39" s="13" t="s">
        <v>27</v>
      </c>
      <c r="B39" s="14">
        <f>IFERROR(VLOOKUP(A39,PRICELIST!$A$3:$D$138,4,0),"-")</f>
        <v>83.59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9">
        <f t="shared" si="18"/>
        <v>0</v>
      </c>
      <c r="CZ39" s="19">
        <f t="shared" si="18"/>
        <v>0</v>
      </c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</row>
    <row r="40" spans="1:122" ht="18" customHeight="1">
      <c r="A40" s="9" t="s">
        <v>28</v>
      </c>
      <c r="B40" s="10"/>
      <c r="C40" s="11">
        <f>SUMPRODUCT($B38:$B39,C38:C39)</f>
        <v>0</v>
      </c>
      <c r="D40" s="11">
        <f t="shared" ref="D40:BO40" si="19">SUMPRODUCT($B38:$B39,D38:D39)</f>
        <v>0</v>
      </c>
      <c r="E40" s="11">
        <f t="shared" si="19"/>
        <v>0</v>
      </c>
      <c r="F40" s="11">
        <f t="shared" si="19"/>
        <v>0</v>
      </c>
      <c r="G40" s="11">
        <f t="shared" si="19"/>
        <v>0</v>
      </c>
      <c r="H40" s="11">
        <f t="shared" si="19"/>
        <v>0</v>
      </c>
      <c r="I40" s="11">
        <f t="shared" si="19"/>
        <v>0</v>
      </c>
      <c r="J40" s="11">
        <f t="shared" si="19"/>
        <v>0</v>
      </c>
      <c r="K40" s="11">
        <f t="shared" si="19"/>
        <v>0</v>
      </c>
      <c r="L40" s="11">
        <f t="shared" si="19"/>
        <v>0</v>
      </c>
      <c r="M40" s="11">
        <f t="shared" si="19"/>
        <v>0</v>
      </c>
      <c r="N40" s="11">
        <f t="shared" si="19"/>
        <v>0</v>
      </c>
      <c r="O40" s="11">
        <f t="shared" si="19"/>
        <v>0</v>
      </c>
      <c r="P40" s="11">
        <f t="shared" si="19"/>
        <v>0</v>
      </c>
      <c r="Q40" s="11">
        <f t="shared" si="19"/>
        <v>0</v>
      </c>
      <c r="R40" s="11">
        <f t="shared" si="19"/>
        <v>0</v>
      </c>
      <c r="S40" s="11">
        <f t="shared" si="19"/>
        <v>0</v>
      </c>
      <c r="T40" s="11">
        <f t="shared" si="19"/>
        <v>0</v>
      </c>
      <c r="U40" s="11">
        <f t="shared" si="19"/>
        <v>0</v>
      </c>
      <c r="V40" s="11">
        <f t="shared" si="19"/>
        <v>0</v>
      </c>
      <c r="W40" s="11">
        <f t="shared" si="19"/>
        <v>0</v>
      </c>
      <c r="X40" s="11">
        <f t="shared" si="19"/>
        <v>0</v>
      </c>
      <c r="Y40" s="11">
        <f t="shared" si="19"/>
        <v>0</v>
      </c>
      <c r="Z40" s="11">
        <f t="shared" si="19"/>
        <v>0</v>
      </c>
      <c r="AA40" s="11">
        <f t="shared" si="19"/>
        <v>0</v>
      </c>
      <c r="AB40" s="11">
        <f t="shared" si="19"/>
        <v>0</v>
      </c>
      <c r="AC40" s="11">
        <f t="shared" si="19"/>
        <v>0</v>
      </c>
      <c r="AD40" s="11">
        <f t="shared" si="19"/>
        <v>0</v>
      </c>
      <c r="AE40" s="11">
        <f t="shared" si="19"/>
        <v>0</v>
      </c>
      <c r="AF40" s="11">
        <f t="shared" si="19"/>
        <v>0</v>
      </c>
      <c r="AG40" s="11">
        <f t="shared" si="19"/>
        <v>0</v>
      </c>
      <c r="AH40" s="11">
        <f t="shared" si="19"/>
        <v>0</v>
      </c>
      <c r="AI40" s="11">
        <f t="shared" si="19"/>
        <v>0</v>
      </c>
      <c r="AJ40" s="11">
        <f t="shared" si="19"/>
        <v>0</v>
      </c>
      <c r="AK40" s="11">
        <f t="shared" si="19"/>
        <v>0</v>
      </c>
      <c r="AL40" s="11">
        <f t="shared" si="19"/>
        <v>0</v>
      </c>
      <c r="AM40" s="11">
        <f t="shared" si="19"/>
        <v>0</v>
      </c>
      <c r="AN40" s="11">
        <f t="shared" si="19"/>
        <v>0</v>
      </c>
      <c r="AO40" s="11">
        <f t="shared" si="19"/>
        <v>0</v>
      </c>
      <c r="AP40" s="11">
        <f t="shared" si="19"/>
        <v>0</v>
      </c>
      <c r="AQ40" s="11">
        <f t="shared" si="19"/>
        <v>0</v>
      </c>
      <c r="AR40" s="11">
        <f t="shared" si="19"/>
        <v>0</v>
      </c>
      <c r="AS40" s="11">
        <f t="shared" si="19"/>
        <v>0</v>
      </c>
      <c r="AT40" s="11">
        <f t="shared" si="19"/>
        <v>0</v>
      </c>
      <c r="AU40" s="11">
        <f t="shared" si="19"/>
        <v>0</v>
      </c>
      <c r="AV40" s="11">
        <f t="shared" si="19"/>
        <v>0</v>
      </c>
      <c r="AW40" s="11">
        <f t="shared" si="19"/>
        <v>0</v>
      </c>
      <c r="AX40" s="11">
        <f t="shared" si="19"/>
        <v>0</v>
      </c>
      <c r="AY40" s="11">
        <f t="shared" si="19"/>
        <v>0</v>
      </c>
      <c r="AZ40" s="11">
        <f t="shared" si="19"/>
        <v>0</v>
      </c>
      <c r="BA40" s="11">
        <f t="shared" si="19"/>
        <v>0</v>
      </c>
      <c r="BB40" s="11">
        <f t="shared" si="19"/>
        <v>0</v>
      </c>
      <c r="BC40" s="11">
        <f t="shared" si="19"/>
        <v>0</v>
      </c>
      <c r="BD40" s="11">
        <f t="shared" si="19"/>
        <v>0</v>
      </c>
      <c r="BE40" s="11">
        <f t="shared" si="19"/>
        <v>0</v>
      </c>
      <c r="BF40" s="11">
        <f t="shared" si="19"/>
        <v>0</v>
      </c>
      <c r="BG40" s="11">
        <f t="shared" si="19"/>
        <v>0</v>
      </c>
      <c r="BH40" s="11">
        <f t="shared" si="19"/>
        <v>0</v>
      </c>
      <c r="BI40" s="11">
        <f t="shared" si="19"/>
        <v>0</v>
      </c>
      <c r="BJ40" s="11">
        <f t="shared" si="19"/>
        <v>0</v>
      </c>
      <c r="BK40" s="11">
        <f t="shared" si="19"/>
        <v>0</v>
      </c>
      <c r="BL40" s="11">
        <f t="shared" si="19"/>
        <v>0</v>
      </c>
      <c r="BM40" s="11">
        <f t="shared" si="19"/>
        <v>0</v>
      </c>
      <c r="BN40" s="11">
        <f t="shared" si="19"/>
        <v>0</v>
      </c>
      <c r="BO40" s="11">
        <f t="shared" si="19"/>
        <v>0</v>
      </c>
      <c r="BP40" s="11">
        <f t="shared" ref="BP40:CZ40" si="20">SUMPRODUCT($B38:$B39,BP38:BP39)</f>
        <v>0</v>
      </c>
      <c r="BQ40" s="11">
        <f t="shared" si="20"/>
        <v>0</v>
      </c>
      <c r="BR40" s="11">
        <f t="shared" si="20"/>
        <v>0</v>
      </c>
      <c r="BS40" s="11">
        <f t="shared" si="20"/>
        <v>0</v>
      </c>
      <c r="BT40" s="11">
        <f t="shared" si="20"/>
        <v>0</v>
      </c>
      <c r="BU40" s="11">
        <f t="shared" si="20"/>
        <v>0</v>
      </c>
      <c r="BV40" s="11">
        <f t="shared" si="20"/>
        <v>0</v>
      </c>
      <c r="BW40" s="11">
        <f t="shared" si="20"/>
        <v>0</v>
      </c>
      <c r="BX40" s="11">
        <f t="shared" si="20"/>
        <v>0</v>
      </c>
      <c r="BY40" s="11">
        <f t="shared" si="20"/>
        <v>0</v>
      </c>
      <c r="BZ40" s="11">
        <f t="shared" si="20"/>
        <v>0</v>
      </c>
      <c r="CA40" s="11">
        <f t="shared" si="20"/>
        <v>0</v>
      </c>
      <c r="CB40" s="11">
        <f t="shared" si="20"/>
        <v>0</v>
      </c>
      <c r="CC40" s="11">
        <f t="shared" si="20"/>
        <v>0</v>
      </c>
      <c r="CD40" s="11">
        <f t="shared" si="20"/>
        <v>0</v>
      </c>
      <c r="CE40" s="11">
        <f t="shared" si="20"/>
        <v>0</v>
      </c>
      <c r="CF40" s="11">
        <f t="shared" si="20"/>
        <v>0</v>
      </c>
      <c r="CG40" s="11">
        <f t="shared" si="20"/>
        <v>0</v>
      </c>
      <c r="CH40" s="11">
        <f t="shared" si="20"/>
        <v>0</v>
      </c>
      <c r="CI40" s="11">
        <f t="shared" si="20"/>
        <v>0</v>
      </c>
      <c r="CJ40" s="11">
        <f t="shared" si="20"/>
        <v>0</v>
      </c>
      <c r="CK40" s="11">
        <f t="shared" si="20"/>
        <v>0</v>
      </c>
      <c r="CL40" s="11">
        <f t="shared" si="20"/>
        <v>0</v>
      </c>
      <c r="CM40" s="11">
        <f t="shared" si="20"/>
        <v>0</v>
      </c>
      <c r="CN40" s="11">
        <f t="shared" si="20"/>
        <v>0</v>
      </c>
      <c r="CO40" s="11">
        <f t="shared" si="20"/>
        <v>0</v>
      </c>
      <c r="CP40" s="11">
        <f t="shared" si="20"/>
        <v>0</v>
      </c>
      <c r="CQ40" s="11">
        <f t="shared" si="20"/>
        <v>0</v>
      </c>
      <c r="CR40" s="11">
        <f t="shared" si="20"/>
        <v>0</v>
      </c>
      <c r="CS40" s="11">
        <f t="shared" si="20"/>
        <v>0</v>
      </c>
      <c r="CT40" s="11">
        <f t="shared" si="20"/>
        <v>0</v>
      </c>
      <c r="CU40" s="11">
        <f t="shared" si="20"/>
        <v>0</v>
      </c>
      <c r="CV40" s="11">
        <f t="shared" si="20"/>
        <v>0</v>
      </c>
      <c r="CW40" s="11">
        <f t="shared" si="20"/>
        <v>0</v>
      </c>
      <c r="CX40" s="11">
        <f t="shared" si="20"/>
        <v>0</v>
      </c>
      <c r="CY40" s="11">
        <f t="shared" si="20"/>
        <v>0</v>
      </c>
      <c r="CZ40" s="11">
        <f t="shared" si="20"/>
        <v>0</v>
      </c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</row>
    <row r="41" spans="1:122" ht="18" customHeight="1">
      <c r="A41" s="13" t="s">
        <v>29</v>
      </c>
      <c r="B41" s="14">
        <f>IFERROR(VLOOKUP(A41,PRICELIST!$A$3:$D$138,4,0),"-")</f>
        <v>78.790000000000006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9">
        <f t="shared" ref="CY41:CZ46" si="21">C41+E41+G41+I41+K41+M41+O41+Q41+S41+U41+W41+Y41+AA41+AC41+AE41+AG41+AI41+AK41+AM41+AO41+AQ41+AS41+AU41+AW41+AY41+BA41+BC41+BE41+BG41+BI41+BK41+BM41+BO41+BQ41+BS41+BU41+BW41+BY41+CA41+CC41+CE41+CG41+CI41+CK41+CM41+CO41+CQ41+CS41+CU41+CW41</f>
        <v>0</v>
      </c>
      <c r="CZ41" s="19">
        <f t="shared" si="21"/>
        <v>0</v>
      </c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</row>
    <row r="42" spans="1:122" ht="18" customHeight="1">
      <c r="A42" s="13" t="s">
        <v>30</v>
      </c>
      <c r="B42" s="14">
        <f>IFERROR(VLOOKUP(A42,PRICELIST!$A$3:$D$138,4,0),"-")</f>
        <v>142.29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9">
        <f t="shared" si="21"/>
        <v>0</v>
      </c>
      <c r="CZ42" s="19">
        <f t="shared" si="21"/>
        <v>0</v>
      </c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</row>
    <row r="43" spans="1:122" ht="18" customHeight="1">
      <c r="A43" s="13" t="s">
        <v>31</v>
      </c>
      <c r="B43" s="14">
        <f>IFERROR(VLOOKUP(A43,PRICELIST!$A$3:$D$138,4,0),"-")</f>
        <v>35.36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9">
        <f t="shared" si="21"/>
        <v>0</v>
      </c>
      <c r="CZ43" s="19">
        <f t="shared" si="21"/>
        <v>0</v>
      </c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</row>
    <row r="44" spans="1:122" ht="18" customHeight="1">
      <c r="A44" s="13" t="s">
        <v>32</v>
      </c>
      <c r="B44" s="14">
        <f>IFERROR(VLOOKUP(A44,PRICELIST!$A$3:$D$138,4,0),"-")</f>
        <v>175.18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9">
        <f t="shared" si="21"/>
        <v>0</v>
      </c>
      <c r="CZ44" s="19">
        <f t="shared" si="21"/>
        <v>0</v>
      </c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</row>
    <row r="45" spans="1:122" ht="18" customHeight="1">
      <c r="A45" s="13" t="s">
        <v>33</v>
      </c>
      <c r="B45" s="14">
        <f>IFERROR(VLOOKUP(A45,PRICELIST!$A$3:$D$138,4,0),"-")</f>
        <v>42.72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9">
        <f t="shared" si="21"/>
        <v>0</v>
      </c>
      <c r="CZ45" s="19">
        <f t="shared" si="21"/>
        <v>0</v>
      </c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</row>
    <row r="46" spans="1:122" ht="18" customHeight="1">
      <c r="A46" s="13" t="s">
        <v>34</v>
      </c>
      <c r="B46" s="14">
        <f>IFERROR(VLOOKUP(A46,PRICELIST!$A$3:$D$138,4,0),"-")</f>
        <v>84.28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9">
        <f t="shared" si="21"/>
        <v>0</v>
      </c>
      <c r="CZ46" s="19">
        <f t="shared" si="21"/>
        <v>0</v>
      </c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</row>
    <row r="47" spans="1:122" ht="18" customHeight="1">
      <c r="A47" s="9" t="s">
        <v>35</v>
      </c>
      <c r="B47" s="10"/>
      <c r="C47" s="11">
        <f>SUMPRODUCT($B41:$B46,C41:C46)</f>
        <v>0</v>
      </c>
      <c r="D47" s="11">
        <f t="shared" ref="D47:BO47" si="22">SUMPRODUCT($B41:$B46,D41:D46)</f>
        <v>0</v>
      </c>
      <c r="E47" s="11">
        <f t="shared" si="22"/>
        <v>0</v>
      </c>
      <c r="F47" s="11">
        <f t="shared" si="22"/>
        <v>0</v>
      </c>
      <c r="G47" s="11">
        <f t="shared" si="22"/>
        <v>0</v>
      </c>
      <c r="H47" s="11">
        <f t="shared" si="22"/>
        <v>0</v>
      </c>
      <c r="I47" s="11">
        <f t="shared" si="22"/>
        <v>0</v>
      </c>
      <c r="J47" s="11">
        <f t="shared" si="22"/>
        <v>0</v>
      </c>
      <c r="K47" s="11">
        <f t="shared" si="22"/>
        <v>0</v>
      </c>
      <c r="L47" s="11">
        <f t="shared" si="22"/>
        <v>0</v>
      </c>
      <c r="M47" s="11">
        <f t="shared" si="22"/>
        <v>0</v>
      </c>
      <c r="N47" s="11">
        <f t="shared" si="22"/>
        <v>0</v>
      </c>
      <c r="O47" s="11">
        <f t="shared" si="22"/>
        <v>0</v>
      </c>
      <c r="P47" s="11">
        <f t="shared" si="22"/>
        <v>0</v>
      </c>
      <c r="Q47" s="11">
        <f t="shared" si="22"/>
        <v>0</v>
      </c>
      <c r="R47" s="11">
        <f t="shared" si="22"/>
        <v>0</v>
      </c>
      <c r="S47" s="11">
        <f t="shared" si="22"/>
        <v>0</v>
      </c>
      <c r="T47" s="11">
        <f t="shared" si="22"/>
        <v>0</v>
      </c>
      <c r="U47" s="11">
        <f t="shared" si="22"/>
        <v>0</v>
      </c>
      <c r="V47" s="11">
        <f t="shared" si="22"/>
        <v>0</v>
      </c>
      <c r="W47" s="11">
        <f t="shared" si="22"/>
        <v>0</v>
      </c>
      <c r="X47" s="11">
        <f t="shared" si="22"/>
        <v>0</v>
      </c>
      <c r="Y47" s="11">
        <f t="shared" si="22"/>
        <v>0</v>
      </c>
      <c r="Z47" s="11">
        <f t="shared" si="22"/>
        <v>0</v>
      </c>
      <c r="AA47" s="11">
        <f t="shared" si="22"/>
        <v>0</v>
      </c>
      <c r="AB47" s="11">
        <f t="shared" si="22"/>
        <v>0</v>
      </c>
      <c r="AC47" s="11">
        <f t="shared" si="22"/>
        <v>0</v>
      </c>
      <c r="AD47" s="11">
        <f t="shared" si="22"/>
        <v>0</v>
      </c>
      <c r="AE47" s="11">
        <f t="shared" si="22"/>
        <v>0</v>
      </c>
      <c r="AF47" s="11">
        <f t="shared" si="22"/>
        <v>0</v>
      </c>
      <c r="AG47" s="11">
        <f t="shared" si="22"/>
        <v>0</v>
      </c>
      <c r="AH47" s="11">
        <f t="shared" si="22"/>
        <v>0</v>
      </c>
      <c r="AI47" s="11">
        <f t="shared" si="22"/>
        <v>0</v>
      </c>
      <c r="AJ47" s="11">
        <f t="shared" si="22"/>
        <v>0</v>
      </c>
      <c r="AK47" s="11">
        <f t="shared" si="22"/>
        <v>0</v>
      </c>
      <c r="AL47" s="11">
        <f t="shared" si="22"/>
        <v>0</v>
      </c>
      <c r="AM47" s="11">
        <f t="shared" si="22"/>
        <v>0</v>
      </c>
      <c r="AN47" s="11">
        <f t="shared" si="22"/>
        <v>0</v>
      </c>
      <c r="AO47" s="11">
        <f t="shared" si="22"/>
        <v>0</v>
      </c>
      <c r="AP47" s="11">
        <f t="shared" si="22"/>
        <v>0</v>
      </c>
      <c r="AQ47" s="11">
        <f t="shared" si="22"/>
        <v>0</v>
      </c>
      <c r="AR47" s="11">
        <f t="shared" si="22"/>
        <v>0</v>
      </c>
      <c r="AS47" s="11">
        <f t="shared" si="22"/>
        <v>0</v>
      </c>
      <c r="AT47" s="11">
        <f t="shared" si="22"/>
        <v>0</v>
      </c>
      <c r="AU47" s="11">
        <f t="shared" si="22"/>
        <v>0</v>
      </c>
      <c r="AV47" s="11">
        <f t="shared" si="22"/>
        <v>0</v>
      </c>
      <c r="AW47" s="11">
        <f t="shared" si="22"/>
        <v>0</v>
      </c>
      <c r="AX47" s="11">
        <f t="shared" si="22"/>
        <v>0</v>
      </c>
      <c r="AY47" s="11">
        <f t="shared" si="22"/>
        <v>0</v>
      </c>
      <c r="AZ47" s="11">
        <f t="shared" si="22"/>
        <v>0</v>
      </c>
      <c r="BA47" s="11">
        <f t="shared" si="22"/>
        <v>0</v>
      </c>
      <c r="BB47" s="11">
        <f t="shared" si="22"/>
        <v>0</v>
      </c>
      <c r="BC47" s="11">
        <f t="shared" si="22"/>
        <v>0</v>
      </c>
      <c r="BD47" s="11">
        <f t="shared" si="22"/>
        <v>0</v>
      </c>
      <c r="BE47" s="11">
        <f t="shared" si="22"/>
        <v>0</v>
      </c>
      <c r="BF47" s="11">
        <f t="shared" si="22"/>
        <v>0</v>
      </c>
      <c r="BG47" s="11">
        <f t="shared" si="22"/>
        <v>0</v>
      </c>
      <c r="BH47" s="11">
        <f t="shared" si="22"/>
        <v>0</v>
      </c>
      <c r="BI47" s="11">
        <f t="shared" si="22"/>
        <v>0</v>
      </c>
      <c r="BJ47" s="11">
        <f t="shared" si="22"/>
        <v>0</v>
      </c>
      <c r="BK47" s="11">
        <f t="shared" si="22"/>
        <v>0</v>
      </c>
      <c r="BL47" s="11">
        <f t="shared" si="22"/>
        <v>0</v>
      </c>
      <c r="BM47" s="11">
        <f t="shared" si="22"/>
        <v>0</v>
      </c>
      <c r="BN47" s="11">
        <f t="shared" si="22"/>
        <v>0</v>
      </c>
      <c r="BO47" s="11">
        <f t="shared" si="22"/>
        <v>0</v>
      </c>
      <c r="BP47" s="11">
        <f t="shared" ref="BP47:CZ47" si="23">SUMPRODUCT($B41:$B46,BP41:BP46)</f>
        <v>0</v>
      </c>
      <c r="BQ47" s="11">
        <f t="shared" si="23"/>
        <v>0</v>
      </c>
      <c r="BR47" s="11">
        <f t="shared" si="23"/>
        <v>0</v>
      </c>
      <c r="BS47" s="11">
        <f t="shared" si="23"/>
        <v>0</v>
      </c>
      <c r="BT47" s="11">
        <f t="shared" si="23"/>
        <v>0</v>
      </c>
      <c r="BU47" s="11">
        <f t="shared" si="23"/>
        <v>0</v>
      </c>
      <c r="BV47" s="11">
        <f t="shared" si="23"/>
        <v>0</v>
      </c>
      <c r="BW47" s="11">
        <f t="shared" si="23"/>
        <v>0</v>
      </c>
      <c r="BX47" s="11">
        <f t="shared" si="23"/>
        <v>0</v>
      </c>
      <c r="BY47" s="11">
        <f t="shared" si="23"/>
        <v>0</v>
      </c>
      <c r="BZ47" s="11">
        <f t="shared" si="23"/>
        <v>0</v>
      </c>
      <c r="CA47" s="11">
        <f t="shared" si="23"/>
        <v>0</v>
      </c>
      <c r="CB47" s="11">
        <f t="shared" si="23"/>
        <v>0</v>
      </c>
      <c r="CC47" s="11">
        <f t="shared" si="23"/>
        <v>0</v>
      </c>
      <c r="CD47" s="11">
        <f t="shared" si="23"/>
        <v>0</v>
      </c>
      <c r="CE47" s="11">
        <f t="shared" si="23"/>
        <v>0</v>
      </c>
      <c r="CF47" s="11">
        <f t="shared" si="23"/>
        <v>0</v>
      </c>
      <c r="CG47" s="11">
        <f t="shared" si="23"/>
        <v>0</v>
      </c>
      <c r="CH47" s="11">
        <f t="shared" si="23"/>
        <v>0</v>
      </c>
      <c r="CI47" s="11">
        <f t="shared" si="23"/>
        <v>0</v>
      </c>
      <c r="CJ47" s="11">
        <f t="shared" si="23"/>
        <v>0</v>
      </c>
      <c r="CK47" s="11">
        <f t="shared" si="23"/>
        <v>0</v>
      </c>
      <c r="CL47" s="11">
        <f t="shared" si="23"/>
        <v>0</v>
      </c>
      <c r="CM47" s="11">
        <f t="shared" si="23"/>
        <v>0</v>
      </c>
      <c r="CN47" s="11">
        <f t="shared" si="23"/>
        <v>0</v>
      </c>
      <c r="CO47" s="11">
        <f t="shared" si="23"/>
        <v>0</v>
      </c>
      <c r="CP47" s="11">
        <f t="shared" si="23"/>
        <v>0</v>
      </c>
      <c r="CQ47" s="11">
        <f t="shared" si="23"/>
        <v>0</v>
      </c>
      <c r="CR47" s="11">
        <f t="shared" si="23"/>
        <v>0</v>
      </c>
      <c r="CS47" s="11">
        <f t="shared" si="23"/>
        <v>0</v>
      </c>
      <c r="CT47" s="11">
        <f t="shared" si="23"/>
        <v>0</v>
      </c>
      <c r="CU47" s="11">
        <f t="shared" si="23"/>
        <v>0</v>
      </c>
      <c r="CV47" s="11">
        <f t="shared" si="23"/>
        <v>0</v>
      </c>
      <c r="CW47" s="11">
        <f t="shared" si="23"/>
        <v>0</v>
      </c>
      <c r="CX47" s="11">
        <f t="shared" si="23"/>
        <v>0</v>
      </c>
      <c r="CY47" s="11">
        <f t="shared" si="23"/>
        <v>0</v>
      </c>
      <c r="CZ47" s="11">
        <f t="shared" si="23"/>
        <v>0</v>
      </c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</row>
    <row r="48" spans="1:122" ht="18" customHeight="1">
      <c r="A48" s="4" t="s">
        <v>81</v>
      </c>
      <c r="B48" s="14">
        <f>IFERROR(VLOOKUP(A48,PRICELIST!$A$3:$D$138,4,0),"-")</f>
        <v>201.26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9">
        <f t="shared" ref="CY48:CZ48" si="24">C48+E48+G48+I48+K48+M48+O48+Q48+S48+U48+W48+Y48+AA48+AC48+AE48+AG48+AI48+AK48+AM48+AO48+AQ48+AS48+AU48+AW48+AY48+BA48+BC48+BE48+BG48+BI48+BK48+BM48+BO48+BQ48+BS48+BU48+BW48+BY48+CA48+CC48+CE48+CG48+CI48+CK48+CM48+CO48+CQ48+CS48+CU48+CW48</f>
        <v>0</v>
      </c>
      <c r="CZ48" s="19">
        <f t="shared" si="24"/>
        <v>0</v>
      </c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</row>
    <row r="49" spans="1:122" ht="18" customHeight="1">
      <c r="A49" s="9" t="s">
        <v>77</v>
      </c>
      <c r="B49" s="15"/>
      <c r="C49" s="11">
        <f>SUMPRODUCT($B48*C48)</f>
        <v>0</v>
      </c>
      <c r="D49" s="11">
        <f t="shared" ref="D49:BO49" si="25">SUMPRODUCT($B48*D48)</f>
        <v>0</v>
      </c>
      <c r="E49" s="11">
        <f t="shared" si="25"/>
        <v>0</v>
      </c>
      <c r="F49" s="11">
        <f t="shared" si="25"/>
        <v>0</v>
      </c>
      <c r="G49" s="11">
        <f t="shared" si="25"/>
        <v>0</v>
      </c>
      <c r="H49" s="11">
        <f t="shared" si="25"/>
        <v>0</v>
      </c>
      <c r="I49" s="11">
        <f t="shared" si="25"/>
        <v>0</v>
      </c>
      <c r="J49" s="11">
        <f t="shared" si="25"/>
        <v>0</v>
      </c>
      <c r="K49" s="11">
        <f t="shared" si="25"/>
        <v>0</v>
      </c>
      <c r="L49" s="11">
        <f t="shared" si="25"/>
        <v>0</v>
      </c>
      <c r="M49" s="11">
        <f t="shared" si="25"/>
        <v>0</v>
      </c>
      <c r="N49" s="11">
        <f t="shared" si="25"/>
        <v>0</v>
      </c>
      <c r="O49" s="11">
        <f t="shared" si="25"/>
        <v>0</v>
      </c>
      <c r="P49" s="11">
        <f t="shared" si="25"/>
        <v>0</v>
      </c>
      <c r="Q49" s="11">
        <f t="shared" si="25"/>
        <v>0</v>
      </c>
      <c r="R49" s="11">
        <f t="shared" si="25"/>
        <v>0</v>
      </c>
      <c r="S49" s="11">
        <f t="shared" si="25"/>
        <v>0</v>
      </c>
      <c r="T49" s="11">
        <f t="shared" si="25"/>
        <v>0</v>
      </c>
      <c r="U49" s="11">
        <f t="shared" si="25"/>
        <v>0</v>
      </c>
      <c r="V49" s="11">
        <f t="shared" si="25"/>
        <v>0</v>
      </c>
      <c r="W49" s="11">
        <f t="shared" si="25"/>
        <v>0</v>
      </c>
      <c r="X49" s="11">
        <f t="shared" si="25"/>
        <v>0</v>
      </c>
      <c r="Y49" s="11">
        <f t="shared" si="25"/>
        <v>0</v>
      </c>
      <c r="Z49" s="11">
        <f t="shared" si="25"/>
        <v>0</v>
      </c>
      <c r="AA49" s="11">
        <f t="shared" si="25"/>
        <v>0</v>
      </c>
      <c r="AB49" s="11">
        <f t="shared" si="25"/>
        <v>0</v>
      </c>
      <c r="AC49" s="11">
        <f t="shared" si="25"/>
        <v>0</v>
      </c>
      <c r="AD49" s="11">
        <f t="shared" si="25"/>
        <v>0</v>
      </c>
      <c r="AE49" s="11">
        <f t="shared" si="25"/>
        <v>0</v>
      </c>
      <c r="AF49" s="11">
        <f t="shared" si="25"/>
        <v>0</v>
      </c>
      <c r="AG49" s="11">
        <f t="shared" si="25"/>
        <v>0</v>
      </c>
      <c r="AH49" s="11">
        <f t="shared" si="25"/>
        <v>0</v>
      </c>
      <c r="AI49" s="11">
        <f t="shared" si="25"/>
        <v>0</v>
      </c>
      <c r="AJ49" s="11">
        <f t="shared" si="25"/>
        <v>0</v>
      </c>
      <c r="AK49" s="11">
        <f t="shared" si="25"/>
        <v>0</v>
      </c>
      <c r="AL49" s="11">
        <f t="shared" si="25"/>
        <v>0</v>
      </c>
      <c r="AM49" s="11">
        <f t="shared" si="25"/>
        <v>0</v>
      </c>
      <c r="AN49" s="11">
        <f t="shared" si="25"/>
        <v>0</v>
      </c>
      <c r="AO49" s="11">
        <f t="shared" si="25"/>
        <v>0</v>
      </c>
      <c r="AP49" s="11">
        <f t="shared" si="25"/>
        <v>0</v>
      </c>
      <c r="AQ49" s="11">
        <f t="shared" si="25"/>
        <v>0</v>
      </c>
      <c r="AR49" s="11">
        <f t="shared" si="25"/>
        <v>0</v>
      </c>
      <c r="AS49" s="11">
        <f t="shared" si="25"/>
        <v>0</v>
      </c>
      <c r="AT49" s="11">
        <f t="shared" si="25"/>
        <v>0</v>
      </c>
      <c r="AU49" s="11">
        <f t="shared" si="25"/>
        <v>0</v>
      </c>
      <c r="AV49" s="11">
        <f t="shared" si="25"/>
        <v>0</v>
      </c>
      <c r="AW49" s="11">
        <f t="shared" si="25"/>
        <v>0</v>
      </c>
      <c r="AX49" s="11">
        <f t="shared" si="25"/>
        <v>0</v>
      </c>
      <c r="AY49" s="11">
        <f t="shared" si="25"/>
        <v>0</v>
      </c>
      <c r="AZ49" s="11">
        <f t="shared" si="25"/>
        <v>0</v>
      </c>
      <c r="BA49" s="11">
        <f t="shared" si="25"/>
        <v>0</v>
      </c>
      <c r="BB49" s="11">
        <f t="shared" si="25"/>
        <v>0</v>
      </c>
      <c r="BC49" s="11">
        <f t="shared" si="25"/>
        <v>0</v>
      </c>
      <c r="BD49" s="11">
        <f t="shared" si="25"/>
        <v>0</v>
      </c>
      <c r="BE49" s="11">
        <f t="shared" si="25"/>
        <v>0</v>
      </c>
      <c r="BF49" s="11">
        <f t="shared" si="25"/>
        <v>0</v>
      </c>
      <c r="BG49" s="11">
        <f t="shared" si="25"/>
        <v>0</v>
      </c>
      <c r="BH49" s="11">
        <f t="shared" si="25"/>
        <v>0</v>
      </c>
      <c r="BI49" s="11">
        <f t="shared" si="25"/>
        <v>0</v>
      </c>
      <c r="BJ49" s="11">
        <f t="shared" si="25"/>
        <v>0</v>
      </c>
      <c r="BK49" s="11">
        <f t="shared" si="25"/>
        <v>0</v>
      </c>
      <c r="BL49" s="11">
        <f t="shared" si="25"/>
        <v>0</v>
      </c>
      <c r="BM49" s="11">
        <f t="shared" si="25"/>
        <v>0</v>
      </c>
      <c r="BN49" s="11">
        <f t="shared" si="25"/>
        <v>0</v>
      </c>
      <c r="BO49" s="11">
        <f t="shared" si="25"/>
        <v>0</v>
      </c>
      <c r="BP49" s="11">
        <f t="shared" ref="BP49:CZ49" si="26">SUMPRODUCT($B48*BP48)</f>
        <v>0</v>
      </c>
      <c r="BQ49" s="11">
        <f t="shared" si="26"/>
        <v>0</v>
      </c>
      <c r="BR49" s="11">
        <f t="shared" si="26"/>
        <v>0</v>
      </c>
      <c r="BS49" s="11">
        <f t="shared" si="26"/>
        <v>0</v>
      </c>
      <c r="BT49" s="11">
        <f t="shared" si="26"/>
        <v>0</v>
      </c>
      <c r="BU49" s="11">
        <f t="shared" si="26"/>
        <v>0</v>
      </c>
      <c r="BV49" s="11">
        <f t="shared" si="26"/>
        <v>0</v>
      </c>
      <c r="BW49" s="11">
        <f t="shared" si="26"/>
        <v>0</v>
      </c>
      <c r="BX49" s="11">
        <f t="shared" si="26"/>
        <v>0</v>
      </c>
      <c r="BY49" s="11">
        <f t="shared" si="26"/>
        <v>0</v>
      </c>
      <c r="BZ49" s="11">
        <f t="shared" si="26"/>
        <v>0</v>
      </c>
      <c r="CA49" s="11">
        <f t="shared" si="26"/>
        <v>0</v>
      </c>
      <c r="CB49" s="11">
        <f t="shared" si="26"/>
        <v>0</v>
      </c>
      <c r="CC49" s="11">
        <f t="shared" si="26"/>
        <v>0</v>
      </c>
      <c r="CD49" s="11">
        <f t="shared" si="26"/>
        <v>0</v>
      </c>
      <c r="CE49" s="11">
        <f t="shared" si="26"/>
        <v>0</v>
      </c>
      <c r="CF49" s="11">
        <f t="shared" si="26"/>
        <v>0</v>
      </c>
      <c r="CG49" s="11">
        <f t="shared" si="26"/>
        <v>0</v>
      </c>
      <c r="CH49" s="11">
        <f t="shared" si="26"/>
        <v>0</v>
      </c>
      <c r="CI49" s="11">
        <f t="shared" si="26"/>
        <v>0</v>
      </c>
      <c r="CJ49" s="11">
        <f t="shared" si="26"/>
        <v>0</v>
      </c>
      <c r="CK49" s="11">
        <f t="shared" si="26"/>
        <v>0</v>
      </c>
      <c r="CL49" s="11">
        <f t="shared" si="26"/>
        <v>0</v>
      </c>
      <c r="CM49" s="11">
        <f t="shared" si="26"/>
        <v>0</v>
      </c>
      <c r="CN49" s="11">
        <f t="shared" si="26"/>
        <v>0</v>
      </c>
      <c r="CO49" s="11">
        <f t="shared" si="26"/>
        <v>0</v>
      </c>
      <c r="CP49" s="11">
        <f t="shared" si="26"/>
        <v>0</v>
      </c>
      <c r="CQ49" s="11">
        <f t="shared" si="26"/>
        <v>0</v>
      </c>
      <c r="CR49" s="11">
        <f t="shared" si="26"/>
        <v>0</v>
      </c>
      <c r="CS49" s="11">
        <f t="shared" si="26"/>
        <v>0</v>
      </c>
      <c r="CT49" s="11">
        <f t="shared" si="26"/>
        <v>0</v>
      </c>
      <c r="CU49" s="11">
        <f t="shared" si="26"/>
        <v>0</v>
      </c>
      <c r="CV49" s="11">
        <f t="shared" si="26"/>
        <v>0</v>
      </c>
      <c r="CW49" s="11">
        <f t="shared" si="26"/>
        <v>0</v>
      </c>
      <c r="CX49" s="11">
        <f t="shared" si="26"/>
        <v>0</v>
      </c>
      <c r="CY49" s="11">
        <f t="shared" si="26"/>
        <v>0</v>
      </c>
      <c r="CZ49" s="11">
        <f t="shared" si="26"/>
        <v>0</v>
      </c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</row>
    <row r="50" spans="1:122" ht="18" customHeight="1">
      <c r="A50" s="4" t="s">
        <v>82</v>
      </c>
      <c r="B50" s="14">
        <f>IFERROR(VLOOKUP(A50,PRICELIST!$A$3:$D$138,4,0),"-")</f>
        <v>170.19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9">
        <f t="shared" ref="CY50:CZ52" si="27">C50+E50+G50+I50+K50+M50+O50+Q50+S50+U50+W50+Y50+AA50+AC50+AE50+AG50+AI50+AK50+AM50+AO50+AQ50+AS50+AU50+AW50+AY50+BA50+BC50+BE50+BG50+BI50+BK50+BM50+BO50+BQ50+BS50+BU50+BW50+BY50+CA50+CC50+CE50+CG50+CI50+CK50+CM50+CO50+CQ50+CS50+CU50+CW50</f>
        <v>0</v>
      </c>
      <c r="CZ50" s="19">
        <f t="shared" si="27"/>
        <v>0</v>
      </c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</row>
    <row r="51" spans="1:122" ht="18" customHeight="1">
      <c r="A51" s="4" t="s">
        <v>83</v>
      </c>
      <c r="B51" s="14">
        <f>IFERROR(VLOOKUP(A51,PRICELIST!$A$3:$D$138,4,0),"-")</f>
        <v>209.89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9">
        <f t="shared" si="27"/>
        <v>0</v>
      </c>
      <c r="CZ51" s="19">
        <f t="shared" si="27"/>
        <v>0</v>
      </c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</row>
    <row r="52" spans="1:122" ht="18" customHeight="1">
      <c r="A52" s="4" t="s">
        <v>84</v>
      </c>
      <c r="B52" s="14">
        <f>IFERROR(VLOOKUP(A52,PRICELIST!$A$3:$D$138,4,0),"-")</f>
        <v>302.79000000000002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9">
        <f t="shared" si="27"/>
        <v>0</v>
      </c>
      <c r="CZ52" s="19">
        <f t="shared" si="27"/>
        <v>0</v>
      </c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</row>
    <row r="53" spans="1:122" ht="18" customHeight="1">
      <c r="A53" s="9" t="s">
        <v>89</v>
      </c>
      <c r="B53" s="15"/>
      <c r="C53" s="11">
        <f>SUMPRODUCT($B50:$B52,C50:C52)</f>
        <v>0</v>
      </c>
      <c r="D53" s="11">
        <f t="shared" ref="D53:BO53" si="28">SUMPRODUCT($B50:$B52,D50:D52)</f>
        <v>0</v>
      </c>
      <c r="E53" s="11">
        <f t="shared" si="28"/>
        <v>0</v>
      </c>
      <c r="F53" s="11">
        <f t="shared" si="28"/>
        <v>0</v>
      </c>
      <c r="G53" s="11">
        <f t="shared" si="28"/>
        <v>0</v>
      </c>
      <c r="H53" s="11">
        <f t="shared" si="28"/>
        <v>0</v>
      </c>
      <c r="I53" s="11">
        <f t="shared" si="28"/>
        <v>0</v>
      </c>
      <c r="J53" s="11">
        <f t="shared" si="28"/>
        <v>0</v>
      </c>
      <c r="K53" s="11">
        <f t="shared" si="28"/>
        <v>0</v>
      </c>
      <c r="L53" s="11">
        <f t="shared" si="28"/>
        <v>0</v>
      </c>
      <c r="M53" s="11">
        <f t="shared" si="28"/>
        <v>0</v>
      </c>
      <c r="N53" s="11">
        <f t="shared" si="28"/>
        <v>0</v>
      </c>
      <c r="O53" s="11">
        <f t="shared" si="28"/>
        <v>0</v>
      </c>
      <c r="P53" s="11">
        <f t="shared" si="28"/>
        <v>0</v>
      </c>
      <c r="Q53" s="11">
        <f t="shared" si="28"/>
        <v>0</v>
      </c>
      <c r="R53" s="11">
        <f t="shared" si="28"/>
        <v>0</v>
      </c>
      <c r="S53" s="11">
        <f t="shared" si="28"/>
        <v>0</v>
      </c>
      <c r="T53" s="11">
        <f t="shared" si="28"/>
        <v>0</v>
      </c>
      <c r="U53" s="11">
        <f t="shared" si="28"/>
        <v>0</v>
      </c>
      <c r="V53" s="11">
        <f t="shared" si="28"/>
        <v>0</v>
      </c>
      <c r="W53" s="11">
        <f t="shared" si="28"/>
        <v>0</v>
      </c>
      <c r="X53" s="11">
        <f t="shared" si="28"/>
        <v>0</v>
      </c>
      <c r="Y53" s="11">
        <f t="shared" si="28"/>
        <v>0</v>
      </c>
      <c r="Z53" s="11">
        <f t="shared" si="28"/>
        <v>0</v>
      </c>
      <c r="AA53" s="11">
        <f t="shared" si="28"/>
        <v>0</v>
      </c>
      <c r="AB53" s="11">
        <f t="shared" si="28"/>
        <v>0</v>
      </c>
      <c r="AC53" s="11">
        <f t="shared" si="28"/>
        <v>0</v>
      </c>
      <c r="AD53" s="11">
        <f t="shared" si="28"/>
        <v>0</v>
      </c>
      <c r="AE53" s="11">
        <f t="shared" si="28"/>
        <v>0</v>
      </c>
      <c r="AF53" s="11">
        <f t="shared" si="28"/>
        <v>0</v>
      </c>
      <c r="AG53" s="11">
        <f t="shared" si="28"/>
        <v>0</v>
      </c>
      <c r="AH53" s="11">
        <f t="shared" si="28"/>
        <v>0</v>
      </c>
      <c r="AI53" s="11">
        <f t="shared" si="28"/>
        <v>0</v>
      </c>
      <c r="AJ53" s="11">
        <f t="shared" si="28"/>
        <v>0</v>
      </c>
      <c r="AK53" s="11">
        <f t="shared" si="28"/>
        <v>0</v>
      </c>
      <c r="AL53" s="11">
        <f t="shared" si="28"/>
        <v>0</v>
      </c>
      <c r="AM53" s="11">
        <f t="shared" si="28"/>
        <v>0</v>
      </c>
      <c r="AN53" s="11">
        <f t="shared" si="28"/>
        <v>0</v>
      </c>
      <c r="AO53" s="11">
        <f t="shared" si="28"/>
        <v>0</v>
      </c>
      <c r="AP53" s="11">
        <f t="shared" si="28"/>
        <v>0</v>
      </c>
      <c r="AQ53" s="11">
        <f t="shared" si="28"/>
        <v>0</v>
      </c>
      <c r="AR53" s="11">
        <f t="shared" si="28"/>
        <v>0</v>
      </c>
      <c r="AS53" s="11">
        <f t="shared" si="28"/>
        <v>0</v>
      </c>
      <c r="AT53" s="11">
        <f t="shared" si="28"/>
        <v>0</v>
      </c>
      <c r="AU53" s="11">
        <f t="shared" si="28"/>
        <v>0</v>
      </c>
      <c r="AV53" s="11">
        <f t="shared" si="28"/>
        <v>0</v>
      </c>
      <c r="AW53" s="11">
        <f t="shared" si="28"/>
        <v>0</v>
      </c>
      <c r="AX53" s="11">
        <f t="shared" si="28"/>
        <v>0</v>
      </c>
      <c r="AY53" s="11">
        <f t="shared" si="28"/>
        <v>0</v>
      </c>
      <c r="AZ53" s="11">
        <f t="shared" si="28"/>
        <v>0</v>
      </c>
      <c r="BA53" s="11">
        <f t="shared" si="28"/>
        <v>0</v>
      </c>
      <c r="BB53" s="11">
        <f t="shared" si="28"/>
        <v>0</v>
      </c>
      <c r="BC53" s="11">
        <f t="shared" si="28"/>
        <v>0</v>
      </c>
      <c r="BD53" s="11">
        <f t="shared" si="28"/>
        <v>0</v>
      </c>
      <c r="BE53" s="11">
        <f t="shared" si="28"/>
        <v>0</v>
      </c>
      <c r="BF53" s="11">
        <f t="shared" si="28"/>
        <v>0</v>
      </c>
      <c r="BG53" s="11">
        <f t="shared" si="28"/>
        <v>0</v>
      </c>
      <c r="BH53" s="11">
        <f t="shared" si="28"/>
        <v>0</v>
      </c>
      <c r="BI53" s="11">
        <f t="shared" si="28"/>
        <v>0</v>
      </c>
      <c r="BJ53" s="11">
        <f t="shared" si="28"/>
        <v>0</v>
      </c>
      <c r="BK53" s="11">
        <f t="shared" si="28"/>
        <v>0</v>
      </c>
      <c r="BL53" s="11">
        <f t="shared" si="28"/>
        <v>0</v>
      </c>
      <c r="BM53" s="11">
        <f t="shared" si="28"/>
        <v>0</v>
      </c>
      <c r="BN53" s="11">
        <f t="shared" si="28"/>
        <v>0</v>
      </c>
      <c r="BO53" s="11">
        <f t="shared" si="28"/>
        <v>0</v>
      </c>
      <c r="BP53" s="11">
        <f t="shared" ref="BP53:CZ53" si="29">SUMPRODUCT($B50:$B52,BP50:BP52)</f>
        <v>0</v>
      </c>
      <c r="BQ53" s="11">
        <f t="shared" si="29"/>
        <v>0</v>
      </c>
      <c r="BR53" s="11">
        <f t="shared" si="29"/>
        <v>0</v>
      </c>
      <c r="BS53" s="11">
        <f t="shared" si="29"/>
        <v>0</v>
      </c>
      <c r="BT53" s="11">
        <f t="shared" si="29"/>
        <v>0</v>
      </c>
      <c r="BU53" s="11">
        <f t="shared" si="29"/>
        <v>0</v>
      </c>
      <c r="BV53" s="11">
        <f t="shared" si="29"/>
        <v>0</v>
      </c>
      <c r="BW53" s="11">
        <f t="shared" si="29"/>
        <v>0</v>
      </c>
      <c r="BX53" s="11">
        <f t="shared" si="29"/>
        <v>0</v>
      </c>
      <c r="BY53" s="11">
        <f t="shared" si="29"/>
        <v>0</v>
      </c>
      <c r="BZ53" s="11">
        <f t="shared" si="29"/>
        <v>0</v>
      </c>
      <c r="CA53" s="11">
        <f t="shared" si="29"/>
        <v>0</v>
      </c>
      <c r="CB53" s="11">
        <f t="shared" si="29"/>
        <v>0</v>
      </c>
      <c r="CC53" s="11">
        <f t="shared" si="29"/>
        <v>0</v>
      </c>
      <c r="CD53" s="11">
        <f t="shared" si="29"/>
        <v>0</v>
      </c>
      <c r="CE53" s="11">
        <f t="shared" si="29"/>
        <v>0</v>
      </c>
      <c r="CF53" s="11">
        <f t="shared" si="29"/>
        <v>0</v>
      </c>
      <c r="CG53" s="11">
        <f t="shared" si="29"/>
        <v>0</v>
      </c>
      <c r="CH53" s="11">
        <f t="shared" si="29"/>
        <v>0</v>
      </c>
      <c r="CI53" s="11">
        <f t="shared" si="29"/>
        <v>0</v>
      </c>
      <c r="CJ53" s="11">
        <f t="shared" si="29"/>
        <v>0</v>
      </c>
      <c r="CK53" s="11">
        <f t="shared" si="29"/>
        <v>0</v>
      </c>
      <c r="CL53" s="11">
        <f t="shared" si="29"/>
        <v>0</v>
      </c>
      <c r="CM53" s="11">
        <f t="shared" si="29"/>
        <v>0</v>
      </c>
      <c r="CN53" s="11">
        <f t="shared" si="29"/>
        <v>0</v>
      </c>
      <c r="CO53" s="11">
        <f t="shared" si="29"/>
        <v>0</v>
      </c>
      <c r="CP53" s="11">
        <f t="shared" si="29"/>
        <v>0</v>
      </c>
      <c r="CQ53" s="11">
        <f t="shared" si="29"/>
        <v>0</v>
      </c>
      <c r="CR53" s="11">
        <f t="shared" si="29"/>
        <v>0</v>
      </c>
      <c r="CS53" s="11">
        <f t="shared" si="29"/>
        <v>0</v>
      </c>
      <c r="CT53" s="11">
        <f t="shared" si="29"/>
        <v>0</v>
      </c>
      <c r="CU53" s="11">
        <f t="shared" si="29"/>
        <v>0</v>
      </c>
      <c r="CV53" s="11">
        <f t="shared" si="29"/>
        <v>0</v>
      </c>
      <c r="CW53" s="11">
        <f t="shared" si="29"/>
        <v>0</v>
      </c>
      <c r="CX53" s="11">
        <f t="shared" si="29"/>
        <v>0</v>
      </c>
      <c r="CY53" s="11">
        <f t="shared" si="29"/>
        <v>0</v>
      </c>
      <c r="CZ53" s="11">
        <f t="shared" si="29"/>
        <v>0</v>
      </c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</row>
    <row r="54" spans="1:122" ht="18" customHeight="1">
      <c r="A54" s="13" t="s">
        <v>36</v>
      </c>
      <c r="B54" s="14">
        <f>IFERROR(VLOOKUP(A54,PRICELIST!$A$3:$D$138,4,0),"-")</f>
        <v>508.18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9">
        <f t="shared" ref="CY54:CZ58" si="30">C54+E54+G54+I54+K54+M54+O54+Q54+S54+U54+W54+Y54+AA54+AC54+AE54+AG54+AI54+AK54+AM54+AO54+AQ54+AS54+AU54+AW54+AY54+BA54+BC54+BE54+BG54+BI54+BK54+BM54+BO54+BQ54+BS54+BU54+BW54+BY54+CA54+CC54+CE54+CG54+CI54+CK54+CM54+CO54+CQ54+CS54+CU54+CW54</f>
        <v>0</v>
      </c>
      <c r="CZ54" s="19">
        <f t="shared" si="30"/>
        <v>0</v>
      </c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</row>
    <row r="55" spans="1:122" ht="18" customHeight="1">
      <c r="A55" s="13" t="s">
        <v>37</v>
      </c>
      <c r="B55" s="14">
        <f>IFERROR(VLOOKUP(A55,PRICELIST!$A$3:$D$138,4,0),"-")</f>
        <v>115.71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9">
        <f t="shared" si="30"/>
        <v>0</v>
      </c>
      <c r="CZ55" s="19">
        <f t="shared" si="30"/>
        <v>0</v>
      </c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</row>
    <row r="56" spans="1:122" ht="18" customHeight="1">
      <c r="A56" s="13" t="s">
        <v>38</v>
      </c>
      <c r="B56" s="14">
        <f>IFERROR(VLOOKUP(A56,PRICELIST!$A$3:$D$138,4,0),"-")</f>
        <v>207.64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9">
        <f t="shared" si="30"/>
        <v>0</v>
      </c>
      <c r="CZ56" s="19">
        <f t="shared" si="30"/>
        <v>0</v>
      </c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</row>
    <row r="57" spans="1:122" ht="18" customHeight="1">
      <c r="A57" s="13" t="s">
        <v>39</v>
      </c>
      <c r="B57" s="14">
        <f>IFERROR(VLOOKUP(A57,PRICELIST!$A$3:$D$138,4,0),"-")</f>
        <v>576.96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9">
        <f t="shared" si="30"/>
        <v>0</v>
      </c>
      <c r="CZ57" s="19">
        <f t="shared" si="30"/>
        <v>0</v>
      </c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</row>
    <row r="58" spans="1:122" ht="18" customHeight="1">
      <c r="A58" s="13" t="s">
        <v>40</v>
      </c>
      <c r="B58" s="14">
        <f>IFERROR(VLOOKUP(A58,PRICELIST!$A$3:$D$138,4,0),"-")</f>
        <v>635.30999999999995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9">
        <f t="shared" si="30"/>
        <v>0</v>
      </c>
      <c r="CZ58" s="19">
        <f t="shared" si="30"/>
        <v>0</v>
      </c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</row>
    <row r="59" spans="1:122" ht="18" customHeight="1">
      <c r="A59" s="9" t="s">
        <v>41</v>
      </c>
      <c r="B59" s="10"/>
      <c r="C59" s="11">
        <f>SUMPRODUCT($B54:$B58,C54:C58)</f>
        <v>0</v>
      </c>
      <c r="D59" s="11">
        <f t="shared" ref="D59:BO59" si="31">SUMPRODUCT($B54:$B58,D54:D58)</f>
        <v>0</v>
      </c>
      <c r="E59" s="11">
        <f t="shared" si="31"/>
        <v>0</v>
      </c>
      <c r="F59" s="11">
        <f t="shared" si="31"/>
        <v>0</v>
      </c>
      <c r="G59" s="11">
        <f t="shared" si="31"/>
        <v>0</v>
      </c>
      <c r="H59" s="11">
        <f t="shared" si="31"/>
        <v>0</v>
      </c>
      <c r="I59" s="11">
        <f t="shared" si="31"/>
        <v>0</v>
      </c>
      <c r="J59" s="11">
        <f t="shared" si="31"/>
        <v>0</v>
      </c>
      <c r="K59" s="11">
        <f t="shared" si="31"/>
        <v>0</v>
      </c>
      <c r="L59" s="11">
        <f t="shared" si="31"/>
        <v>0</v>
      </c>
      <c r="M59" s="11">
        <f t="shared" si="31"/>
        <v>0</v>
      </c>
      <c r="N59" s="11">
        <f t="shared" si="31"/>
        <v>0</v>
      </c>
      <c r="O59" s="11">
        <f t="shared" si="31"/>
        <v>0</v>
      </c>
      <c r="P59" s="11">
        <f t="shared" si="31"/>
        <v>0</v>
      </c>
      <c r="Q59" s="11">
        <f t="shared" si="31"/>
        <v>0</v>
      </c>
      <c r="R59" s="11">
        <f t="shared" si="31"/>
        <v>0</v>
      </c>
      <c r="S59" s="11">
        <f t="shared" si="31"/>
        <v>0</v>
      </c>
      <c r="T59" s="11">
        <f t="shared" si="31"/>
        <v>0</v>
      </c>
      <c r="U59" s="11">
        <f t="shared" si="31"/>
        <v>0</v>
      </c>
      <c r="V59" s="11">
        <f t="shared" si="31"/>
        <v>0</v>
      </c>
      <c r="W59" s="11">
        <f t="shared" si="31"/>
        <v>0</v>
      </c>
      <c r="X59" s="11">
        <f t="shared" si="31"/>
        <v>0</v>
      </c>
      <c r="Y59" s="11">
        <f t="shared" si="31"/>
        <v>0</v>
      </c>
      <c r="Z59" s="11">
        <f t="shared" si="31"/>
        <v>0</v>
      </c>
      <c r="AA59" s="11">
        <f t="shared" si="31"/>
        <v>0</v>
      </c>
      <c r="AB59" s="11">
        <f t="shared" si="31"/>
        <v>0</v>
      </c>
      <c r="AC59" s="11">
        <f t="shared" si="31"/>
        <v>0</v>
      </c>
      <c r="AD59" s="11">
        <f t="shared" si="31"/>
        <v>0</v>
      </c>
      <c r="AE59" s="11">
        <f t="shared" si="31"/>
        <v>0</v>
      </c>
      <c r="AF59" s="11">
        <f t="shared" si="31"/>
        <v>0</v>
      </c>
      <c r="AG59" s="11">
        <f t="shared" si="31"/>
        <v>0</v>
      </c>
      <c r="AH59" s="11">
        <f t="shared" si="31"/>
        <v>0</v>
      </c>
      <c r="AI59" s="11">
        <f t="shared" si="31"/>
        <v>0</v>
      </c>
      <c r="AJ59" s="11">
        <f t="shared" si="31"/>
        <v>0</v>
      </c>
      <c r="AK59" s="11">
        <f t="shared" si="31"/>
        <v>0</v>
      </c>
      <c r="AL59" s="11">
        <f t="shared" si="31"/>
        <v>0</v>
      </c>
      <c r="AM59" s="11">
        <f t="shared" si="31"/>
        <v>0</v>
      </c>
      <c r="AN59" s="11">
        <f t="shared" si="31"/>
        <v>0</v>
      </c>
      <c r="AO59" s="11">
        <f t="shared" si="31"/>
        <v>0</v>
      </c>
      <c r="AP59" s="11">
        <f t="shared" si="31"/>
        <v>0</v>
      </c>
      <c r="AQ59" s="11">
        <f t="shared" si="31"/>
        <v>0</v>
      </c>
      <c r="AR59" s="11">
        <f t="shared" si="31"/>
        <v>0</v>
      </c>
      <c r="AS59" s="11">
        <f t="shared" si="31"/>
        <v>0</v>
      </c>
      <c r="AT59" s="11">
        <f t="shared" si="31"/>
        <v>0</v>
      </c>
      <c r="AU59" s="11">
        <f t="shared" si="31"/>
        <v>0</v>
      </c>
      <c r="AV59" s="11">
        <f t="shared" si="31"/>
        <v>0</v>
      </c>
      <c r="AW59" s="11">
        <f t="shared" si="31"/>
        <v>0</v>
      </c>
      <c r="AX59" s="11">
        <f t="shared" si="31"/>
        <v>0</v>
      </c>
      <c r="AY59" s="11">
        <f t="shared" si="31"/>
        <v>0</v>
      </c>
      <c r="AZ59" s="11">
        <f t="shared" si="31"/>
        <v>0</v>
      </c>
      <c r="BA59" s="11">
        <f t="shared" si="31"/>
        <v>0</v>
      </c>
      <c r="BB59" s="11">
        <f t="shared" si="31"/>
        <v>0</v>
      </c>
      <c r="BC59" s="11">
        <f t="shared" si="31"/>
        <v>0</v>
      </c>
      <c r="BD59" s="11">
        <f t="shared" si="31"/>
        <v>0</v>
      </c>
      <c r="BE59" s="11">
        <f t="shared" si="31"/>
        <v>0</v>
      </c>
      <c r="BF59" s="11">
        <f t="shared" si="31"/>
        <v>0</v>
      </c>
      <c r="BG59" s="11">
        <f t="shared" si="31"/>
        <v>0</v>
      </c>
      <c r="BH59" s="11">
        <f t="shared" si="31"/>
        <v>0</v>
      </c>
      <c r="BI59" s="11">
        <f t="shared" si="31"/>
        <v>0</v>
      </c>
      <c r="BJ59" s="11">
        <f t="shared" si="31"/>
        <v>0</v>
      </c>
      <c r="BK59" s="11">
        <f t="shared" si="31"/>
        <v>0</v>
      </c>
      <c r="BL59" s="11">
        <f t="shared" si="31"/>
        <v>0</v>
      </c>
      <c r="BM59" s="11">
        <f t="shared" si="31"/>
        <v>0</v>
      </c>
      <c r="BN59" s="11">
        <f t="shared" si="31"/>
        <v>0</v>
      </c>
      <c r="BO59" s="11">
        <f t="shared" si="31"/>
        <v>0</v>
      </c>
      <c r="BP59" s="11">
        <f t="shared" ref="BP59:CZ59" si="32">SUMPRODUCT($B54:$B58,BP54:BP58)</f>
        <v>0</v>
      </c>
      <c r="BQ59" s="11">
        <f t="shared" si="32"/>
        <v>0</v>
      </c>
      <c r="BR59" s="11">
        <f t="shared" si="32"/>
        <v>0</v>
      </c>
      <c r="BS59" s="11">
        <f t="shared" si="32"/>
        <v>0</v>
      </c>
      <c r="BT59" s="11">
        <f t="shared" si="32"/>
        <v>0</v>
      </c>
      <c r="BU59" s="11">
        <f t="shared" si="32"/>
        <v>0</v>
      </c>
      <c r="BV59" s="11">
        <f t="shared" si="32"/>
        <v>0</v>
      </c>
      <c r="BW59" s="11">
        <f t="shared" si="32"/>
        <v>0</v>
      </c>
      <c r="BX59" s="11">
        <f t="shared" si="32"/>
        <v>0</v>
      </c>
      <c r="BY59" s="11">
        <f t="shared" si="32"/>
        <v>0</v>
      </c>
      <c r="BZ59" s="11">
        <f t="shared" si="32"/>
        <v>0</v>
      </c>
      <c r="CA59" s="11">
        <f t="shared" si="32"/>
        <v>0</v>
      </c>
      <c r="CB59" s="11">
        <f t="shared" si="32"/>
        <v>0</v>
      </c>
      <c r="CC59" s="11">
        <f t="shared" si="32"/>
        <v>0</v>
      </c>
      <c r="CD59" s="11">
        <f t="shared" si="32"/>
        <v>0</v>
      </c>
      <c r="CE59" s="11">
        <f t="shared" si="32"/>
        <v>0</v>
      </c>
      <c r="CF59" s="11">
        <f t="shared" si="32"/>
        <v>0</v>
      </c>
      <c r="CG59" s="11">
        <f t="shared" si="32"/>
        <v>0</v>
      </c>
      <c r="CH59" s="11">
        <f t="shared" si="32"/>
        <v>0</v>
      </c>
      <c r="CI59" s="11">
        <f t="shared" si="32"/>
        <v>0</v>
      </c>
      <c r="CJ59" s="11">
        <f t="shared" si="32"/>
        <v>0</v>
      </c>
      <c r="CK59" s="11">
        <f t="shared" si="32"/>
        <v>0</v>
      </c>
      <c r="CL59" s="11">
        <f t="shared" si="32"/>
        <v>0</v>
      </c>
      <c r="CM59" s="11">
        <f t="shared" si="32"/>
        <v>0</v>
      </c>
      <c r="CN59" s="11">
        <f t="shared" si="32"/>
        <v>0</v>
      </c>
      <c r="CO59" s="11">
        <f t="shared" si="32"/>
        <v>0</v>
      </c>
      <c r="CP59" s="11">
        <f t="shared" si="32"/>
        <v>0</v>
      </c>
      <c r="CQ59" s="11">
        <f t="shared" si="32"/>
        <v>0</v>
      </c>
      <c r="CR59" s="11">
        <f t="shared" si="32"/>
        <v>0</v>
      </c>
      <c r="CS59" s="11">
        <f t="shared" si="32"/>
        <v>0</v>
      </c>
      <c r="CT59" s="11">
        <f t="shared" si="32"/>
        <v>0</v>
      </c>
      <c r="CU59" s="11">
        <f t="shared" si="32"/>
        <v>0</v>
      </c>
      <c r="CV59" s="11">
        <f t="shared" si="32"/>
        <v>0</v>
      </c>
      <c r="CW59" s="11">
        <f t="shared" si="32"/>
        <v>0</v>
      </c>
      <c r="CX59" s="11">
        <f t="shared" si="32"/>
        <v>0</v>
      </c>
      <c r="CY59" s="11">
        <f t="shared" si="32"/>
        <v>0</v>
      </c>
      <c r="CZ59" s="11">
        <f t="shared" si="32"/>
        <v>0</v>
      </c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</row>
    <row r="60" spans="1:122" ht="18" customHeight="1">
      <c r="A60" s="13" t="s">
        <v>133</v>
      </c>
      <c r="B60" s="14">
        <f>IFERROR(VLOOKUP(A60,PRICELIST!$A$3:$D$138,4,0),"-")</f>
        <v>23.41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9">
        <f t="shared" ref="CY60:CZ70" si="33">C60+E60+G60+I60+K60+M60+O60+Q60+S60+U60+W60+Y60+AA60+AC60+AE60+AG60+AI60+AK60+AM60+AO60+AQ60+AS60+AU60+AW60+AY60+BA60+BC60+BE60+BG60+BI60+BK60+BM60+BO60+BQ60+BS60+BU60+BW60+BY60+CA60+CC60+CE60+CG60+CI60+CK60+CM60+CO60+CQ60+CS60+CU60+CW60</f>
        <v>0</v>
      </c>
      <c r="CZ60" s="19">
        <f t="shared" si="33"/>
        <v>0</v>
      </c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</row>
    <row r="61" spans="1:122" ht="18" customHeight="1">
      <c r="A61" s="13" t="s">
        <v>42</v>
      </c>
      <c r="B61" s="14">
        <f>IFERROR(VLOOKUP(A61,PRICELIST!$A$3:$D$138,4,0),"-")</f>
        <v>23.57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9">
        <f t="shared" si="33"/>
        <v>0</v>
      </c>
      <c r="CZ61" s="19">
        <f t="shared" si="33"/>
        <v>0</v>
      </c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</row>
    <row r="62" spans="1:122" ht="18" customHeight="1">
      <c r="A62" s="13" t="s">
        <v>43</v>
      </c>
      <c r="B62" s="14">
        <f>IFERROR(VLOOKUP(A62,PRICELIST!$A$3:$D$138,4,0),"-")</f>
        <v>66.7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9">
        <f t="shared" si="33"/>
        <v>0</v>
      </c>
      <c r="CZ62" s="19">
        <f t="shared" si="33"/>
        <v>0</v>
      </c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</row>
    <row r="63" spans="1:122" ht="18" customHeight="1">
      <c r="A63" s="13" t="s">
        <v>44</v>
      </c>
      <c r="B63" s="14">
        <f>IFERROR(VLOOKUP(A63,PRICELIST!$A$3:$D$138,4,0),"-")</f>
        <v>67.819999999999993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9">
        <f t="shared" si="33"/>
        <v>0</v>
      </c>
      <c r="CZ63" s="19">
        <f t="shared" si="33"/>
        <v>0</v>
      </c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</row>
    <row r="64" spans="1:122" ht="18" customHeight="1">
      <c r="A64" s="13" t="s">
        <v>45</v>
      </c>
      <c r="B64" s="14">
        <f>IFERROR(VLOOKUP(A64,PRICELIST!$A$3:$D$138,4,0),"-")</f>
        <v>9.58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9">
        <f t="shared" si="33"/>
        <v>0</v>
      </c>
      <c r="CZ64" s="19">
        <f t="shared" si="33"/>
        <v>0</v>
      </c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</row>
    <row r="65" spans="1:122" ht="18" customHeight="1">
      <c r="A65" s="13" t="s">
        <v>46</v>
      </c>
      <c r="B65" s="14">
        <f>IFERROR(VLOOKUP(A65,PRICELIST!$A$3:$D$138,4,0),"-")</f>
        <v>23.41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9">
        <f t="shared" si="33"/>
        <v>0</v>
      </c>
      <c r="CZ65" s="19">
        <f t="shared" si="33"/>
        <v>0</v>
      </c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</row>
    <row r="66" spans="1:122" ht="18" customHeight="1">
      <c r="A66" s="13" t="s">
        <v>47</v>
      </c>
      <c r="B66" s="14">
        <f>IFERROR(VLOOKUP(A66,PRICELIST!$A$3:$D$138,4,0),"-")</f>
        <v>23.57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9">
        <f t="shared" si="33"/>
        <v>0</v>
      </c>
      <c r="CZ66" s="19">
        <f t="shared" si="33"/>
        <v>0</v>
      </c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</row>
    <row r="67" spans="1:122" ht="18" customHeight="1">
      <c r="A67" s="13" t="s">
        <v>49</v>
      </c>
      <c r="B67" s="14">
        <f>IFERROR(VLOOKUP(A67,PRICELIST!$A$3:$D$138,4,0),"-")</f>
        <v>132.43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9">
        <f t="shared" si="33"/>
        <v>0</v>
      </c>
      <c r="CZ67" s="19">
        <f t="shared" si="33"/>
        <v>0</v>
      </c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</row>
    <row r="68" spans="1:122" ht="18" customHeight="1">
      <c r="A68" s="13" t="s">
        <v>50</v>
      </c>
      <c r="B68" s="14">
        <f>IFERROR(VLOOKUP(A68,PRICELIST!$A$3:$D$138,4,0),"-")</f>
        <v>94.7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9">
        <f t="shared" si="33"/>
        <v>0</v>
      </c>
      <c r="CZ68" s="19">
        <f t="shared" si="33"/>
        <v>0</v>
      </c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</row>
    <row r="69" spans="1:122" ht="18" customHeight="1">
      <c r="A69" s="13" t="s">
        <v>51</v>
      </c>
      <c r="B69" s="14">
        <f>IFERROR(VLOOKUP(A69,PRICELIST!$A$3:$D$138,4,0),"-")</f>
        <v>58.82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9">
        <f t="shared" si="33"/>
        <v>0</v>
      </c>
      <c r="CZ69" s="19">
        <f t="shared" si="33"/>
        <v>0</v>
      </c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</row>
    <row r="70" spans="1:122" ht="18" customHeight="1">
      <c r="A70" s="13" t="s">
        <v>52</v>
      </c>
      <c r="B70" s="14">
        <f>IFERROR(VLOOKUP(A70,PRICELIST!$A$3:$D$138,4,0),"-")</f>
        <v>61.39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9">
        <f t="shared" si="33"/>
        <v>0</v>
      </c>
      <c r="CZ70" s="19">
        <f t="shared" si="33"/>
        <v>0</v>
      </c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</row>
    <row r="71" spans="1:122" ht="18" customHeight="1">
      <c r="A71" s="9" t="s">
        <v>48</v>
      </c>
      <c r="B71" s="10"/>
      <c r="C71" s="11">
        <f t="shared" ref="C71:AH71" si="34">SUMPRODUCT($B60:$B70,C60:C70)</f>
        <v>0</v>
      </c>
      <c r="D71" s="11">
        <f t="shared" si="34"/>
        <v>0</v>
      </c>
      <c r="E71" s="11">
        <f t="shared" si="34"/>
        <v>0</v>
      </c>
      <c r="F71" s="11">
        <f t="shared" si="34"/>
        <v>0</v>
      </c>
      <c r="G71" s="11">
        <f t="shared" si="34"/>
        <v>0</v>
      </c>
      <c r="H71" s="11">
        <f t="shared" si="34"/>
        <v>0</v>
      </c>
      <c r="I71" s="11">
        <f t="shared" si="34"/>
        <v>0</v>
      </c>
      <c r="J71" s="11">
        <f t="shared" si="34"/>
        <v>0</v>
      </c>
      <c r="K71" s="11">
        <f t="shared" si="34"/>
        <v>0</v>
      </c>
      <c r="L71" s="11">
        <f t="shared" si="34"/>
        <v>0</v>
      </c>
      <c r="M71" s="11">
        <f t="shared" si="34"/>
        <v>0</v>
      </c>
      <c r="N71" s="11">
        <f t="shared" si="34"/>
        <v>0</v>
      </c>
      <c r="O71" s="11">
        <f t="shared" si="34"/>
        <v>0</v>
      </c>
      <c r="P71" s="11">
        <f t="shared" si="34"/>
        <v>0</v>
      </c>
      <c r="Q71" s="11">
        <f t="shared" si="34"/>
        <v>0</v>
      </c>
      <c r="R71" s="11">
        <f t="shared" si="34"/>
        <v>0</v>
      </c>
      <c r="S71" s="11">
        <f t="shared" si="34"/>
        <v>0</v>
      </c>
      <c r="T71" s="11">
        <f t="shared" si="34"/>
        <v>0</v>
      </c>
      <c r="U71" s="11">
        <f t="shared" si="34"/>
        <v>0</v>
      </c>
      <c r="V71" s="11">
        <f t="shared" si="34"/>
        <v>0</v>
      </c>
      <c r="W71" s="11">
        <f t="shared" si="34"/>
        <v>0</v>
      </c>
      <c r="X71" s="11">
        <f t="shared" si="34"/>
        <v>0</v>
      </c>
      <c r="Y71" s="11">
        <f t="shared" si="34"/>
        <v>0</v>
      </c>
      <c r="Z71" s="11">
        <f t="shared" si="34"/>
        <v>0</v>
      </c>
      <c r="AA71" s="11">
        <f t="shared" si="34"/>
        <v>0</v>
      </c>
      <c r="AB71" s="11">
        <f t="shared" si="34"/>
        <v>0</v>
      </c>
      <c r="AC71" s="11">
        <f t="shared" si="34"/>
        <v>0</v>
      </c>
      <c r="AD71" s="11">
        <f t="shared" si="34"/>
        <v>0</v>
      </c>
      <c r="AE71" s="11">
        <f t="shared" si="34"/>
        <v>0</v>
      </c>
      <c r="AF71" s="11">
        <f t="shared" si="34"/>
        <v>0</v>
      </c>
      <c r="AG71" s="11">
        <f t="shared" si="34"/>
        <v>0</v>
      </c>
      <c r="AH71" s="11">
        <f t="shared" si="34"/>
        <v>0</v>
      </c>
      <c r="AI71" s="11">
        <f t="shared" ref="AI71:BN71" si="35">SUMPRODUCT($B60:$B70,AI60:AI70)</f>
        <v>0</v>
      </c>
      <c r="AJ71" s="11">
        <f t="shared" si="35"/>
        <v>0</v>
      </c>
      <c r="AK71" s="11">
        <f t="shared" si="35"/>
        <v>0</v>
      </c>
      <c r="AL71" s="11">
        <f t="shared" si="35"/>
        <v>0</v>
      </c>
      <c r="AM71" s="11">
        <f t="shared" si="35"/>
        <v>0</v>
      </c>
      <c r="AN71" s="11">
        <f t="shared" si="35"/>
        <v>0</v>
      </c>
      <c r="AO71" s="11">
        <f t="shared" si="35"/>
        <v>0</v>
      </c>
      <c r="AP71" s="11">
        <f t="shared" si="35"/>
        <v>0</v>
      </c>
      <c r="AQ71" s="11">
        <f t="shared" si="35"/>
        <v>0</v>
      </c>
      <c r="AR71" s="11">
        <f t="shared" si="35"/>
        <v>0</v>
      </c>
      <c r="AS71" s="11">
        <f t="shared" si="35"/>
        <v>0</v>
      </c>
      <c r="AT71" s="11">
        <f t="shared" si="35"/>
        <v>0</v>
      </c>
      <c r="AU71" s="11">
        <f t="shared" si="35"/>
        <v>0</v>
      </c>
      <c r="AV71" s="11">
        <f t="shared" si="35"/>
        <v>0</v>
      </c>
      <c r="AW71" s="11">
        <f t="shared" si="35"/>
        <v>0</v>
      </c>
      <c r="AX71" s="11">
        <f t="shared" si="35"/>
        <v>0</v>
      </c>
      <c r="AY71" s="11">
        <f t="shared" si="35"/>
        <v>0</v>
      </c>
      <c r="AZ71" s="11">
        <f t="shared" si="35"/>
        <v>0</v>
      </c>
      <c r="BA71" s="11">
        <f t="shared" si="35"/>
        <v>0</v>
      </c>
      <c r="BB71" s="11">
        <f t="shared" si="35"/>
        <v>0</v>
      </c>
      <c r="BC71" s="11">
        <f t="shared" si="35"/>
        <v>0</v>
      </c>
      <c r="BD71" s="11">
        <f t="shared" si="35"/>
        <v>0</v>
      </c>
      <c r="BE71" s="11">
        <f t="shared" si="35"/>
        <v>0</v>
      </c>
      <c r="BF71" s="11">
        <f t="shared" si="35"/>
        <v>0</v>
      </c>
      <c r="BG71" s="11">
        <f t="shared" si="35"/>
        <v>0</v>
      </c>
      <c r="BH71" s="11">
        <f t="shared" si="35"/>
        <v>0</v>
      </c>
      <c r="BI71" s="11">
        <f t="shared" si="35"/>
        <v>0</v>
      </c>
      <c r="BJ71" s="11">
        <f t="shared" si="35"/>
        <v>0</v>
      </c>
      <c r="BK71" s="11">
        <f t="shared" si="35"/>
        <v>0</v>
      </c>
      <c r="BL71" s="11">
        <f t="shared" si="35"/>
        <v>0</v>
      </c>
      <c r="BM71" s="11">
        <f t="shared" si="35"/>
        <v>0</v>
      </c>
      <c r="BN71" s="11">
        <f t="shared" si="35"/>
        <v>0</v>
      </c>
      <c r="BO71" s="11">
        <f t="shared" ref="BO71:CT71" si="36">SUMPRODUCT($B60:$B70,BO60:BO70)</f>
        <v>0</v>
      </c>
      <c r="BP71" s="11">
        <f t="shared" si="36"/>
        <v>0</v>
      </c>
      <c r="BQ71" s="11">
        <f t="shared" si="36"/>
        <v>0</v>
      </c>
      <c r="BR71" s="11">
        <f t="shared" si="36"/>
        <v>0</v>
      </c>
      <c r="BS71" s="11">
        <f t="shared" si="36"/>
        <v>0</v>
      </c>
      <c r="BT71" s="11">
        <f t="shared" si="36"/>
        <v>0</v>
      </c>
      <c r="BU71" s="11">
        <f t="shared" si="36"/>
        <v>0</v>
      </c>
      <c r="BV71" s="11">
        <f t="shared" si="36"/>
        <v>0</v>
      </c>
      <c r="BW71" s="11">
        <f t="shared" si="36"/>
        <v>0</v>
      </c>
      <c r="BX71" s="11">
        <f t="shared" si="36"/>
        <v>0</v>
      </c>
      <c r="BY71" s="11">
        <f t="shared" si="36"/>
        <v>0</v>
      </c>
      <c r="BZ71" s="11">
        <f t="shared" si="36"/>
        <v>0</v>
      </c>
      <c r="CA71" s="11">
        <f t="shared" si="36"/>
        <v>0</v>
      </c>
      <c r="CB71" s="11">
        <f t="shared" si="36"/>
        <v>0</v>
      </c>
      <c r="CC71" s="11">
        <f t="shared" si="36"/>
        <v>0</v>
      </c>
      <c r="CD71" s="11">
        <f t="shared" si="36"/>
        <v>0</v>
      </c>
      <c r="CE71" s="11">
        <f t="shared" si="36"/>
        <v>0</v>
      </c>
      <c r="CF71" s="11">
        <f t="shared" si="36"/>
        <v>0</v>
      </c>
      <c r="CG71" s="11">
        <f t="shared" si="36"/>
        <v>0</v>
      </c>
      <c r="CH71" s="11">
        <f t="shared" si="36"/>
        <v>0</v>
      </c>
      <c r="CI71" s="11">
        <f t="shared" si="36"/>
        <v>0</v>
      </c>
      <c r="CJ71" s="11">
        <f t="shared" si="36"/>
        <v>0</v>
      </c>
      <c r="CK71" s="11">
        <f t="shared" si="36"/>
        <v>0</v>
      </c>
      <c r="CL71" s="11">
        <f t="shared" si="36"/>
        <v>0</v>
      </c>
      <c r="CM71" s="11">
        <f t="shared" si="36"/>
        <v>0</v>
      </c>
      <c r="CN71" s="11">
        <f t="shared" si="36"/>
        <v>0</v>
      </c>
      <c r="CO71" s="11">
        <f t="shared" si="36"/>
        <v>0</v>
      </c>
      <c r="CP71" s="11">
        <f t="shared" si="36"/>
        <v>0</v>
      </c>
      <c r="CQ71" s="11">
        <f t="shared" si="36"/>
        <v>0</v>
      </c>
      <c r="CR71" s="11">
        <f t="shared" si="36"/>
        <v>0</v>
      </c>
      <c r="CS71" s="11">
        <f t="shared" si="36"/>
        <v>0</v>
      </c>
      <c r="CT71" s="11">
        <f t="shared" si="36"/>
        <v>0</v>
      </c>
      <c r="CU71" s="11">
        <f t="shared" ref="CU71:CZ71" si="37">SUMPRODUCT($B60:$B70,CU60:CU70)</f>
        <v>0</v>
      </c>
      <c r="CV71" s="11">
        <f t="shared" si="37"/>
        <v>0</v>
      </c>
      <c r="CW71" s="11">
        <f t="shared" si="37"/>
        <v>0</v>
      </c>
      <c r="CX71" s="11">
        <f t="shared" si="37"/>
        <v>0</v>
      </c>
      <c r="CY71" s="11">
        <f t="shared" si="37"/>
        <v>0</v>
      </c>
      <c r="CZ71" s="11">
        <f t="shared" si="37"/>
        <v>0</v>
      </c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</row>
    <row r="72" spans="1:122" ht="18" customHeight="1">
      <c r="A72" s="13" t="s">
        <v>85</v>
      </c>
      <c r="B72" s="14">
        <f>IFERROR(VLOOKUP(A72,PRICELIST!$A$3:$D$138,4,0),"-")</f>
        <v>165.86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9">
        <f t="shared" ref="CY72:CZ78" si="38">C72+E72+G72+I72+K72+M72+O72+Q72+S72+U72+W72+Y72+AA72+AC72+AE72+AG72+AI72+AK72+AM72+AO72+AQ72+AS72+AU72+AW72+AY72+BA72+BC72+BE72+BG72+BI72+BK72+BM72+BO72+BQ72+BS72+BU72+BW72+BY72+CA72+CC72+CE72+CG72+CI72+CK72+CM72+CO72+CQ72+CS72+CU72+CW72</f>
        <v>0</v>
      </c>
      <c r="CZ72" s="19">
        <f t="shared" si="38"/>
        <v>0</v>
      </c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</row>
    <row r="73" spans="1:122" ht="18" customHeight="1">
      <c r="A73" s="13" t="s">
        <v>53</v>
      </c>
      <c r="B73" s="14">
        <f>IFERROR(VLOOKUP(A73,PRICELIST!$A$3:$D$138,4,0),"-")</f>
        <v>82.93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9">
        <f t="shared" si="38"/>
        <v>0</v>
      </c>
      <c r="CZ73" s="19">
        <f t="shared" si="38"/>
        <v>0</v>
      </c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</row>
    <row r="74" spans="1:122" ht="18" customHeight="1">
      <c r="A74" s="13" t="s">
        <v>54</v>
      </c>
      <c r="B74" s="14">
        <f>IFERROR(VLOOKUP(A74,PRICELIST!$A$3:$D$138,4,0),"-")</f>
        <v>96.43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9">
        <f t="shared" si="38"/>
        <v>0</v>
      </c>
      <c r="CZ74" s="19">
        <f t="shared" si="38"/>
        <v>0</v>
      </c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</row>
    <row r="75" spans="1:122" ht="18" customHeight="1">
      <c r="A75" s="13" t="s">
        <v>55</v>
      </c>
      <c r="B75" s="14">
        <f>IFERROR(VLOOKUP(A75,PRICELIST!$A$3:$D$138,4,0),"-")</f>
        <v>47.57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9">
        <f t="shared" si="38"/>
        <v>0</v>
      </c>
      <c r="CZ75" s="19">
        <f t="shared" si="38"/>
        <v>0</v>
      </c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</row>
    <row r="76" spans="1:122" ht="18" customHeight="1">
      <c r="A76" s="13" t="s">
        <v>132</v>
      </c>
      <c r="B76" s="14">
        <f>IFERROR(VLOOKUP(A76,PRICELIST!$A$3:$D$138,4,0),"-")</f>
        <v>128.57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9">
        <f t="shared" si="38"/>
        <v>0</v>
      </c>
      <c r="CZ76" s="19">
        <f t="shared" si="38"/>
        <v>0</v>
      </c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</row>
    <row r="77" spans="1:122" ht="18" customHeight="1">
      <c r="A77" s="13" t="s">
        <v>86</v>
      </c>
      <c r="B77" s="14">
        <f>IFERROR(VLOOKUP(A77,PRICELIST!$A$3:$D$138,4,0),"-")</f>
        <v>130.5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9">
        <f t="shared" si="38"/>
        <v>0</v>
      </c>
      <c r="CZ77" s="19">
        <f t="shared" si="38"/>
        <v>0</v>
      </c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</row>
    <row r="78" spans="1:122" ht="18" customHeight="1">
      <c r="A78" s="26" t="s">
        <v>121</v>
      </c>
      <c r="B78" s="14">
        <f>IFERROR(VLOOKUP(A78,PRICELIST!$A$3:$D$138,4,0),"-")</f>
        <v>146.88999999999999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9">
        <f t="shared" si="38"/>
        <v>0</v>
      </c>
      <c r="CZ78" s="19">
        <f t="shared" si="38"/>
        <v>0</v>
      </c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</row>
    <row r="79" spans="1:122" ht="18" customHeight="1">
      <c r="A79" s="9" t="s">
        <v>56</v>
      </c>
      <c r="B79" s="10"/>
      <c r="C79" s="11">
        <f>SUMPRODUCT($B72:$B78,C72:C78)</f>
        <v>0</v>
      </c>
      <c r="D79" s="11">
        <f t="shared" ref="D79:BO79" si="39">SUMPRODUCT($B72:$B78,D72:D78)</f>
        <v>0</v>
      </c>
      <c r="E79" s="11">
        <f t="shared" si="39"/>
        <v>0</v>
      </c>
      <c r="F79" s="11">
        <f t="shared" si="39"/>
        <v>0</v>
      </c>
      <c r="G79" s="11">
        <f t="shared" si="39"/>
        <v>0</v>
      </c>
      <c r="H79" s="11">
        <f t="shared" si="39"/>
        <v>0</v>
      </c>
      <c r="I79" s="11">
        <f t="shared" si="39"/>
        <v>0</v>
      </c>
      <c r="J79" s="11">
        <f t="shared" si="39"/>
        <v>0</v>
      </c>
      <c r="K79" s="11">
        <f t="shared" si="39"/>
        <v>0</v>
      </c>
      <c r="L79" s="11">
        <f t="shared" si="39"/>
        <v>0</v>
      </c>
      <c r="M79" s="11">
        <f t="shared" si="39"/>
        <v>0</v>
      </c>
      <c r="N79" s="11">
        <f t="shared" si="39"/>
        <v>0</v>
      </c>
      <c r="O79" s="11">
        <f t="shared" si="39"/>
        <v>0</v>
      </c>
      <c r="P79" s="11">
        <f t="shared" si="39"/>
        <v>0</v>
      </c>
      <c r="Q79" s="11">
        <f t="shared" si="39"/>
        <v>0</v>
      </c>
      <c r="R79" s="11">
        <f t="shared" si="39"/>
        <v>0</v>
      </c>
      <c r="S79" s="11">
        <f t="shared" si="39"/>
        <v>0</v>
      </c>
      <c r="T79" s="11">
        <f t="shared" si="39"/>
        <v>0</v>
      </c>
      <c r="U79" s="11">
        <f t="shared" si="39"/>
        <v>0</v>
      </c>
      <c r="V79" s="11">
        <f t="shared" si="39"/>
        <v>0</v>
      </c>
      <c r="W79" s="11">
        <f t="shared" si="39"/>
        <v>0</v>
      </c>
      <c r="X79" s="11">
        <f t="shared" si="39"/>
        <v>0</v>
      </c>
      <c r="Y79" s="11">
        <f t="shared" si="39"/>
        <v>0</v>
      </c>
      <c r="Z79" s="11">
        <f t="shared" si="39"/>
        <v>0</v>
      </c>
      <c r="AA79" s="11">
        <f t="shared" si="39"/>
        <v>0</v>
      </c>
      <c r="AB79" s="11">
        <f t="shared" si="39"/>
        <v>0</v>
      </c>
      <c r="AC79" s="11">
        <f t="shared" si="39"/>
        <v>0</v>
      </c>
      <c r="AD79" s="11">
        <f t="shared" si="39"/>
        <v>0</v>
      </c>
      <c r="AE79" s="11">
        <f t="shared" si="39"/>
        <v>0</v>
      </c>
      <c r="AF79" s="11">
        <f t="shared" si="39"/>
        <v>0</v>
      </c>
      <c r="AG79" s="11">
        <f t="shared" si="39"/>
        <v>0</v>
      </c>
      <c r="AH79" s="11">
        <f t="shared" si="39"/>
        <v>0</v>
      </c>
      <c r="AI79" s="11">
        <f t="shared" si="39"/>
        <v>0</v>
      </c>
      <c r="AJ79" s="11">
        <f t="shared" si="39"/>
        <v>0</v>
      </c>
      <c r="AK79" s="11">
        <f t="shared" si="39"/>
        <v>0</v>
      </c>
      <c r="AL79" s="11">
        <f t="shared" si="39"/>
        <v>0</v>
      </c>
      <c r="AM79" s="11">
        <f t="shared" si="39"/>
        <v>0</v>
      </c>
      <c r="AN79" s="11">
        <f t="shared" si="39"/>
        <v>0</v>
      </c>
      <c r="AO79" s="11">
        <f t="shared" si="39"/>
        <v>0</v>
      </c>
      <c r="AP79" s="11">
        <f t="shared" si="39"/>
        <v>0</v>
      </c>
      <c r="AQ79" s="11">
        <f t="shared" si="39"/>
        <v>0</v>
      </c>
      <c r="AR79" s="11">
        <f t="shared" si="39"/>
        <v>0</v>
      </c>
      <c r="AS79" s="11">
        <f t="shared" si="39"/>
        <v>0</v>
      </c>
      <c r="AT79" s="11">
        <f t="shared" si="39"/>
        <v>0</v>
      </c>
      <c r="AU79" s="11">
        <f t="shared" si="39"/>
        <v>0</v>
      </c>
      <c r="AV79" s="11">
        <f t="shared" si="39"/>
        <v>0</v>
      </c>
      <c r="AW79" s="11">
        <f t="shared" si="39"/>
        <v>0</v>
      </c>
      <c r="AX79" s="11">
        <f t="shared" si="39"/>
        <v>0</v>
      </c>
      <c r="AY79" s="11">
        <f t="shared" si="39"/>
        <v>0</v>
      </c>
      <c r="AZ79" s="11">
        <f t="shared" si="39"/>
        <v>0</v>
      </c>
      <c r="BA79" s="11">
        <f t="shared" si="39"/>
        <v>0</v>
      </c>
      <c r="BB79" s="11">
        <f t="shared" si="39"/>
        <v>0</v>
      </c>
      <c r="BC79" s="11">
        <f t="shared" si="39"/>
        <v>0</v>
      </c>
      <c r="BD79" s="11">
        <f t="shared" si="39"/>
        <v>0</v>
      </c>
      <c r="BE79" s="11">
        <f t="shared" si="39"/>
        <v>0</v>
      </c>
      <c r="BF79" s="11">
        <f t="shared" si="39"/>
        <v>0</v>
      </c>
      <c r="BG79" s="11">
        <f t="shared" si="39"/>
        <v>0</v>
      </c>
      <c r="BH79" s="11">
        <f t="shared" si="39"/>
        <v>0</v>
      </c>
      <c r="BI79" s="11">
        <f t="shared" si="39"/>
        <v>0</v>
      </c>
      <c r="BJ79" s="11">
        <f t="shared" si="39"/>
        <v>0</v>
      </c>
      <c r="BK79" s="11">
        <f t="shared" si="39"/>
        <v>0</v>
      </c>
      <c r="BL79" s="11">
        <f t="shared" si="39"/>
        <v>0</v>
      </c>
      <c r="BM79" s="11">
        <f t="shared" si="39"/>
        <v>0</v>
      </c>
      <c r="BN79" s="11">
        <f t="shared" si="39"/>
        <v>0</v>
      </c>
      <c r="BO79" s="11">
        <f t="shared" si="39"/>
        <v>0</v>
      </c>
      <c r="BP79" s="11">
        <f t="shared" ref="BP79:CZ79" si="40">SUMPRODUCT($B72:$B78,BP72:BP78)</f>
        <v>0</v>
      </c>
      <c r="BQ79" s="11">
        <f t="shared" si="40"/>
        <v>0</v>
      </c>
      <c r="BR79" s="11">
        <f t="shared" si="40"/>
        <v>0</v>
      </c>
      <c r="BS79" s="11">
        <f t="shared" si="40"/>
        <v>0</v>
      </c>
      <c r="BT79" s="11">
        <f t="shared" si="40"/>
        <v>0</v>
      </c>
      <c r="BU79" s="11">
        <f t="shared" si="40"/>
        <v>0</v>
      </c>
      <c r="BV79" s="11">
        <f t="shared" si="40"/>
        <v>0</v>
      </c>
      <c r="BW79" s="11">
        <f t="shared" si="40"/>
        <v>0</v>
      </c>
      <c r="BX79" s="11">
        <f t="shared" si="40"/>
        <v>0</v>
      </c>
      <c r="BY79" s="11">
        <f t="shared" si="40"/>
        <v>0</v>
      </c>
      <c r="BZ79" s="11">
        <f t="shared" si="40"/>
        <v>0</v>
      </c>
      <c r="CA79" s="11">
        <f t="shared" si="40"/>
        <v>0</v>
      </c>
      <c r="CB79" s="11">
        <f t="shared" si="40"/>
        <v>0</v>
      </c>
      <c r="CC79" s="11">
        <f t="shared" si="40"/>
        <v>0</v>
      </c>
      <c r="CD79" s="11">
        <f t="shared" si="40"/>
        <v>0</v>
      </c>
      <c r="CE79" s="11">
        <f t="shared" si="40"/>
        <v>0</v>
      </c>
      <c r="CF79" s="11">
        <f t="shared" si="40"/>
        <v>0</v>
      </c>
      <c r="CG79" s="11">
        <f t="shared" si="40"/>
        <v>0</v>
      </c>
      <c r="CH79" s="11">
        <f t="shared" si="40"/>
        <v>0</v>
      </c>
      <c r="CI79" s="11">
        <f t="shared" si="40"/>
        <v>0</v>
      </c>
      <c r="CJ79" s="11">
        <f t="shared" si="40"/>
        <v>0</v>
      </c>
      <c r="CK79" s="11">
        <f t="shared" si="40"/>
        <v>0</v>
      </c>
      <c r="CL79" s="11">
        <f t="shared" si="40"/>
        <v>0</v>
      </c>
      <c r="CM79" s="11">
        <f t="shared" si="40"/>
        <v>0</v>
      </c>
      <c r="CN79" s="11">
        <f t="shared" si="40"/>
        <v>0</v>
      </c>
      <c r="CO79" s="11">
        <f t="shared" si="40"/>
        <v>0</v>
      </c>
      <c r="CP79" s="11">
        <f t="shared" si="40"/>
        <v>0</v>
      </c>
      <c r="CQ79" s="11">
        <f t="shared" si="40"/>
        <v>0</v>
      </c>
      <c r="CR79" s="11">
        <f t="shared" si="40"/>
        <v>0</v>
      </c>
      <c r="CS79" s="11">
        <f t="shared" si="40"/>
        <v>0</v>
      </c>
      <c r="CT79" s="11">
        <f t="shared" si="40"/>
        <v>0</v>
      </c>
      <c r="CU79" s="11">
        <f t="shared" si="40"/>
        <v>0</v>
      </c>
      <c r="CV79" s="11">
        <f t="shared" si="40"/>
        <v>0</v>
      </c>
      <c r="CW79" s="11">
        <f t="shared" si="40"/>
        <v>0</v>
      </c>
      <c r="CX79" s="11">
        <f t="shared" si="40"/>
        <v>0</v>
      </c>
      <c r="CY79" s="11">
        <f t="shared" si="40"/>
        <v>0</v>
      </c>
      <c r="CZ79" s="11">
        <f t="shared" si="40"/>
        <v>0</v>
      </c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</row>
    <row r="80" spans="1:122" ht="18" customHeight="1">
      <c r="A80" s="13" t="s">
        <v>57</v>
      </c>
      <c r="B80" s="14">
        <f>IFERROR(VLOOKUP(A80,PRICELIST!$A$3:$D$138,4,0),"-")</f>
        <v>78.75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9">
        <f>C80+E80+G80+I80+K80+M80+O80+Q80+S80+U80+W80+Y80+AA80+AC80+AE80+AG80+AI80+AK80+AM80+AO80+AQ80+AS80+AU80+AW80+AY80+BA80+BC80+BE80+BG80+BI80+BK80+BM80+BO80+BQ80+BS80+BU80+BW80+BY80+CA80+CC80+CE80+CG80+CI80+CK80+CM80+CO80+CQ80+CS80+CU80+CW80</f>
        <v>0</v>
      </c>
      <c r="CZ80" s="19">
        <f>D80+F80+H80+J80+L80+N80+P80+R80+T80+V80+X80+Z80+AB80+AD80+AF80+AH80+AJ80+AL80+AN80+AP80+AR80+AT80+AV80+AX80+AZ80+BB80+BD80+BF80+BH80+BJ80+BL80+BN80+BP80+BR80+BT80+BV80+BX80+BZ80+CB80+CD80+CF80+CH80+CJ80+CL80+CN80+CP80+CR80+CT80+CV80+CX80</f>
        <v>0</v>
      </c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</row>
    <row r="81" spans="1:122" ht="18" customHeight="1">
      <c r="A81" s="9" t="s">
        <v>58</v>
      </c>
      <c r="B81" s="10"/>
      <c r="C81" s="11">
        <f>SUMPRODUCT($B80*C80)</f>
        <v>0</v>
      </c>
      <c r="D81" s="11">
        <f t="shared" ref="D81:BO81" si="41">SUMPRODUCT($B80*D80)</f>
        <v>0</v>
      </c>
      <c r="E81" s="11">
        <f t="shared" si="41"/>
        <v>0</v>
      </c>
      <c r="F81" s="11">
        <f t="shared" si="41"/>
        <v>0</v>
      </c>
      <c r="G81" s="11">
        <f t="shared" si="41"/>
        <v>0</v>
      </c>
      <c r="H81" s="11">
        <f t="shared" si="41"/>
        <v>0</v>
      </c>
      <c r="I81" s="11">
        <f t="shared" si="41"/>
        <v>0</v>
      </c>
      <c r="J81" s="11">
        <f t="shared" si="41"/>
        <v>0</v>
      </c>
      <c r="K81" s="11">
        <f t="shared" si="41"/>
        <v>0</v>
      </c>
      <c r="L81" s="11">
        <f t="shared" si="41"/>
        <v>0</v>
      </c>
      <c r="M81" s="11">
        <f t="shared" si="41"/>
        <v>0</v>
      </c>
      <c r="N81" s="11">
        <f t="shared" si="41"/>
        <v>0</v>
      </c>
      <c r="O81" s="11">
        <f t="shared" si="41"/>
        <v>0</v>
      </c>
      <c r="P81" s="11">
        <f t="shared" si="41"/>
        <v>0</v>
      </c>
      <c r="Q81" s="11">
        <f t="shared" si="41"/>
        <v>0</v>
      </c>
      <c r="R81" s="11">
        <f t="shared" si="41"/>
        <v>0</v>
      </c>
      <c r="S81" s="11">
        <f t="shared" si="41"/>
        <v>0</v>
      </c>
      <c r="T81" s="11">
        <f t="shared" si="41"/>
        <v>0</v>
      </c>
      <c r="U81" s="11">
        <f t="shared" si="41"/>
        <v>0</v>
      </c>
      <c r="V81" s="11">
        <f t="shared" si="41"/>
        <v>0</v>
      </c>
      <c r="W81" s="11">
        <f t="shared" si="41"/>
        <v>0</v>
      </c>
      <c r="X81" s="11">
        <f t="shared" si="41"/>
        <v>0</v>
      </c>
      <c r="Y81" s="11">
        <f t="shared" si="41"/>
        <v>0</v>
      </c>
      <c r="Z81" s="11">
        <f t="shared" si="41"/>
        <v>0</v>
      </c>
      <c r="AA81" s="11">
        <f t="shared" si="41"/>
        <v>0</v>
      </c>
      <c r="AB81" s="11">
        <f t="shared" si="41"/>
        <v>0</v>
      </c>
      <c r="AC81" s="11">
        <f t="shared" si="41"/>
        <v>0</v>
      </c>
      <c r="AD81" s="11">
        <f t="shared" si="41"/>
        <v>0</v>
      </c>
      <c r="AE81" s="11">
        <f t="shared" si="41"/>
        <v>0</v>
      </c>
      <c r="AF81" s="11">
        <f t="shared" si="41"/>
        <v>0</v>
      </c>
      <c r="AG81" s="11">
        <f t="shared" si="41"/>
        <v>0</v>
      </c>
      <c r="AH81" s="11">
        <f t="shared" si="41"/>
        <v>0</v>
      </c>
      <c r="AI81" s="11">
        <f t="shared" si="41"/>
        <v>0</v>
      </c>
      <c r="AJ81" s="11">
        <f t="shared" si="41"/>
        <v>0</v>
      </c>
      <c r="AK81" s="11">
        <f t="shared" si="41"/>
        <v>0</v>
      </c>
      <c r="AL81" s="11">
        <f t="shared" si="41"/>
        <v>0</v>
      </c>
      <c r="AM81" s="11">
        <f t="shared" si="41"/>
        <v>0</v>
      </c>
      <c r="AN81" s="11">
        <f t="shared" si="41"/>
        <v>0</v>
      </c>
      <c r="AO81" s="11">
        <f t="shared" si="41"/>
        <v>0</v>
      </c>
      <c r="AP81" s="11">
        <f t="shared" si="41"/>
        <v>0</v>
      </c>
      <c r="AQ81" s="11">
        <f t="shared" si="41"/>
        <v>0</v>
      </c>
      <c r="AR81" s="11">
        <f t="shared" si="41"/>
        <v>0</v>
      </c>
      <c r="AS81" s="11">
        <f t="shared" si="41"/>
        <v>0</v>
      </c>
      <c r="AT81" s="11">
        <f t="shared" si="41"/>
        <v>0</v>
      </c>
      <c r="AU81" s="11">
        <f t="shared" si="41"/>
        <v>0</v>
      </c>
      <c r="AV81" s="11">
        <f t="shared" si="41"/>
        <v>0</v>
      </c>
      <c r="AW81" s="11">
        <f t="shared" si="41"/>
        <v>0</v>
      </c>
      <c r="AX81" s="11">
        <f t="shared" si="41"/>
        <v>0</v>
      </c>
      <c r="AY81" s="11">
        <f t="shared" si="41"/>
        <v>0</v>
      </c>
      <c r="AZ81" s="11">
        <f t="shared" si="41"/>
        <v>0</v>
      </c>
      <c r="BA81" s="11">
        <f t="shared" si="41"/>
        <v>0</v>
      </c>
      <c r="BB81" s="11">
        <f t="shared" si="41"/>
        <v>0</v>
      </c>
      <c r="BC81" s="11">
        <f t="shared" si="41"/>
        <v>0</v>
      </c>
      <c r="BD81" s="11">
        <f t="shared" si="41"/>
        <v>0</v>
      </c>
      <c r="BE81" s="11">
        <f t="shared" si="41"/>
        <v>0</v>
      </c>
      <c r="BF81" s="11">
        <f t="shared" si="41"/>
        <v>0</v>
      </c>
      <c r="BG81" s="11">
        <f t="shared" si="41"/>
        <v>0</v>
      </c>
      <c r="BH81" s="11">
        <f t="shared" si="41"/>
        <v>0</v>
      </c>
      <c r="BI81" s="11">
        <f t="shared" si="41"/>
        <v>0</v>
      </c>
      <c r="BJ81" s="11">
        <f t="shared" si="41"/>
        <v>0</v>
      </c>
      <c r="BK81" s="11">
        <f t="shared" si="41"/>
        <v>0</v>
      </c>
      <c r="BL81" s="11">
        <f t="shared" si="41"/>
        <v>0</v>
      </c>
      <c r="BM81" s="11">
        <f t="shared" si="41"/>
        <v>0</v>
      </c>
      <c r="BN81" s="11">
        <f t="shared" si="41"/>
        <v>0</v>
      </c>
      <c r="BO81" s="11">
        <f t="shared" si="41"/>
        <v>0</v>
      </c>
      <c r="BP81" s="11">
        <f t="shared" ref="BP81:CZ81" si="42">SUMPRODUCT($B80*BP80)</f>
        <v>0</v>
      </c>
      <c r="BQ81" s="11">
        <f t="shared" si="42"/>
        <v>0</v>
      </c>
      <c r="BR81" s="11">
        <f t="shared" si="42"/>
        <v>0</v>
      </c>
      <c r="BS81" s="11">
        <f t="shared" si="42"/>
        <v>0</v>
      </c>
      <c r="BT81" s="11">
        <f t="shared" si="42"/>
        <v>0</v>
      </c>
      <c r="BU81" s="11">
        <f t="shared" si="42"/>
        <v>0</v>
      </c>
      <c r="BV81" s="11">
        <f t="shared" si="42"/>
        <v>0</v>
      </c>
      <c r="BW81" s="11">
        <f t="shared" si="42"/>
        <v>0</v>
      </c>
      <c r="BX81" s="11">
        <f t="shared" si="42"/>
        <v>0</v>
      </c>
      <c r="BY81" s="11">
        <f t="shared" si="42"/>
        <v>0</v>
      </c>
      <c r="BZ81" s="11">
        <f t="shared" si="42"/>
        <v>0</v>
      </c>
      <c r="CA81" s="11">
        <f t="shared" si="42"/>
        <v>0</v>
      </c>
      <c r="CB81" s="11">
        <f t="shared" si="42"/>
        <v>0</v>
      </c>
      <c r="CC81" s="11">
        <f t="shared" si="42"/>
        <v>0</v>
      </c>
      <c r="CD81" s="11">
        <f t="shared" si="42"/>
        <v>0</v>
      </c>
      <c r="CE81" s="11">
        <f t="shared" si="42"/>
        <v>0</v>
      </c>
      <c r="CF81" s="11">
        <f t="shared" si="42"/>
        <v>0</v>
      </c>
      <c r="CG81" s="11">
        <f t="shared" si="42"/>
        <v>0</v>
      </c>
      <c r="CH81" s="11">
        <f t="shared" si="42"/>
        <v>0</v>
      </c>
      <c r="CI81" s="11">
        <f t="shared" si="42"/>
        <v>0</v>
      </c>
      <c r="CJ81" s="11">
        <f t="shared" si="42"/>
        <v>0</v>
      </c>
      <c r="CK81" s="11">
        <f t="shared" si="42"/>
        <v>0</v>
      </c>
      <c r="CL81" s="11">
        <f t="shared" si="42"/>
        <v>0</v>
      </c>
      <c r="CM81" s="11">
        <f t="shared" si="42"/>
        <v>0</v>
      </c>
      <c r="CN81" s="11">
        <f t="shared" si="42"/>
        <v>0</v>
      </c>
      <c r="CO81" s="11">
        <f t="shared" si="42"/>
        <v>0</v>
      </c>
      <c r="CP81" s="11">
        <f t="shared" si="42"/>
        <v>0</v>
      </c>
      <c r="CQ81" s="11">
        <f t="shared" si="42"/>
        <v>0</v>
      </c>
      <c r="CR81" s="11">
        <f t="shared" si="42"/>
        <v>0</v>
      </c>
      <c r="CS81" s="11">
        <f t="shared" si="42"/>
        <v>0</v>
      </c>
      <c r="CT81" s="11">
        <f t="shared" si="42"/>
        <v>0</v>
      </c>
      <c r="CU81" s="11">
        <f t="shared" si="42"/>
        <v>0</v>
      </c>
      <c r="CV81" s="11">
        <f t="shared" si="42"/>
        <v>0</v>
      </c>
      <c r="CW81" s="11">
        <f t="shared" si="42"/>
        <v>0</v>
      </c>
      <c r="CX81" s="11">
        <f t="shared" si="42"/>
        <v>0</v>
      </c>
      <c r="CY81" s="11">
        <f t="shared" si="42"/>
        <v>0</v>
      </c>
      <c r="CZ81" s="11">
        <f t="shared" si="42"/>
        <v>0</v>
      </c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</row>
    <row r="82" spans="1:122" ht="18" customHeight="1">
      <c r="A82" s="13" t="s">
        <v>59</v>
      </c>
      <c r="B82" s="14">
        <f>IFERROR(VLOOKUP(A82,PRICELIST!$A$3:$D$138,4,0),"-")</f>
        <v>276.11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9">
        <f t="shared" ref="CY82:CZ84" si="43">C82+E82+G82+I82+K82+M82+O82+Q82+S82+U82+W82+Y82+AA82+AC82+AE82+AG82+AI82+AK82+AM82+AO82+AQ82+AS82+AU82+AW82+AY82+BA82+BC82+BE82+BG82+BI82+BK82+BM82+BO82+BQ82+BS82+BU82+BW82+BY82+CA82+CC82+CE82+CG82+CI82+CK82+CM82+CO82+CQ82+CS82+CU82+CW82</f>
        <v>0</v>
      </c>
      <c r="CZ82" s="19">
        <f t="shared" si="43"/>
        <v>0</v>
      </c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</row>
    <row r="83" spans="1:122" ht="18" customHeight="1">
      <c r="A83" s="13" t="s">
        <v>60</v>
      </c>
      <c r="B83" s="14">
        <f>IFERROR(VLOOKUP(A83,PRICELIST!$A$3:$D$138,4,0),"-")</f>
        <v>75.540000000000006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9">
        <f t="shared" si="43"/>
        <v>0</v>
      </c>
      <c r="CZ83" s="19">
        <f t="shared" si="43"/>
        <v>0</v>
      </c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</row>
    <row r="84" spans="1:122" ht="18" customHeight="1">
      <c r="A84" s="13" t="s">
        <v>61</v>
      </c>
      <c r="B84" s="14">
        <f>IFERROR(VLOOKUP(A84,PRICELIST!$A$3:$D$138,4,0),"-")</f>
        <v>145.93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9">
        <f t="shared" si="43"/>
        <v>0</v>
      </c>
      <c r="CZ84" s="19">
        <f t="shared" si="43"/>
        <v>0</v>
      </c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</row>
    <row r="85" spans="1:122" ht="18" customHeight="1">
      <c r="A85" s="13" t="s">
        <v>62</v>
      </c>
      <c r="B85" s="14">
        <f>IFERROR(VLOOKUP(A85,PRICELIST!$A$3:$D$138,4,0),"-")</f>
        <v>149.79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9">
        <f>C85+E85+G85+I85+K85+M85+O85+Q85+S85+U85+W85+Y85+AA85+AC85+AE85+AG85+AI85+AK85+AM85+AO85+AQ85+AS85+AU85+AW85+AY85+BA85+BC85+BE85+BG85+BI85+BK85+BM85+BO85+BQ85+BS85+BU85+BW85+BY85+CA85+CC85+CE85+CG85+CI85+CK85+CM85+CO85+CQ85+CS85+CU85+CW85</f>
        <v>0</v>
      </c>
      <c r="CZ85" s="19">
        <f>D85+F85+H85+J85+L85+N85+P85+R85+T85+V85+X85+Z85+AB85+AD85+AF85+AH85+AJ85+AL85+AN85+AP85+AR85+AT85+AV85+AX85+AZ85+BB85+BD85+BF85+BH85+BJ85+BL85+BN85+BP85+BR85+BT85+BV85+BX85+BZ85+CB85+CD85+CF85+CH85+CJ85+CL85+CN85+CP85+CR85+CT85+CV85+CX85</f>
        <v>0</v>
      </c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</row>
    <row r="86" spans="1:122" ht="18" customHeight="1">
      <c r="A86" s="13" t="s">
        <v>87</v>
      </c>
      <c r="B86" s="14">
        <f>IFERROR(VLOOKUP(A86,PRICELIST!$A$3:$D$138,4,0),"-")</f>
        <v>192.86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9">
        <f>C86+E86+G86+I86+K86+M86+O86+Q86+S86+U86+W86+Y86+AA86+AC86+AE86+AG86+AI86+AK86+AM86+AO86+AQ86+AS86+AU86+AW86+AY86+BA86+BC86+BE86+BG86+BI86+BK86+BM86+BO86+BQ86+BS86+BU86+BW86+BY86+CA86+CC86+CE86+CG86+CI86+CK86+CM86+CO86+CQ86+CS86+CU86+CW86</f>
        <v>0</v>
      </c>
      <c r="CZ86" s="19">
        <f>D86+F86+H86+J86+L86+N86+P86+R86+T86+V86+X86+Z86+AB86+AD86+AF86+AH86+AJ86+AL86+AN86+AP86+AR86+AT86+AV86+AX86+AZ86+BB86+BD86+BF86+BH86+BJ86+BL86+BN86+BP86+BR86+BT86+BV86+BX86+BZ86+CB86+CD86+CF86+CH86+CJ86+CL86+CN86+CP86+CR86+CT86+CV86+CX86</f>
        <v>0</v>
      </c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</row>
    <row r="87" spans="1:122" ht="18" customHeight="1">
      <c r="A87" s="13" t="s">
        <v>122</v>
      </c>
      <c r="B87" s="14">
        <f>IFERROR(VLOOKUP(A87,PRICELIST!$A$3:$D$138,4,0),"-")</f>
        <v>104.79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9">
        <f t="shared" ref="CY87:CZ87" si="44">C87+E87+G87+I87+K87+M87+O87+Q87+S87+U87+W87+Y87+AA87+AC87+AE87+AG87+AI87+AK87+AM87+AO87+AQ87+AS87+AU87+AW87+AY87+BA87+BC87+BE87+BG87+BI87+BK87+BM87+BO87+BQ87+BS87+BU87+BW87+BY87+CA87+CC87+CE87+CG87+CI87+CK87+CM87+CO87+CQ87+CS87+CU87+CW87</f>
        <v>0</v>
      </c>
      <c r="CZ87" s="19">
        <f t="shared" si="44"/>
        <v>0</v>
      </c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</row>
    <row r="88" spans="1:122" ht="18" customHeight="1">
      <c r="A88" s="9" t="s">
        <v>88</v>
      </c>
      <c r="B88" s="10"/>
      <c r="C88" s="11">
        <f>SUMPRODUCT($B82:$B87,C82:C87)</f>
        <v>0</v>
      </c>
      <c r="D88" s="11">
        <f t="shared" ref="D88:BO88" si="45">SUMPRODUCT($B82:$B87,D82:D87)</f>
        <v>0</v>
      </c>
      <c r="E88" s="11">
        <f t="shared" si="45"/>
        <v>0</v>
      </c>
      <c r="F88" s="11">
        <f t="shared" si="45"/>
        <v>0</v>
      </c>
      <c r="G88" s="11">
        <f t="shared" si="45"/>
        <v>0</v>
      </c>
      <c r="H88" s="11">
        <f t="shared" si="45"/>
        <v>0</v>
      </c>
      <c r="I88" s="11">
        <f t="shared" si="45"/>
        <v>0</v>
      </c>
      <c r="J88" s="11">
        <f t="shared" si="45"/>
        <v>0</v>
      </c>
      <c r="K88" s="11">
        <f t="shared" si="45"/>
        <v>0</v>
      </c>
      <c r="L88" s="11">
        <f t="shared" si="45"/>
        <v>0</v>
      </c>
      <c r="M88" s="11">
        <f t="shared" si="45"/>
        <v>0</v>
      </c>
      <c r="N88" s="11">
        <f t="shared" si="45"/>
        <v>0</v>
      </c>
      <c r="O88" s="11">
        <f t="shared" si="45"/>
        <v>0</v>
      </c>
      <c r="P88" s="11">
        <f t="shared" si="45"/>
        <v>0</v>
      </c>
      <c r="Q88" s="11">
        <f t="shared" si="45"/>
        <v>0</v>
      </c>
      <c r="R88" s="11">
        <f t="shared" si="45"/>
        <v>0</v>
      </c>
      <c r="S88" s="11">
        <f t="shared" si="45"/>
        <v>0</v>
      </c>
      <c r="T88" s="11">
        <f t="shared" si="45"/>
        <v>0</v>
      </c>
      <c r="U88" s="11">
        <f t="shared" si="45"/>
        <v>0</v>
      </c>
      <c r="V88" s="11">
        <f t="shared" si="45"/>
        <v>0</v>
      </c>
      <c r="W88" s="11">
        <f t="shared" si="45"/>
        <v>0</v>
      </c>
      <c r="X88" s="11">
        <f t="shared" si="45"/>
        <v>0</v>
      </c>
      <c r="Y88" s="11">
        <f t="shared" si="45"/>
        <v>0</v>
      </c>
      <c r="Z88" s="11">
        <f t="shared" si="45"/>
        <v>0</v>
      </c>
      <c r="AA88" s="11">
        <f t="shared" si="45"/>
        <v>0</v>
      </c>
      <c r="AB88" s="11">
        <f t="shared" si="45"/>
        <v>0</v>
      </c>
      <c r="AC88" s="11">
        <f t="shared" si="45"/>
        <v>0</v>
      </c>
      <c r="AD88" s="11">
        <f t="shared" si="45"/>
        <v>0</v>
      </c>
      <c r="AE88" s="11">
        <f t="shared" si="45"/>
        <v>0</v>
      </c>
      <c r="AF88" s="11">
        <f t="shared" si="45"/>
        <v>0</v>
      </c>
      <c r="AG88" s="11">
        <f t="shared" si="45"/>
        <v>0</v>
      </c>
      <c r="AH88" s="11">
        <f t="shared" si="45"/>
        <v>0</v>
      </c>
      <c r="AI88" s="11">
        <f t="shared" si="45"/>
        <v>0</v>
      </c>
      <c r="AJ88" s="11">
        <f t="shared" si="45"/>
        <v>0</v>
      </c>
      <c r="AK88" s="11">
        <f t="shared" si="45"/>
        <v>0</v>
      </c>
      <c r="AL88" s="11">
        <f t="shared" si="45"/>
        <v>0</v>
      </c>
      <c r="AM88" s="11">
        <f t="shared" si="45"/>
        <v>0</v>
      </c>
      <c r="AN88" s="11">
        <f t="shared" si="45"/>
        <v>0</v>
      </c>
      <c r="AO88" s="11">
        <f t="shared" si="45"/>
        <v>0</v>
      </c>
      <c r="AP88" s="11">
        <f t="shared" si="45"/>
        <v>0</v>
      </c>
      <c r="AQ88" s="11">
        <f t="shared" si="45"/>
        <v>0</v>
      </c>
      <c r="AR88" s="11">
        <f t="shared" si="45"/>
        <v>0</v>
      </c>
      <c r="AS88" s="11">
        <f t="shared" si="45"/>
        <v>0</v>
      </c>
      <c r="AT88" s="11">
        <f t="shared" si="45"/>
        <v>0</v>
      </c>
      <c r="AU88" s="11">
        <f t="shared" si="45"/>
        <v>0</v>
      </c>
      <c r="AV88" s="11">
        <f t="shared" si="45"/>
        <v>0</v>
      </c>
      <c r="AW88" s="11">
        <f t="shared" si="45"/>
        <v>0</v>
      </c>
      <c r="AX88" s="11">
        <f t="shared" si="45"/>
        <v>0</v>
      </c>
      <c r="AY88" s="11">
        <f t="shared" si="45"/>
        <v>0</v>
      </c>
      <c r="AZ88" s="11">
        <f t="shared" si="45"/>
        <v>0</v>
      </c>
      <c r="BA88" s="11">
        <f t="shared" si="45"/>
        <v>0</v>
      </c>
      <c r="BB88" s="11">
        <f t="shared" si="45"/>
        <v>0</v>
      </c>
      <c r="BC88" s="11">
        <f t="shared" si="45"/>
        <v>0</v>
      </c>
      <c r="BD88" s="11">
        <f t="shared" si="45"/>
        <v>0</v>
      </c>
      <c r="BE88" s="11">
        <f t="shared" si="45"/>
        <v>0</v>
      </c>
      <c r="BF88" s="11">
        <f t="shared" si="45"/>
        <v>0</v>
      </c>
      <c r="BG88" s="11">
        <f t="shared" si="45"/>
        <v>0</v>
      </c>
      <c r="BH88" s="11">
        <f t="shared" si="45"/>
        <v>0</v>
      </c>
      <c r="BI88" s="11">
        <f t="shared" si="45"/>
        <v>0</v>
      </c>
      <c r="BJ88" s="11">
        <f t="shared" si="45"/>
        <v>0</v>
      </c>
      <c r="BK88" s="11">
        <f t="shared" si="45"/>
        <v>0</v>
      </c>
      <c r="BL88" s="11">
        <f t="shared" si="45"/>
        <v>0</v>
      </c>
      <c r="BM88" s="11">
        <f t="shared" si="45"/>
        <v>0</v>
      </c>
      <c r="BN88" s="11">
        <f t="shared" si="45"/>
        <v>0</v>
      </c>
      <c r="BO88" s="11">
        <f t="shared" si="45"/>
        <v>0</v>
      </c>
      <c r="BP88" s="11">
        <f t="shared" ref="BP88:CZ88" si="46">SUMPRODUCT($B82:$B87,BP82:BP87)</f>
        <v>0</v>
      </c>
      <c r="BQ88" s="11">
        <f t="shared" si="46"/>
        <v>0</v>
      </c>
      <c r="BR88" s="11">
        <f t="shared" si="46"/>
        <v>0</v>
      </c>
      <c r="BS88" s="11">
        <f t="shared" si="46"/>
        <v>0</v>
      </c>
      <c r="BT88" s="11">
        <f t="shared" si="46"/>
        <v>0</v>
      </c>
      <c r="BU88" s="11">
        <f t="shared" si="46"/>
        <v>0</v>
      </c>
      <c r="BV88" s="11">
        <f t="shared" si="46"/>
        <v>0</v>
      </c>
      <c r="BW88" s="11">
        <f t="shared" si="46"/>
        <v>0</v>
      </c>
      <c r="BX88" s="11">
        <f t="shared" si="46"/>
        <v>0</v>
      </c>
      <c r="BY88" s="11">
        <f t="shared" si="46"/>
        <v>0</v>
      </c>
      <c r="BZ88" s="11">
        <f t="shared" si="46"/>
        <v>0</v>
      </c>
      <c r="CA88" s="11">
        <f t="shared" si="46"/>
        <v>0</v>
      </c>
      <c r="CB88" s="11">
        <f t="shared" si="46"/>
        <v>0</v>
      </c>
      <c r="CC88" s="11">
        <f t="shared" si="46"/>
        <v>0</v>
      </c>
      <c r="CD88" s="11">
        <f t="shared" si="46"/>
        <v>0</v>
      </c>
      <c r="CE88" s="11">
        <f t="shared" si="46"/>
        <v>0</v>
      </c>
      <c r="CF88" s="11">
        <f t="shared" si="46"/>
        <v>0</v>
      </c>
      <c r="CG88" s="11">
        <f t="shared" si="46"/>
        <v>0</v>
      </c>
      <c r="CH88" s="11">
        <f t="shared" si="46"/>
        <v>0</v>
      </c>
      <c r="CI88" s="11">
        <f t="shared" si="46"/>
        <v>0</v>
      </c>
      <c r="CJ88" s="11">
        <f t="shared" si="46"/>
        <v>0</v>
      </c>
      <c r="CK88" s="11">
        <f t="shared" si="46"/>
        <v>0</v>
      </c>
      <c r="CL88" s="11">
        <f t="shared" si="46"/>
        <v>0</v>
      </c>
      <c r="CM88" s="11">
        <f t="shared" si="46"/>
        <v>0</v>
      </c>
      <c r="CN88" s="11">
        <f t="shared" si="46"/>
        <v>0</v>
      </c>
      <c r="CO88" s="11">
        <f t="shared" si="46"/>
        <v>0</v>
      </c>
      <c r="CP88" s="11">
        <f t="shared" si="46"/>
        <v>0</v>
      </c>
      <c r="CQ88" s="11">
        <f t="shared" si="46"/>
        <v>0</v>
      </c>
      <c r="CR88" s="11">
        <f t="shared" si="46"/>
        <v>0</v>
      </c>
      <c r="CS88" s="11">
        <f t="shared" si="46"/>
        <v>0</v>
      </c>
      <c r="CT88" s="11">
        <f t="shared" si="46"/>
        <v>0</v>
      </c>
      <c r="CU88" s="11">
        <f t="shared" si="46"/>
        <v>0</v>
      </c>
      <c r="CV88" s="11">
        <f t="shared" si="46"/>
        <v>0</v>
      </c>
      <c r="CW88" s="11">
        <f t="shared" si="46"/>
        <v>0</v>
      </c>
      <c r="CX88" s="11">
        <f t="shared" si="46"/>
        <v>0</v>
      </c>
      <c r="CY88" s="11">
        <f t="shared" si="46"/>
        <v>0</v>
      </c>
      <c r="CZ88" s="11">
        <f t="shared" si="46"/>
        <v>0</v>
      </c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</row>
    <row r="89" spans="1:122" ht="18" customHeight="1">
      <c r="A89" s="13" t="s">
        <v>63</v>
      </c>
      <c r="B89" s="14">
        <f>IFERROR(VLOOKUP(A89,PRICELIST!$A$3:$D$138,4,0),"-")</f>
        <v>172.53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9">
        <f t="shared" ref="CY89:CZ91" si="47">C89+E89+G89+I89+K89+M89+O89+Q89+S89+U89+W89+Y89+AA89+AC89+AE89+AG89+AI89+AK89+AM89+AO89+AQ89+AS89+AU89+AW89+AY89+BA89+BC89+BE89+BG89+BI89+BK89+BM89+BO89+BQ89+BS89+BU89+BW89+BY89+CA89+CC89+CE89+CG89+CI89+CK89+CM89+CO89+CQ89+CS89+CU89+CW89</f>
        <v>0</v>
      </c>
      <c r="CZ89" s="19">
        <f t="shared" si="47"/>
        <v>0</v>
      </c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</row>
    <row r="90" spans="1:122" ht="18" customHeight="1">
      <c r="A90" s="13" t="s">
        <v>64</v>
      </c>
      <c r="B90" s="14">
        <f>IFERROR(VLOOKUP(A90,PRICELIST!$A$3:$D$138,4,0),"-")</f>
        <v>50.46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9">
        <f t="shared" si="47"/>
        <v>0</v>
      </c>
      <c r="CZ90" s="19">
        <f t="shared" si="47"/>
        <v>0</v>
      </c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</row>
    <row r="91" spans="1:122" ht="18" customHeight="1">
      <c r="A91" s="13" t="s">
        <v>65</v>
      </c>
      <c r="B91" s="14">
        <f>IFERROR(VLOOKUP(A91,PRICELIST!$A$3:$D$138,4,0),"-")</f>
        <v>99.64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9">
        <f t="shared" si="47"/>
        <v>0</v>
      </c>
      <c r="CZ91" s="19">
        <f t="shared" si="47"/>
        <v>0</v>
      </c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</row>
    <row r="92" spans="1:122" ht="18" customHeight="1">
      <c r="A92" s="9" t="s">
        <v>66</v>
      </c>
      <c r="B92" s="10"/>
      <c r="C92" s="11">
        <f>SUMPRODUCT($B89:$B91,C89:C91)</f>
        <v>0</v>
      </c>
      <c r="D92" s="11">
        <f t="shared" ref="D92:BO92" si="48">SUMPRODUCT($B89:$B91,D89:D91)</f>
        <v>0</v>
      </c>
      <c r="E92" s="11">
        <f t="shared" si="48"/>
        <v>0</v>
      </c>
      <c r="F92" s="11">
        <f t="shared" si="48"/>
        <v>0</v>
      </c>
      <c r="G92" s="11">
        <f t="shared" si="48"/>
        <v>0</v>
      </c>
      <c r="H92" s="11">
        <f t="shared" si="48"/>
        <v>0</v>
      </c>
      <c r="I92" s="11">
        <f t="shared" si="48"/>
        <v>0</v>
      </c>
      <c r="J92" s="11">
        <f t="shared" si="48"/>
        <v>0</v>
      </c>
      <c r="K92" s="11">
        <f t="shared" si="48"/>
        <v>0</v>
      </c>
      <c r="L92" s="11">
        <f t="shared" si="48"/>
        <v>0</v>
      </c>
      <c r="M92" s="11">
        <f t="shared" si="48"/>
        <v>0</v>
      </c>
      <c r="N92" s="11">
        <f t="shared" si="48"/>
        <v>0</v>
      </c>
      <c r="O92" s="11">
        <f t="shared" si="48"/>
        <v>0</v>
      </c>
      <c r="P92" s="11">
        <f t="shared" si="48"/>
        <v>0</v>
      </c>
      <c r="Q92" s="11">
        <f t="shared" si="48"/>
        <v>0</v>
      </c>
      <c r="R92" s="11">
        <f t="shared" si="48"/>
        <v>0</v>
      </c>
      <c r="S92" s="11">
        <f t="shared" si="48"/>
        <v>0</v>
      </c>
      <c r="T92" s="11">
        <f t="shared" si="48"/>
        <v>0</v>
      </c>
      <c r="U92" s="11">
        <f t="shared" si="48"/>
        <v>0</v>
      </c>
      <c r="V92" s="11">
        <f t="shared" si="48"/>
        <v>0</v>
      </c>
      <c r="W92" s="11">
        <f t="shared" si="48"/>
        <v>0</v>
      </c>
      <c r="X92" s="11">
        <f t="shared" si="48"/>
        <v>0</v>
      </c>
      <c r="Y92" s="11">
        <f t="shared" si="48"/>
        <v>0</v>
      </c>
      <c r="Z92" s="11">
        <f t="shared" si="48"/>
        <v>0</v>
      </c>
      <c r="AA92" s="11">
        <f t="shared" si="48"/>
        <v>0</v>
      </c>
      <c r="AB92" s="11">
        <f t="shared" si="48"/>
        <v>0</v>
      </c>
      <c r="AC92" s="11">
        <f t="shared" si="48"/>
        <v>0</v>
      </c>
      <c r="AD92" s="11">
        <f t="shared" si="48"/>
        <v>0</v>
      </c>
      <c r="AE92" s="11">
        <f t="shared" si="48"/>
        <v>0</v>
      </c>
      <c r="AF92" s="11">
        <f t="shared" si="48"/>
        <v>0</v>
      </c>
      <c r="AG92" s="11">
        <f t="shared" si="48"/>
        <v>0</v>
      </c>
      <c r="AH92" s="11">
        <f t="shared" si="48"/>
        <v>0</v>
      </c>
      <c r="AI92" s="11">
        <f t="shared" si="48"/>
        <v>0</v>
      </c>
      <c r="AJ92" s="11">
        <f t="shared" si="48"/>
        <v>0</v>
      </c>
      <c r="AK92" s="11">
        <f t="shared" si="48"/>
        <v>0</v>
      </c>
      <c r="AL92" s="11">
        <f t="shared" si="48"/>
        <v>0</v>
      </c>
      <c r="AM92" s="11">
        <f t="shared" si="48"/>
        <v>0</v>
      </c>
      <c r="AN92" s="11">
        <f t="shared" si="48"/>
        <v>0</v>
      </c>
      <c r="AO92" s="11">
        <f t="shared" si="48"/>
        <v>0</v>
      </c>
      <c r="AP92" s="11">
        <f t="shared" si="48"/>
        <v>0</v>
      </c>
      <c r="AQ92" s="11">
        <f t="shared" si="48"/>
        <v>0</v>
      </c>
      <c r="AR92" s="11">
        <f t="shared" si="48"/>
        <v>0</v>
      </c>
      <c r="AS92" s="11">
        <f t="shared" si="48"/>
        <v>0</v>
      </c>
      <c r="AT92" s="11">
        <f t="shared" si="48"/>
        <v>0</v>
      </c>
      <c r="AU92" s="11">
        <f t="shared" si="48"/>
        <v>0</v>
      </c>
      <c r="AV92" s="11">
        <f t="shared" si="48"/>
        <v>0</v>
      </c>
      <c r="AW92" s="11">
        <f t="shared" si="48"/>
        <v>0</v>
      </c>
      <c r="AX92" s="11">
        <f t="shared" si="48"/>
        <v>0</v>
      </c>
      <c r="AY92" s="11">
        <f t="shared" si="48"/>
        <v>0</v>
      </c>
      <c r="AZ92" s="11">
        <f t="shared" si="48"/>
        <v>0</v>
      </c>
      <c r="BA92" s="11">
        <f t="shared" si="48"/>
        <v>0</v>
      </c>
      <c r="BB92" s="11">
        <f t="shared" si="48"/>
        <v>0</v>
      </c>
      <c r="BC92" s="11">
        <f t="shared" si="48"/>
        <v>0</v>
      </c>
      <c r="BD92" s="11">
        <f t="shared" si="48"/>
        <v>0</v>
      </c>
      <c r="BE92" s="11">
        <f t="shared" si="48"/>
        <v>0</v>
      </c>
      <c r="BF92" s="11">
        <f t="shared" si="48"/>
        <v>0</v>
      </c>
      <c r="BG92" s="11">
        <f t="shared" si="48"/>
        <v>0</v>
      </c>
      <c r="BH92" s="11">
        <f t="shared" si="48"/>
        <v>0</v>
      </c>
      <c r="BI92" s="11">
        <f t="shared" si="48"/>
        <v>0</v>
      </c>
      <c r="BJ92" s="11">
        <f t="shared" si="48"/>
        <v>0</v>
      </c>
      <c r="BK92" s="11">
        <f t="shared" si="48"/>
        <v>0</v>
      </c>
      <c r="BL92" s="11">
        <f t="shared" si="48"/>
        <v>0</v>
      </c>
      <c r="BM92" s="11">
        <f t="shared" si="48"/>
        <v>0</v>
      </c>
      <c r="BN92" s="11">
        <f t="shared" si="48"/>
        <v>0</v>
      </c>
      <c r="BO92" s="11">
        <f t="shared" si="48"/>
        <v>0</v>
      </c>
      <c r="BP92" s="11">
        <f t="shared" ref="BP92:CZ92" si="49">SUMPRODUCT($B89:$B91,BP89:BP91)</f>
        <v>0</v>
      </c>
      <c r="BQ92" s="11">
        <f t="shared" si="49"/>
        <v>0</v>
      </c>
      <c r="BR92" s="11">
        <f t="shared" si="49"/>
        <v>0</v>
      </c>
      <c r="BS92" s="11">
        <f t="shared" si="49"/>
        <v>0</v>
      </c>
      <c r="BT92" s="11">
        <f t="shared" si="49"/>
        <v>0</v>
      </c>
      <c r="BU92" s="11">
        <f t="shared" si="49"/>
        <v>0</v>
      </c>
      <c r="BV92" s="11">
        <f t="shared" si="49"/>
        <v>0</v>
      </c>
      <c r="BW92" s="11">
        <f t="shared" si="49"/>
        <v>0</v>
      </c>
      <c r="BX92" s="11">
        <f t="shared" si="49"/>
        <v>0</v>
      </c>
      <c r="BY92" s="11">
        <f t="shared" si="49"/>
        <v>0</v>
      </c>
      <c r="BZ92" s="11">
        <f t="shared" si="49"/>
        <v>0</v>
      </c>
      <c r="CA92" s="11">
        <f t="shared" si="49"/>
        <v>0</v>
      </c>
      <c r="CB92" s="11">
        <f t="shared" si="49"/>
        <v>0</v>
      </c>
      <c r="CC92" s="11">
        <f t="shared" si="49"/>
        <v>0</v>
      </c>
      <c r="CD92" s="11">
        <f t="shared" si="49"/>
        <v>0</v>
      </c>
      <c r="CE92" s="11">
        <f t="shared" si="49"/>
        <v>0</v>
      </c>
      <c r="CF92" s="11">
        <f t="shared" si="49"/>
        <v>0</v>
      </c>
      <c r="CG92" s="11">
        <f t="shared" si="49"/>
        <v>0</v>
      </c>
      <c r="CH92" s="11">
        <f t="shared" si="49"/>
        <v>0</v>
      </c>
      <c r="CI92" s="11">
        <f t="shared" si="49"/>
        <v>0</v>
      </c>
      <c r="CJ92" s="11">
        <f t="shared" si="49"/>
        <v>0</v>
      </c>
      <c r="CK92" s="11">
        <f t="shared" si="49"/>
        <v>0</v>
      </c>
      <c r="CL92" s="11">
        <f t="shared" si="49"/>
        <v>0</v>
      </c>
      <c r="CM92" s="11">
        <f t="shared" si="49"/>
        <v>0</v>
      </c>
      <c r="CN92" s="11">
        <f t="shared" si="49"/>
        <v>0</v>
      </c>
      <c r="CO92" s="11">
        <f t="shared" si="49"/>
        <v>0</v>
      </c>
      <c r="CP92" s="11">
        <f t="shared" si="49"/>
        <v>0</v>
      </c>
      <c r="CQ92" s="11">
        <f t="shared" si="49"/>
        <v>0</v>
      </c>
      <c r="CR92" s="11">
        <f t="shared" si="49"/>
        <v>0</v>
      </c>
      <c r="CS92" s="11">
        <f t="shared" si="49"/>
        <v>0</v>
      </c>
      <c r="CT92" s="11">
        <f t="shared" si="49"/>
        <v>0</v>
      </c>
      <c r="CU92" s="11">
        <f t="shared" si="49"/>
        <v>0</v>
      </c>
      <c r="CV92" s="11">
        <f t="shared" si="49"/>
        <v>0</v>
      </c>
      <c r="CW92" s="11">
        <f t="shared" si="49"/>
        <v>0</v>
      </c>
      <c r="CX92" s="11">
        <f t="shared" si="49"/>
        <v>0</v>
      </c>
      <c r="CY92" s="11">
        <f t="shared" si="49"/>
        <v>0</v>
      </c>
      <c r="CZ92" s="11">
        <f t="shared" si="49"/>
        <v>0</v>
      </c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</row>
    <row r="93" spans="1:122" ht="18" customHeight="1">
      <c r="A93" s="13" t="s">
        <v>67</v>
      </c>
      <c r="B93" s="14">
        <f>IFERROR(VLOOKUP(A93,PRICELIST!$A$3:$D$138,4,0),"-")</f>
        <v>140.13999999999999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9">
        <f t="shared" ref="CY93:CZ94" si="50">C93+E93+G93+I93+K93+M93+O93+Q93+S93+U93+W93+Y93+AA93+AC93+AE93+AG93+AI93+AK93+AM93+AO93+AQ93+AS93+AU93+AW93+AY93+BA93+BC93+BE93+BG93+BI93+BK93+BM93+BO93+BQ93+BS93+BU93+BW93+BY93+CA93+CC93+CE93+CG93+CI93+CK93+CM93+CO93+CQ93+CS93+CU93+CW93</f>
        <v>0</v>
      </c>
      <c r="CZ93" s="19">
        <f t="shared" si="50"/>
        <v>0</v>
      </c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</row>
    <row r="94" spans="1:122" ht="18" customHeight="1">
      <c r="A94" s="13" t="s">
        <v>68</v>
      </c>
      <c r="B94" s="14">
        <f>IFERROR(VLOOKUP(A94,PRICELIST!$A$3:$D$138,4,0),"-")</f>
        <v>203.14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9">
        <f t="shared" si="50"/>
        <v>0</v>
      </c>
      <c r="CZ94" s="19">
        <f t="shared" si="50"/>
        <v>0</v>
      </c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</row>
    <row r="95" spans="1:122" ht="18" customHeight="1">
      <c r="A95" s="9" t="s">
        <v>69</v>
      </c>
      <c r="B95" s="10"/>
      <c r="C95" s="11">
        <f>SUMPRODUCT($B93:$B94,C93:C94)</f>
        <v>0</v>
      </c>
      <c r="D95" s="11">
        <f t="shared" ref="D95:BO95" si="51">SUMPRODUCT($B93:$B94,D93:D94)</f>
        <v>0</v>
      </c>
      <c r="E95" s="11">
        <f t="shared" si="51"/>
        <v>0</v>
      </c>
      <c r="F95" s="11">
        <f t="shared" si="51"/>
        <v>0</v>
      </c>
      <c r="G95" s="11">
        <f t="shared" si="51"/>
        <v>0</v>
      </c>
      <c r="H95" s="11">
        <f t="shared" si="51"/>
        <v>0</v>
      </c>
      <c r="I95" s="11">
        <f t="shared" si="51"/>
        <v>0</v>
      </c>
      <c r="J95" s="11">
        <f t="shared" si="51"/>
        <v>0</v>
      </c>
      <c r="K95" s="11">
        <f t="shared" si="51"/>
        <v>0</v>
      </c>
      <c r="L95" s="11">
        <f t="shared" si="51"/>
        <v>0</v>
      </c>
      <c r="M95" s="11">
        <f t="shared" si="51"/>
        <v>0</v>
      </c>
      <c r="N95" s="11">
        <f t="shared" si="51"/>
        <v>0</v>
      </c>
      <c r="O95" s="11">
        <f t="shared" si="51"/>
        <v>0</v>
      </c>
      <c r="P95" s="11">
        <f t="shared" si="51"/>
        <v>0</v>
      </c>
      <c r="Q95" s="11">
        <f t="shared" si="51"/>
        <v>0</v>
      </c>
      <c r="R95" s="11">
        <f t="shared" si="51"/>
        <v>0</v>
      </c>
      <c r="S95" s="11">
        <f t="shared" si="51"/>
        <v>0</v>
      </c>
      <c r="T95" s="11">
        <f t="shared" si="51"/>
        <v>0</v>
      </c>
      <c r="U95" s="11">
        <f t="shared" si="51"/>
        <v>0</v>
      </c>
      <c r="V95" s="11">
        <f t="shared" si="51"/>
        <v>0</v>
      </c>
      <c r="W95" s="11">
        <f t="shared" si="51"/>
        <v>0</v>
      </c>
      <c r="X95" s="11">
        <f t="shared" si="51"/>
        <v>0</v>
      </c>
      <c r="Y95" s="11">
        <f t="shared" si="51"/>
        <v>0</v>
      </c>
      <c r="Z95" s="11">
        <f t="shared" si="51"/>
        <v>0</v>
      </c>
      <c r="AA95" s="11">
        <f t="shared" si="51"/>
        <v>0</v>
      </c>
      <c r="AB95" s="11">
        <f t="shared" si="51"/>
        <v>0</v>
      </c>
      <c r="AC95" s="11">
        <f t="shared" si="51"/>
        <v>0</v>
      </c>
      <c r="AD95" s="11">
        <f t="shared" si="51"/>
        <v>0</v>
      </c>
      <c r="AE95" s="11">
        <f t="shared" si="51"/>
        <v>0</v>
      </c>
      <c r="AF95" s="11">
        <f t="shared" si="51"/>
        <v>0</v>
      </c>
      <c r="AG95" s="11">
        <f t="shared" si="51"/>
        <v>0</v>
      </c>
      <c r="AH95" s="11">
        <f t="shared" si="51"/>
        <v>0</v>
      </c>
      <c r="AI95" s="11">
        <f t="shared" si="51"/>
        <v>0</v>
      </c>
      <c r="AJ95" s="11">
        <f t="shared" si="51"/>
        <v>0</v>
      </c>
      <c r="AK95" s="11">
        <f t="shared" si="51"/>
        <v>0</v>
      </c>
      <c r="AL95" s="11">
        <f t="shared" si="51"/>
        <v>0</v>
      </c>
      <c r="AM95" s="11">
        <f t="shared" si="51"/>
        <v>0</v>
      </c>
      <c r="AN95" s="11">
        <f t="shared" si="51"/>
        <v>0</v>
      </c>
      <c r="AO95" s="11">
        <f t="shared" si="51"/>
        <v>0</v>
      </c>
      <c r="AP95" s="11">
        <f t="shared" si="51"/>
        <v>0</v>
      </c>
      <c r="AQ95" s="11">
        <f t="shared" si="51"/>
        <v>0</v>
      </c>
      <c r="AR95" s="11">
        <f t="shared" si="51"/>
        <v>0</v>
      </c>
      <c r="AS95" s="11">
        <f t="shared" si="51"/>
        <v>0</v>
      </c>
      <c r="AT95" s="11">
        <f t="shared" si="51"/>
        <v>0</v>
      </c>
      <c r="AU95" s="11">
        <f t="shared" si="51"/>
        <v>0</v>
      </c>
      <c r="AV95" s="11">
        <f t="shared" si="51"/>
        <v>0</v>
      </c>
      <c r="AW95" s="11">
        <f t="shared" si="51"/>
        <v>0</v>
      </c>
      <c r="AX95" s="11">
        <f t="shared" si="51"/>
        <v>0</v>
      </c>
      <c r="AY95" s="11">
        <f t="shared" si="51"/>
        <v>0</v>
      </c>
      <c r="AZ95" s="11">
        <f t="shared" si="51"/>
        <v>0</v>
      </c>
      <c r="BA95" s="11">
        <f t="shared" si="51"/>
        <v>0</v>
      </c>
      <c r="BB95" s="11">
        <f t="shared" si="51"/>
        <v>0</v>
      </c>
      <c r="BC95" s="11">
        <f t="shared" si="51"/>
        <v>0</v>
      </c>
      <c r="BD95" s="11">
        <f t="shared" si="51"/>
        <v>0</v>
      </c>
      <c r="BE95" s="11">
        <f t="shared" si="51"/>
        <v>0</v>
      </c>
      <c r="BF95" s="11">
        <f t="shared" si="51"/>
        <v>0</v>
      </c>
      <c r="BG95" s="11">
        <f t="shared" si="51"/>
        <v>0</v>
      </c>
      <c r="BH95" s="11">
        <f t="shared" si="51"/>
        <v>0</v>
      </c>
      <c r="BI95" s="11">
        <f t="shared" si="51"/>
        <v>0</v>
      </c>
      <c r="BJ95" s="11">
        <f t="shared" si="51"/>
        <v>0</v>
      </c>
      <c r="BK95" s="11">
        <f t="shared" si="51"/>
        <v>0</v>
      </c>
      <c r="BL95" s="11">
        <f t="shared" si="51"/>
        <v>0</v>
      </c>
      <c r="BM95" s="11">
        <f t="shared" si="51"/>
        <v>0</v>
      </c>
      <c r="BN95" s="11">
        <f t="shared" si="51"/>
        <v>0</v>
      </c>
      <c r="BO95" s="11">
        <f t="shared" si="51"/>
        <v>0</v>
      </c>
      <c r="BP95" s="11">
        <f t="shared" ref="BP95:CZ95" si="52">SUMPRODUCT($B93:$B94,BP93:BP94)</f>
        <v>0</v>
      </c>
      <c r="BQ95" s="11">
        <f t="shared" si="52"/>
        <v>0</v>
      </c>
      <c r="BR95" s="11">
        <f t="shared" si="52"/>
        <v>0</v>
      </c>
      <c r="BS95" s="11">
        <f t="shared" si="52"/>
        <v>0</v>
      </c>
      <c r="BT95" s="11">
        <f t="shared" si="52"/>
        <v>0</v>
      </c>
      <c r="BU95" s="11">
        <f t="shared" si="52"/>
        <v>0</v>
      </c>
      <c r="BV95" s="11">
        <f t="shared" si="52"/>
        <v>0</v>
      </c>
      <c r="BW95" s="11">
        <f t="shared" si="52"/>
        <v>0</v>
      </c>
      <c r="BX95" s="11">
        <f t="shared" si="52"/>
        <v>0</v>
      </c>
      <c r="BY95" s="11">
        <f t="shared" si="52"/>
        <v>0</v>
      </c>
      <c r="BZ95" s="11">
        <f t="shared" si="52"/>
        <v>0</v>
      </c>
      <c r="CA95" s="11">
        <f t="shared" si="52"/>
        <v>0</v>
      </c>
      <c r="CB95" s="11">
        <f t="shared" si="52"/>
        <v>0</v>
      </c>
      <c r="CC95" s="11">
        <f t="shared" si="52"/>
        <v>0</v>
      </c>
      <c r="CD95" s="11">
        <f t="shared" si="52"/>
        <v>0</v>
      </c>
      <c r="CE95" s="11">
        <f t="shared" si="52"/>
        <v>0</v>
      </c>
      <c r="CF95" s="11">
        <f t="shared" si="52"/>
        <v>0</v>
      </c>
      <c r="CG95" s="11">
        <f t="shared" si="52"/>
        <v>0</v>
      </c>
      <c r="CH95" s="11">
        <f t="shared" si="52"/>
        <v>0</v>
      </c>
      <c r="CI95" s="11">
        <f t="shared" si="52"/>
        <v>0</v>
      </c>
      <c r="CJ95" s="11">
        <f t="shared" si="52"/>
        <v>0</v>
      </c>
      <c r="CK95" s="11">
        <f t="shared" si="52"/>
        <v>0</v>
      </c>
      <c r="CL95" s="11">
        <f t="shared" si="52"/>
        <v>0</v>
      </c>
      <c r="CM95" s="11">
        <f t="shared" si="52"/>
        <v>0</v>
      </c>
      <c r="CN95" s="11">
        <f t="shared" si="52"/>
        <v>0</v>
      </c>
      <c r="CO95" s="11">
        <f t="shared" si="52"/>
        <v>0</v>
      </c>
      <c r="CP95" s="11">
        <f t="shared" si="52"/>
        <v>0</v>
      </c>
      <c r="CQ95" s="11">
        <f t="shared" si="52"/>
        <v>0</v>
      </c>
      <c r="CR95" s="11">
        <f t="shared" si="52"/>
        <v>0</v>
      </c>
      <c r="CS95" s="11">
        <f t="shared" si="52"/>
        <v>0</v>
      </c>
      <c r="CT95" s="11">
        <f t="shared" si="52"/>
        <v>0</v>
      </c>
      <c r="CU95" s="11">
        <f t="shared" si="52"/>
        <v>0</v>
      </c>
      <c r="CV95" s="11">
        <f t="shared" si="52"/>
        <v>0</v>
      </c>
      <c r="CW95" s="11">
        <f t="shared" si="52"/>
        <v>0</v>
      </c>
      <c r="CX95" s="11">
        <f t="shared" si="52"/>
        <v>0</v>
      </c>
      <c r="CY95" s="11">
        <f t="shared" si="52"/>
        <v>0</v>
      </c>
      <c r="CZ95" s="11">
        <f t="shared" si="52"/>
        <v>0</v>
      </c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</row>
    <row r="96" spans="1:122" ht="18" customHeight="1">
      <c r="A96" s="34" t="s">
        <v>126</v>
      </c>
      <c r="B96" s="14">
        <f>IFERROR(VLOOKUP(A96,PRICELIST!$A$3:$D$138,4,0),"-")</f>
        <v>201.54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9">
        <f t="shared" ref="CY96:CZ98" si="53">C96+E96+G96+I96+K96+M96+O96+Q96+S96+U96+W96+Y96+AA96+AC96+AE96+AG96+AI96+AK96+AM96+AO96+AQ96+AS96+AU96+AW96+AY96+BA96+BC96+BE96+BG96+BI96+BK96+BM96+BO96+BQ96+BS96+BU96+BW96+BY96+CA96+CC96+CE96+CG96+CI96+CK96+CM96+CO96+CQ96+CS96+CU96+CW96</f>
        <v>0</v>
      </c>
      <c r="CZ96" s="19">
        <f t="shared" si="53"/>
        <v>0</v>
      </c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</row>
    <row r="97" spans="1:122" ht="18" customHeight="1">
      <c r="A97" s="13" t="s">
        <v>123</v>
      </c>
      <c r="B97" s="14">
        <f>IFERROR(VLOOKUP(A97,PRICELIST!$A$3:$D$138,4,0),"-")</f>
        <v>225.64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9">
        <f t="shared" si="53"/>
        <v>0</v>
      </c>
      <c r="CZ97" s="19">
        <f t="shared" si="53"/>
        <v>0</v>
      </c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</row>
    <row r="98" spans="1:122" ht="18" customHeight="1">
      <c r="A98" s="13" t="s">
        <v>131</v>
      </c>
      <c r="B98" s="14">
        <f>IFERROR(VLOOKUP(A98,PRICELIST!$A$3:$D$138,4,0),"-")</f>
        <v>198.64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9">
        <f t="shared" si="53"/>
        <v>0</v>
      </c>
      <c r="CZ98" s="19">
        <f t="shared" si="53"/>
        <v>0</v>
      </c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</row>
    <row r="99" spans="1:122" ht="18" customHeight="1">
      <c r="A99" s="9" t="s">
        <v>70</v>
      </c>
      <c r="B99" s="10"/>
      <c r="C99" s="11">
        <f t="shared" ref="C99:BN99" si="54">SUMPRODUCT($B96:$B98,C96:C98)</f>
        <v>0</v>
      </c>
      <c r="D99" s="11">
        <f t="shared" si="54"/>
        <v>0</v>
      </c>
      <c r="E99" s="11">
        <f t="shared" si="54"/>
        <v>0</v>
      </c>
      <c r="F99" s="11">
        <f t="shared" si="54"/>
        <v>0</v>
      </c>
      <c r="G99" s="11">
        <f t="shared" si="54"/>
        <v>0</v>
      </c>
      <c r="H99" s="11">
        <f t="shared" si="54"/>
        <v>0</v>
      </c>
      <c r="I99" s="11">
        <f t="shared" si="54"/>
        <v>0</v>
      </c>
      <c r="J99" s="11">
        <f t="shared" si="54"/>
        <v>0</v>
      </c>
      <c r="K99" s="11">
        <f t="shared" si="54"/>
        <v>0</v>
      </c>
      <c r="L99" s="11">
        <f t="shared" si="54"/>
        <v>0</v>
      </c>
      <c r="M99" s="11">
        <f t="shared" si="54"/>
        <v>0</v>
      </c>
      <c r="N99" s="11">
        <f t="shared" si="54"/>
        <v>0</v>
      </c>
      <c r="O99" s="11">
        <f t="shared" si="54"/>
        <v>0</v>
      </c>
      <c r="P99" s="11">
        <f t="shared" si="54"/>
        <v>0</v>
      </c>
      <c r="Q99" s="11">
        <f t="shared" si="54"/>
        <v>0</v>
      </c>
      <c r="R99" s="11">
        <f t="shared" si="54"/>
        <v>0</v>
      </c>
      <c r="S99" s="11">
        <f t="shared" si="54"/>
        <v>0</v>
      </c>
      <c r="T99" s="11">
        <f t="shared" si="54"/>
        <v>0</v>
      </c>
      <c r="U99" s="11">
        <f t="shared" si="54"/>
        <v>0</v>
      </c>
      <c r="V99" s="11">
        <f t="shared" si="54"/>
        <v>0</v>
      </c>
      <c r="W99" s="11">
        <f t="shared" si="54"/>
        <v>0</v>
      </c>
      <c r="X99" s="11">
        <f t="shared" si="54"/>
        <v>0</v>
      </c>
      <c r="Y99" s="11">
        <f t="shared" si="54"/>
        <v>0</v>
      </c>
      <c r="Z99" s="11">
        <f t="shared" si="54"/>
        <v>0</v>
      </c>
      <c r="AA99" s="11">
        <f t="shared" si="54"/>
        <v>0</v>
      </c>
      <c r="AB99" s="11">
        <f t="shared" si="54"/>
        <v>0</v>
      </c>
      <c r="AC99" s="11">
        <f t="shared" si="54"/>
        <v>0</v>
      </c>
      <c r="AD99" s="11">
        <f t="shared" si="54"/>
        <v>0</v>
      </c>
      <c r="AE99" s="11">
        <f t="shared" si="54"/>
        <v>0</v>
      </c>
      <c r="AF99" s="11">
        <f t="shared" si="54"/>
        <v>0</v>
      </c>
      <c r="AG99" s="11">
        <f t="shared" si="54"/>
        <v>0</v>
      </c>
      <c r="AH99" s="11">
        <f t="shared" si="54"/>
        <v>0</v>
      </c>
      <c r="AI99" s="11">
        <f t="shared" si="54"/>
        <v>0</v>
      </c>
      <c r="AJ99" s="11">
        <f t="shared" si="54"/>
        <v>0</v>
      </c>
      <c r="AK99" s="11">
        <f t="shared" si="54"/>
        <v>0</v>
      </c>
      <c r="AL99" s="11">
        <f t="shared" si="54"/>
        <v>0</v>
      </c>
      <c r="AM99" s="11">
        <f t="shared" si="54"/>
        <v>0</v>
      </c>
      <c r="AN99" s="11">
        <f t="shared" si="54"/>
        <v>0</v>
      </c>
      <c r="AO99" s="11">
        <f t="shared" si="54"/>
        <v>0</v>
      </c>
      <c r="AP99" s="11">
        <f t="shared" si="54"/>
        <v>0</v>
      </c>
      <c r="AQ99" s="11">
        <f t="shared" si="54"/>
        <v>0</v>
      </c>
      <c r="AR99" s="11">
        <f t="shared" si="54"/>
        <v>0</v>
      </c>
      <c r="AS99" s="11">
        <f t="shared" si="54"/>
        <v>0</v>
      </c>
      <c r="AT99" s="11">
        <f t="shared" si="54"/>
        <v>0</v>
      </c>
      <c r="AU99" s="11">
        <f t="shared" si="54"/>
        <v>0</v>
      </c>
      <c r="AV99" s="11">
        <f t="shared" si="54"/>
        <v>0</v>
      </c>
      <c r="AW99" s="11">
        <f t="shared" si="54"/>
        <v>0</v>
      </c>
      <c r="AX99" s="11">
        <f t="shared" si="54"/>
        <v>0</v>
      </c>
      <c r="AY99" s="11">
        <f t="shared" si="54"/>
        <v>0</v>
      </c>
      <c r="AZ99" s="11">
        <f t="shared" si="54"/>
        <v>0</v>
      </c>
      <c r="BA99" s="11">
        <f t="shared" si="54"/>
        <v>0</v>
      </c>
      <c r="BB99" s="11">
        <f t="shared" si="54"/>
        <v>0</v>
      </c>
      <c r="BC99" s="11">
        <f t="shared" si="54"/>
        <v>0</v>
      </c>
      <c r="BD99" s="11">
        <f t="shared" si="54"/>
        <v>0</v>
      </c>
      <c r="BE99" s="11">
        <f t="shared" si="54"/>
        <v>0</v>
      </c>
      <c r="BF99" s="11">
        <f t="shared" si="54"/>
        <v>0</v>
      </c>
      <c r="BG99" s="11">
        <f t="shared" si="54"/>
        <v>0</v>
      </c>
      <c r="BH99" s="11">
        <f t="shared" si="54"/>
        <v>0</v>
      </c>
      <c r="BI99" s="11">
        <f t="shared" si="54"/>
        <v>0</v>
      </c>
      <c r="BJ99" s="11">
        <f t="shared" si="54"/>
        <v>0</v>
      </c>
      <c r="BK99" s="11">
        <f t="shared" si="54"/>
        <v>0</v>
      </c>
      <c r="BL99" s="11">
        <f t="shared" si="54"/>
        <v>0</v>
      </c>
      <c r="BM99" s="11">
        <f t="shared" si="54"/>
        <v>0</v>
      </c>
      <c r="BN99" s="11">
        <f t="shared" si="54"/>
        <v>0</v>
      </c>
      <c r="BO99" s="11">
        <f t="shared" ref="BO99:CZ99" si="55">SUMPRODUCT($B96:$B98,BO96:BO98)</f>
        <v>0</v>
      </c>
      <c r="BP99" s="11">
        <f t="shared" si="55"/>
        <v>0</v>
      </c>
      <c r="BQ99" s="11">
        <f t="shared" si="55"/>
        <v>0</v>
      </c>
      <c r="BR99" s="11">
        <f t="shared" si="55"/>
        <v>0</v>
      </c>
      <c r="BS99" s="11">
        <f t="shared" si="55"/>
        <v>0</v>
      </c>
      <c r="BT99" s="11">
        <f t="shared" si="55"/>
        <v>0</v>
      </c>
      <c r="BU99" s="11">
        <f t="shared" si="55"/>
        <v>0</v>
      </c>
      <c r="BV99" s="11">
        <f t="shared" si="55"/>
        <v>0</v>
      </c>
      <c r="BW99" s="11">
        <f t="shared" si="55"/>
        <v>0</v>
      </c>
      <c r="BX99" s="11">
        <f t="shared" si="55"/>
        <v>0</v>
      </c>
      <c r="BY99" s="11">
        <f t="shared" si="55"/>
        <v>0</v>
      </c>
      <c r="BZ99" s="11">
        <f t="shared" si="55"/>
        <v>0</v>
      </c>
      <c r="CA99" s="11">
        <f t="shared" si="55"/>
        <v>0</v>
      </c>
      <c r="CB99" s="11">
        <f t="shared" si="55"/>
        <v>0</v>
      </c>
      <c r="CC99" s="11">
        <f t="shared" si="55"/>
        <v>0</v>
      </c>
      <c r="CD99" s="11">
        <f t="shared" si="55"/>
        <v>0</v>
      </c>
      <c r="CE99" s="11">
        <f t="shared" si="55"/>
        <v>0</v>
      </c>
      <c r="CF99" s="11">
        <f t="shared" si="55"/>
        <v>0</v>
      </c>
      <c r="CG99" s="11">
        <f t="shared" si="55"/>
        <v>0</v>
      </c>
      <c r="CH99" s="11">
        <f t="shared" si="55"/>
        <v>0</v>
      </c>
      <c r="CI99" s="11">
        <f t="shared" si="55"/>
        <v>0</v>
      </c>
      <c r="CJ99" s="11">
        <f t="shared" si="55"/>
        <v>0</v>
      </c>
      <c r="CK99" s="11">
        <f t="shared" si="55"/>
        <v>0</v>
      </c>
      <c r="CL99" s="11">
        <f t="shared" si="55"/>
        <v>0</v>
      </c>
      <c r="CM99" s="11">
        <f t="shared" si="55"/>
        <v>0</v>
      </c>
      <c r="CN99" s="11">
        <f t="shared" si="55"/>
        <v>0</v>
      </c>
      <c r="CO99" s="11">
        <f t="shared" si="55"/>
        <v>0</v>
      </c>
      <c r="CP99" s="11">
        <f t="shared" si="55"/>
        <v>0</v>
      </c>
      <c r="CQ99" s="11">
        <f t="shared" si="55"/>
        <v>0</v>
      </c>
      <c r="CR99" s="11">
        <f t="shared" si="55"/>
        <v>0</v>
      </c>
      <c r="CS99" s="11">
        <f t="shared" si="55"/>
        <v>0</v>
      </c>
      <c r="CT99" s="11">
        <f t="shared" si="55"/>
        <v>0</v>
      </c>
      <c r="CU99" s="11">
        <f t="shared" si="55"/>
        <v>0</v>
      </c>
      <c r="CV99" s="11">
        <f t="shared" si="55"/>
        <v>0</v>
      </c>
      <c r="CW99" s="11">
        <f t="shared" si="55"/>
        <v>0</v>
      </c>
      <c r="CX99" s="11">
        <f t="shared" si="55"/>
        <v>0</v>
      </c>
      <c r="CY99" s="11">
        <f t="shared" si="55"/>
        <v>0</v>
      </c>
      <c r="CZ99" s="11">
        <f t="shared" si="55"/>
        <v>0</v>
      </c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</row>
    <row r="100" spans="1:122" ht="18" customHeight="1">
      <c r="A100" s="13" t="s">
        <v>134</v>
      </c>
      <c r="B100" s="14">
        <f>IFERROR(VLOOKUP(A100,PRICELIST!$A$3:$D$138,4,0),"-")</f>
        <v>52.46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9">
        <f t="shared" ref="CY100:CZ109" si="56">C100+E100+G100+I100+K100+M100+O100+Q100+S100+U100+W100+Y100+AA100+AC100+AE100+AG100+AI100+AK100+AM100+AO100+AQ100+AS100+AU100+AW100+AY100+BA100+BC100+BE100+BG100+BI100+BK100+BM100+BO100+BQ100+BS100+BU100+BW100+BY100+CA100+CC100+CE100+CG100+CI100+CK100+CM100+CO100+CQ100+CS100+CU100+CW100</f>
        <v>0</v>
      </c>
      <c r="CZ100" s="19">
        <f t="shared" si="56"/>
        <v>0</v>
      </c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</row>
    <row r="101" spans="1:122" ht="18" customHeight="1">
      <c r="A101" s="13" t="s">
        <v>135</v>
      </c>
      <c r="B101" s="14">
        <f>IFERROR(VLOOKUP(A101,PRICELIST!$A$3:$D$138,4,0),"-")</f>
        <v>89.62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9">
        <f t="shared" si="56"/>
        <v>0</v>
      </c>
      <c r="CZ101" s="19">
        <f t="shared" si="56"/>
        <v>0</v>
      </c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</row>
    <row r="102" spans="1:122" ht="18" customHeight="1">
      <c r="A102" s="13" t="s">
        <v>136</v>
      </c>
      <c r="B102" s="14">
        <f>IFERROR(VLOOKUP(A102,PRICELIST!$A$3:$D$138,4,0),"-")</f>
        <v>83.41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9">
        <f t="shared" si="56"/>
        <v>0</v>
      </c>
      <c r="CZ102" s="19">
        <f t="shared" si="56"/>
        <v>0</v>
      </c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</row>
    <row r="103" spans="1:122" ht="18" customHeight="1">
      <c r="A103" s="13" t="s">
        <v>137</v>
      </c>
      <c r="B103" s="14">
        <f>IFERROR(VLOOKUP(A103,PRICELIST!$A$3:$D$138,4,0),"-")</f>
        <v>109.58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9">
        <f t="shared" si="56"/>
        <v>0</v>
      </c>
      <c r="CZ103" s="19">
        <f t="shared" si="56"/>
        <v>0</v>
      </c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</row>
    <row r="104" spans="1:122" ht="18" customHeight="1">
      <c r="A104" s="13" t="s">
        <v>140</v>
      </c>
      <c r="B104" s="14">
        <f>IFERROR(VLOOKUP(A104,PRICELIST!$A$3:$D$138,4,0),"-")</f>
        <v>28.8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9">
        <f>C104+E104+G104+I104+K104+M104+O104+Q104+S104+U104+W104+Y104+AA104+AC104+AE104+AG104+AI104+AK104+AM104+AO104+AQ104+AS104+AU104+AW104+AY104+BA104+BC104+BE104+BG104+BI104+BK104+BM104+BO104+BQ104+BS104+BU104+BW104+BY104+CA104+CC104+CE104+CG104+CI104+CK104+CM104+CO104+CQ104+CS104+CU104+CW104</f>
        <v>0</v>
      </c>
      <c r="CZ104" s="19">
        <f>D104+F104+H104+J104+L104+N104+P104+R104+T104+V104+X104+Z104+AB104+AD104+AF104+AH104+AJ104+AL104+AN104+AP104+AR104+AT104+AV104+AX104+AZ104+BB104+BD104+BF104+BH104+BJ104+BL104+BN104+BP104+BR104+BT104+BV104+BX104+BZ104+CB104+CD104+CF104+CH104+CJ104+CL104+CN104+CP104+CR104+CT104+CV104+CX104</f>
        <v>0</v>
      </c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</row>
    <row r="105" spans="1:122" ht="18" customHeight="1">
      <c r="A105" s="13" t="s">
        <v>141</v>
      </c>
      <c r="B105" s="14">
        <f>IFERROR(VLOOKUP(A105,PRICELIST!$A$3:$D$138,4,0),"-")</f>
        <v>60.43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9">
        <f>C105+E105+G105+I105+K105+M105+O105+Q105+S105+U105+W105+Y105+AA105+AC105+AE105+AG105+AI105+AK105+AM105+AO105+AQ105+AS105+AU105+AW105+AY105+BA105+BC105+BE105+BG105+BI105+BK105+BM105+BO105+BQ105+BS105+BU105+BW105+BY105+CA105+CC105+CE105+CG105+CI105+CK105+CM105+CO105+CQ105+CS105+CU105+CW105</f>
        <v>0</v>
      </c>
      <c r="CZ105" s="19">
        <f>D105+F105+H105+J105+L105+N105+P105+R105+T105+V105+X105+Z105+AB105+AD105+AF105+AH105+AJ105+AL105+AN105+AP105+AR105+AT105+AV105+AX105+AZ105+BB105+BD105+BF105+BH105+BJ105+BL105+BN105+BP105+BR105+BT105+BV105+BX105+BZ105+CB105+CD105+CF105+CH105+CJ105+CL105+CN105+CP105+CR105+CT105+CV105+CX105</f>
        <v>0</v>
      </c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</row>
    <row r="106" spans="1:122" ht="18" customHeight="1">
      <c r="A106" s="13" t="s">
        <v>138</v>
      </c>
      <c r="B106" s="14">
        <f>IFERROR(VLOOKUP(A106,PRICELIST!$A$3:$D$138,4,0),"-")</f>
        <v>96.43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9">
        <f t="shared" si="56"/>
        <v>0</v>
      </c>
      <c r="CZ106" s="19">
        <f t="shared" si="56"/>
        <v>0</v>
      </c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</row>
    <row r="107" spans="1:122" ht="18" customHeight="1">
      <c r="A107" s="13" t="s">
        <v>139</v>
      </c>
      <c r="B107" s="14">
        <f>IFERROR(VLOOKUP(A107,PRICELIST!$A$3:$D$138,4,0),"-")</f>
        <v>123.43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9">
        <f t="shared" si="56"/>
        <v>0</v>
      </c>
      <c r="CZ107" s="19">
        <f t="shared" si="56"/>
        <v>0</v>
      </c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</row>
    <row r="108" spans="1:122" ht="18" customHeight="1">
      <c r="A108" s="13" t="s">
        <v>142</v>
      </c>
      <c r="B108" s="14">
        <f>IFERROR(VLOOKUP(A108,PRICELIST!$A$3:$D$138,4,0),"-")</f>
        <v>121.5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9">
        <f t="shared" si="56"/>
        <v>0</v>
      </c>
      <c r="CZ108" s="19">
        <f t="shared" si="56"/>
        <v>0</v>
      </c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</row>
    <row r="109" spans="1:122" ht="18" customHeight="1">
      <c r="A109" s="13" t="s">
        <v>143</v>
      </c>
      <c r="B109" s="14">
        <f>IFERROR(VLOOKUP(A109,PRICELIST!$A$3:$D$138,4,0),"-")</f>
        <v>109.23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9">
        <f t="shared" si="56"/>
        <v>0</v>
      </c>
      <c r="CZ109" s="19">
        <f t="shared" si="56"/>
        <v>0</v>
      </c>
    </row>
    <row r="110" spans="1:122" ht="18" customHeight="1">
      <c r="A110" s="9" t="s">
        <v>144</v>
      </c>
      <c r="B110" s="10"/>
      <c r="C110" s="11">
        <f t="shared" ref="C110:AH110" si="57">SUMPRODUCT($B100:$B109,C100:C109)</f>
        <v>0</v>
      </c>
      <c r="D110" s="11">
        <f t="shared" si="57"/>
        <v>0</v>
      </c>
      <c r="E110" s="11">
        <f t="shared" si="57"/>
        <v>0</v>
      </c>
      <c r="F110" s="11">
        <f t="shared" si="57"/>
        <v>0</v>
      </c>
      <c r="G110" s="11">
        <f t="shared" si="57"/>
        <v>0</v>
      </c>
      <c r="H110" s="11">
        <f t="shared" si="57"/>
        <v>0</v>
      </c>
      <c r="I110" s="11">
        <f t="shared" si="57"/>
        <v>0</v>
      </c>
      <c r="J110" s="11">
        <f t="shared" si="57"/>
        <v>0</v>
      </c>
      <c r="K110" s="11">
        <f t="shared" si="57"/>
        <v>0</v>
      </c>
      <c r="L110" s="11">
        <f t="shared" si="57"/>
        <v>0</v>
      </c>
      <c r="M110" s="11">
        <f t="shared" si="57"/>
        <v>0</v>
      </c>
      <c r="N110" s="11">
        <f t="shared" si="57"/>
        <v>0</v>
      </c>
      <c r="O110" s="11">
        <f t="shared" si="57"/>
        <v>0</v>
      </c>
      <c r="P110" s="11">
        <f t="shared" si="57"/>
        <v>0</v>
      </c>
      <c r="Q110" s="11">
        <f t="shared" si="57"/>
        <v>0</v>
      </c>
      <c r="R110" s="11">
        <f t="shared" si="57"/>
        <v>0</v>
      </c>
      <c r="S110" s="11">
        <f t="shared" si="57"/>
        <v>0</v>
      </c>
      <c r="T110" s="11">
        <f t="shared" si="57"/>
        <v>0</v>
      </c>
      <c r="U110" s="11">
        <f t="shared" si="57"/>
        <v>0</v>
      </c>
      <c r="V110" s="11">
        <f t="shared" si="57"/>
        <v>0</v>
      </c>
      <c r="W110" s="11">
        <f t="shared" si="57"/>
        <v>0</v>
      </c>
      <c r="X110" s="11">
        <f t="shared" si="57"/>
        <v>0</v>
      </c>
      <c r="Y110" s="11">
        <f t="shared" si="57"/>
        <v>0</v>
      </c>
      <c r="Z110" s="11">
        <f t="shared" si="57"/>
        <v>0</v>
      </c>
      <c r="AA110" s="11">
        <f t="shared" si="57"/>
        <v>0</v>
      </c>
      <c r="AB110" s="11">
        <f t="shared" si="57"/>
        <v>0</v>
      </c>
      <c r="AC110" s="11">
        <f t="shared" si="57"/>
        <v>0</v>
      </c>
      <c r="AD110" s="11">
        <f t="shared" si="57"/>
        <v>0</v>
      </c>
      <c r="AE110" s="11">
        <f t="shared" si="57"/>
        <v>0</v>
      </c>
      <c r="AF110" s="11">
        <f t="shared" si="57"/>
        <v>0</v>
      </c>
      <c r="AG110" s="11">
        <f t="shared" si="57"/>
        <v>0</v>
      </c>
      <c r="AH110" s="11">
        <f t="shared" si="57"/>
        <v>0</v>
      </c>
      <c r="AI110" s="11">
        <f t="shared" ref="AI110:BN110" si="58">SUMPRODUCT($B100:$B109,AI100:AI109)</f>
        <v>0</v>
      </c>
      <c r="AJ110" s="11">
        <f t="shared" si="58"/>
        <v>0</v>
      </c>
      <c r="AK110" s="11">
        <f t="shared" si="58"/>
        <v>0</v>
      </c>
      <c r="AL110" s="11">
        <f t="shared" si="58"/>
        <v>0</v>
      </c>
      <c r="AM110" s="11">
        <f t="shared" si="58"/>
        <v>0</v>
      </c>
      <c r="AN110" s="11">
        <f t="shared" si="58"/>
        <v>0</v>
      </c>
      <c r="AO110" s="11">
        <f t="shared" si="58"/>
        <v>0</v>
      </c>
      <c r="AP110" s="11">
        <f t="shared" si="58"/>
        <v>0</v>
      </c>
      <c r="AQ110" s="11">
        <f t="shared" si="58"/>
        <v>0</v>
      </c>
      <c r="AR110" s="11">
        <f t="shared" si="58"/>
        <v>0</v>
      </c>
      <c r="AS110" s="11">
        <f t="shared" si="58"/>
        <v>0</v>
      </c>
      <c r="AT110" s="11">
        <f t="shared" si="58"/>
        <v>0</v>
      </c>
      <c r="AU110" s="11">
        <f t="shared" si="58"/>
        <v>0</v>
      </c>
      <c r="AV110" s="11">
        <f t="shared" si="58"/>
        <v>0</v>
      </c>
      <c r="AW110" s="11">
        <f t="shared" si="58"/>
        <v>0</v>
      </c>
      <c r="AX110" s="11">
        <f t="shared" si="58"/>
        <v>0</v>
      </c>
      <c r="AY110" s="11">
        <f t="shared" si="58"/>
        <v>0</v>
      </c>
      <c r="AZ110" s="11">
        <f t="shared" si="58"/>
        <v>0</v>
      </c>
      <c r="BA110" s="11">
        <f t="shared" si="58"/>
        <v>0</v>
      </c>
      <c r="BB110" s="11">
        <f t="shared" si="58"/>
        <v>0</v>
      </c>
      <c r="BC110" s="11">
        <f t="shared" si="58"/>
        <v>0</v>
      </c>
      <c r="BD110" s="11">
        <f t="shared" si="58"/>
        <v>0</v>
      </c>
      <c r="BE110" s="11">
        <f t="shared" si="58"/>
        <v>0</v>
      </c>
      <c r="BF110" s="11">
        <f t="shared" si="58"/>
        <v>0</v>
      </c>
      <c r="BG110" s="11">
        <f t="shared" si="58"/>
        <v>0</v>
      </c>
      <c r="BH110" s="11">
        <f t="shared" si="58"/>
        <v>0</v>
      </c>
      <c r="BI110" s="11">
        <f t="shared" si="58"/>
        <v>0</v>
      </c>
      <c r="BJ110" s="11">
        <f t="shared" si="58"/>
        <v>0</v>
      </c>
      <c r="BK110" s="11">
        <f t="shared" si="58"/>
        <v>0</v>
      </c>
      <c r="BL110" s="11">
        <f t="shared" si="58"/>
        <v>0</v>
      </c>
      <c r="BM110" s="11">
        <f t="shared" si="58"/>
        <v>0</v>
      </c>
      <c r="BN110" s="11">
        <f t="shared" si="58"/>
        <v>0</v>
      </c>
      <c r="BO110" s="11">
        <f t="shared" ref="BO110:CT110" si="59">SUMPRODUCT($B100:$B109,BO100:BO109)</f>
        <v>0</v>
      </c>
      <c r="BP110" s="11">
        <f t="shared" si="59"/>
        <v>0</v>
      </c>
      <c r="BQ110" s="11">
        <f t="shared" si="59"/>
        <v>0</v>
      </c>
      <c r="BR110" s="11">
        <f t="shared" si="59"/>
        <v>0</v>
      </c>
      <c r="BS110" s="11">
        <f t="shared" si="59"/>
        <v>0</v>
      </c>
      <c r="BT110" s="11">
        <f t="shared" si="59"/>
        <v>0</v>
      </c>
      <c r="BU110" s="11">
        <f t="shared" si="59"/>
        <v>0</v>
      </c>
      <c r="BV110" s="11">
        <f t="shared" si="59"/>
        <v>0</v>
      </c>
      <c r="BW110" s="11">
        <f t="shared" si="59"/>
        <v>0</v>
      </c>
      <c r="BX110" s="11">
        <f t="shared" si="59"/>
        <v>0</v>
      </c>
      <c r="BY110" s="11">
        <f t="shared" si="59"/>
        <v>0</v>
      </c>
      <c r="BZ110" s="11">
        <f t="shared" si="59"/>
        <v>0</v>
      </c>
      <c r="CA110" s="11">
        <f t="shared" si="59"/>
        <v>0</v>
      </c>
      <c r="CB110" s="11">
        <f t="shared" si="59"/>
        <v>0</v>
      </c>
      <c r="CC110" s="11">
        <f t="shared" si="59"/>
        <v>0</v>
      </c>
      <c r="CD110" s="11">
        <f t="shared" si="59"/>
        <v>0</v>
      </c>
      <c r="CE110" s="11">
        <f t="shared" si="59"/>
        <v>0</v>
      </c>
      <c r="CF110" s="11">
        <f t="shared" si="59"/>
        <v>0</v>
      </c>
      <c r="CG110" s="11">
        <f t="shared" si="59"/>
        <v>0</v>
      </c>
      <c r="CH110" s="11">
        <f t="shared" si="59"/>
        <v>0</v>
      </c>
      <c r="CI110" s="11">
        <f t="shared" si="59"/>
        <v>0</v>
      </c>
      <c r="CJ110" s="11">
        <f t="shared" si="59"/>
        <v>0</v>
      </c>
      <c r="CK110" s="11">
        <f t="shared" si="59"/>
        <v>0</v>
      </c>
      <c r="CL110" s="11">
        <f t="shared" si="59"/>
        <v>0</v>
      </c>
      <c r="CM110" s="11">
        <f t="shared" si="59"/>
        <v>0</v>
      </c>
      <c r="CN110" s="11">
        <f t="shared" si="59"/>
        <v>0</v>
      </c>
      <c r="CO110" s="11">
        <f t="shared" si="59"/>
        <v>0</v>
      </c>
      <c r="CP110" s="11">
        <f t="shared" si="59"/>
        <v>0</v>
      </c>
      <c r="CQ110" s="11">
        <f t="shared" si="59"/>
        <v>0</v>
      </c>
      <c r="CR110" s="11">
        <f t="shared" si="59"/>
        <v>0</v>
      </c>
      <c r="CS110" s="11">
        <f t="shared" si="59"/>
        <v>0</v>
      </c>
      <c r="CT110" s="11">
        <f t="shared" si="59"/>
        <v>0</v>
      </c>
      <c r="CU110" s="11">
        <f t="shared" ref="CU110:CZ110" si="60">SUMPRODUCT($B100:$B109,CU100:CU109)</f>
        <v>0</v>
      </c>
      <c r="CV110" s="11">
        <f t="shared" si="60"/>
        <v>0</v>
      </c>
      <c r="CW110" s="11">
        <f t="shared" si="60"/>
        <v>0</v>
      </c>
      <c r="CX110" s="11">
        <f t="shared" si="60"/>
        <v>0</v>
      </c>
      <c r="CY110" s="11">
        <f t="shared" si="60"/>
        <v>0</v>
      </c>
      <c r="CZ110" s="11">
        <f t="shared" si="60"/>
        <v>0</v>
      </c>
    </row>
    <row r="111" spans="1:122">
      <c r="A111" s="13" t="s">
        <v>146</v>
      </c>
      <c r="B111" s="14">
        <f>IFERROR(VLOOKUP(A111,PRICELIST!$A$3:$D$138,4,0),"-")</f>
        <v>31.29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9">
        <f t="shared" ref="CY111:CZ114" si="61">C111+E111+G111+I111+K111+M111+O111+Q111+S111+U111+W111+Y111+AA111+AC111+AE111+AG111+AI111+AK111+AM111+AO111+AQ111+AS111+AU111+AW111+AY111+BA111+BC111+BE111+BG111+BI111+BK111+BM111+BO111+BQ111+BS111+BU111+BW111+BY111+CA111+CC111+CE111+CG111+CI111+CK111+CM111+CO111+CQ111+CS111+CU111+CW111</f>
        <v>0</v>
      </c>
      <c r="CZ111" s="19">
        <f t="shared" si="61"/>
        <v>0</v>
      </c>
    </row>
    <row r="112" spans="1:122">
      <c r="A112" s="13" t="s">
        <v>147</v>
      </c>
      <c r="B112" s="14">
        <f>IFERROR(VLOOKUP(A112,PRICELIST!$A$3:$D$138,4,0),"-")</f>
        <v>68.36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9">
        <f t="shared" si="61"/>
        <v>0</v>
      </c>
      <c r="CZ112" s="19">
        <f t="shared" si="61"/>
        <v>0</v>
      </c>
    </row>
    <row r="113" spans="1:104">
      <c r="A113" s="13" t="s">
        <v>148</v>
      </c>
      <c r="B113" s="14">
        <f>IFERROR(VLOOKUP(A113,PRICELIST!$A$3:$D$138,4,0),"-")</f>
        <v>210.72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9">
        <f t="shared" si="61"/>
        <v>0</v>
      </c>
      <c r="CZ113" s="19">
        <f t="shared" si="61"/>
        <v>0</v>
      </c>
    </row>
    <row r="114" spans="1:104">
      <c r="A114" s="13" t="s">
        <v>149</v>
      </c>
      <c r="B114" s="14">
        <f>IFERROR(VLOOKUP(A114,PRICELIST!$A$3:$D$138,4,0),"-")</f>
        <v>180.9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9">
        <f t="shared" si="61"/>
        <v>0</v>
      </c>
      <c r="CZ114" s="19">
        <f t="shared" si="61"/>
        <v>0</v>
      </c>
    </row>
    <row r="115" spans="1:104">
      <c r="A115" s="9" t="s">
        <v>145</v>
      </c>
      <c r="B115" s="10"/>
      <c r="C115" s="11">
        <f>SUMPRODUCT($B111:$B114,C111:C114)</f>
        <v>0</v>
      </c>
      <c r="D115" s="11">
        <f t="shared" ref="D115:BO115" si="62">SUMPRODUCT($B111:$B114,D111:D114)</f>
        <v>0</v>
      </c>
      <c r="E115" s="11">
        <f t="shared" si="62"/>
        <v>0</v>
      </c>
      <c r="F115" s="11">
        <f t="shared" si="62"/>
        <v>0</v>
      </c>
      <c r="G115" s="11">
        <f t="shared" si="62"/>
        <v>0</v>
      </c>
      <c r="H115" s="11">
        <f t="shared" si="62"/>
        <v>0</v>
      </c>
      <c r="I115" s="11">
        <f t="shared" si="62"/>
        <v>0</v>
      </c>
      <c r="J115" s="11">
        <f t="shared" si="62"/>
        <v>0</v>
      </c>
      <c r="K115" s="11">
        <f t="shared" si="62"/>
        <v>0</v>
      </c>
      <c r="L115" s="11">
        <f t="shared" si="62"/>
        <v>0</v>
      </c>
      <c r="M115" s="11">
        <f t="shared" si="62"/>
        <v>0</v>
      </c>
      <c r="N115" s="11">
        <f t="shared" si="62"/>
        <v>0</v>
      </c>
      <c r="O115" s="11">
        <f t="shared" si="62"/>
        <v>0</v>
      </c>
      <c r="P115" s="11">
        <f t="shared" si="62"/>
        <v>0</v>
      </c>
      <c r="Q115" s="11">
        <f t="shared" si="62"/>
        <v>0</v>
      </c>
      <c r="R115" s="11">
        <f t="shared" si="62"/>
        <v>0</v>
      </c>
      <c r="S115" s="11">
        <f t="shared" si="62"/>
        <v>0</v>
      </c>
      <c r="T115" s="11">
        <f t="shared" si="62"/>
        <v>0</v>
      </c>
      <c r="U115" s="11">
        <f t="shared" si="62"/>
        <v>0</v>
      </c>
      <c r="V115" s="11">
        <f t="shared" si="62"/>
        <v>0</v>
      </c>
      <c r="W115" s="11">
        <f t="shared" si="62"/>
        <v>0</v>
      </c>
      <c r="X115" s="11">
        <f t="shared" si="62"/>
        <v>0</v>
      </c>
      <c r="Y115" s="11">
        <f t="shared" si="62"/>
        <v>0</v>
      </c>
      <c r="Z115" s="11">
        <f t="shared" si="62"/>
        <v>0</v>
      </c>
      <c r="AA115" s="11">
        <f t="shared" si="62"/>
        <v>0</v>
      </c>
      <c r="AB115" s="11">
        <f t="shared" si="62"/>
        <v>0</v>
      </c>
      <c r="AC115" s="11">
        <f t="shared" si="62"/>
        <v>0</v>
      </c>
      <c r="AD115" s="11">
        <f t="shared" si="62"/>
        <v>0</v>
      </c>
      <c r="AE115" s="11">
        <f t="shared" si="62"/>
        <v>0</v>
      </c>
      <c r="AF115" s="11">
        <f t="shared" si="62"/>
        <v>0</v>
      </c>
      <c r="AG115" s="11">
        <f t="shared" si="62"/>
        <v>0</v>
      </c>
      <c r="AH115" s="11">
        <f t="shared" si="62"/>
        <v>0</v>
      </c>
      <c r="AI115" s="11">
        <f t="shared" si="62"/>
        <v>0</v>
      </c>
      <c r="AJ115" s="11">
        <f t="shared" si="62"/>
        <v>0</v>
      </c>
      <c r="AK115" s="11">
        <f t="shared" si="62"/>
        <v>0</v>
      </c>
      <c r="AL115" s="11">
        <f t="shared" si="62"/>
        <v>0</v>
      </c>
      <c r="AM115" s="11">
        <f t="shared" si="62"/>
        <v>0</v>
      </c>
      <c r="AN115" s="11">
        <f t="shared" si="62"/>
        <v>0</v>
      </c>
      <c r="AO115" s="11">
        <f t="shared" si="62"/>
        <v>0</v>
      </c>
      <c r="AP115" s="11">
        <f t="shared" si="62"/>
        <v>0</v>
      </c>
      <c r="AQ115" s="11">
        <f t="shared" si="62"/>
        <v>0</v>
      </c>
      <c r="AR115" s="11">
        <f t="shared" si="62"/>
        <v>0</v>
      </c>
      <c r="AS115" s="11">
        <f t="shared" si="62"/>
        <v>0</v>
      </c>
      <c r="AT115" s="11">
        <f t="shared" si="62"/>
        <v>0</v>
      </c>
      <c r="AU115" s="11">
        <f t="shared" si="62"/>
        <v>0</v>
      </c>
      <c r="AV115" s="11">
        <f t="shared" si="62"/>
        <v>0</v>
      </c>
      <c r="AW115" s="11">
        <f t="shared" si="62"/>
        <v>0</v>
      </c>
      <c r="AX115" s="11">
        <f t="shared" si="62"/>
        <v>0</v>
      </c>
      <c r="AY115" s="11">
        <f t="shared" si="62"/>
        <v>0</v>
      </c>
      <c r="AZ115" s="11">
        <f t="shared" si="62"/>
        <v>0</v>
      </c>
      <c r="BA115" s="11">
        <f t="shared" si="62"/>
        <v>0</v>
      </c>
      <c r="BB115" s="11">
        <f t="shared" si="62"/>
        <v>0</v>
      </c>
      <c r="BC115" s="11">
        <f t="shared" si="62"/>
        <v>0</v>
      </c>
      <c r="BD115" s="11">
        <f t="shared" si="62"/>
        <v>0</v>
      </c>
      <c r="BE115" s="11">
        <f t="shared" si="62"/>
        <v>0</v>
      </c>
      <c r="BF115" s="11">
        <f t="shared" si="62"/>
        <v>0</v>
      </c>
      <c r="BG115" s="11">
        <f t="shared" si="62"/>
        <v>0</v>
      </c>
      <c r="BH115" s="11">
        <f t="shared" si="62"/>
        <v>0</v>
      </c>
      <c r="BI115" s="11">
        <f t="shared" si="62"/>
        <v>0</v>
      </c>
      <c r="BJ115" s="11">
        <f t="shared" si="62"/>
        <v>0</v>
      </c>
      <c r="BK115" s="11">
        <f t="shared" si="62"/>
        <v>0</v>
      </c>
      <c r="BL115" s="11">
        <f t="shared" si="62"/>
        <v>0</v>
      </c>
      <c r="BM115" s="11">
        <f t="shared" si="62"/>
        <v>0</v>
      </c>
      <c r="BN115" s="11">
        <f t="shared" si="62"/>
        <v>0</v>
      </c>
      <c r="BO115" s="11">
        <f t="shared" si="62"/>
        <v>0</v>
      </c>
      <c r="BP115" s="11">
        <f t="shared" ref="BP115:CZ115" si="63">SUMPRODUCT($B111:$B114,BP111:BP114)</f>
        <v>0</v>
      </c>
      <c r="BQ115" s="11">
        <f t="shared" si="63"/>
        <v>0</v>
      </c>
      <c r="BR115" s="11">
        <f t="shared" si="63"/>
        <v>0</v>
      </c>
      <c r="BS115" s="11">
        <f t="shared" si="63"/>
        <v>0</v>
      </c>
      <c r="BT115" s="11">
        <f t="shared" si="63"/>
        <v>0</v>
      </c>
      <c r="BU115" s="11">
        <f t="shared" si="63"/>
        <v>0</v>
      </c>
      <c r="BV115" s="11">
        <f t="shared" si="63"/>
        <v>0</v>
      </c>
      <c r="BW115" s="11">
        <f t="shared" si="63"/>
        <v>0</v>
      </c>
      <c r="BX115" s="11">
        <f t="shared" si="63"/>
        <v>0</v>
      </c>
      <c r="BY115" s="11">
        <f t="shared" si="63"/>
        <v>0</v>
      </c>
      <c r="BZ115" s="11">
        <f t="shared" si="63"/>
        <v>0</v>
      </c>
      <c r="CA115" s="11">
        <f t="shared" si="63"/>
        <v>0</v>
      </c>
      <c r="CB115" s="11">
        <f t="shared" si="63"/>
        <v>0</v>
      </c>
      <c r="CC115" s="11">
        <f t="shared" si="63"/>
        <v>0</v>
      </c>
      <c r="CD115" s="11">
        <f t="shared" si="63"/>
        <v>0</v>
      </c>
      <c r="CE115" s="11">
        <f t="shared" si="63"/>
        <v>0</v>
      </c>
      <c r="CF115" s="11">
        <f t="shared" si="63"/>
        <v>0</v>
      </c>
      <c r="CG115" s="11">
        <f t="shared" si="63"/>
        <v>0</v>
      </c>
      <c r="CH115" s="11">
        <f t="shared" si="63"/>
        <v>0</v>
      </c>
      <c r="CI115" s="11">
        <f t="shared" si="63"/>
        <v>0</v>
      </c>
      <c r="CJ115" s="11">
        <f t="shared" si="63"/>
        <v>0</v>
      </c>
      <c r="CK115" s="11">
        <f t="shared" si="63"/>
        <v>0</v>
      </c>
      <c r="CL115" s="11">
        <f t="shared" si="63"/>
        <v>0</v>
      </c>
      <c r="CM115" s="11">
        <f t="shared" si="63"/>
        <v>0</v>
      </c>
      <c r="CN115" s="11">
        <f t="shared" si="63"/>
        <v>0</v>
      </c>
      <c r="CO115" s="11">
        <f t="shared" si="63"/>
        <v>0</v>
      </c>
      <c r="CP115" s="11">
        <f t="shared" si="63"/>
        <v>0</v>
      </c>
      <c r="CQ115" s="11">
        <f t="shared" si="63"/>
        <v>0</v>
      </c>
      <c r="CR115" s="11">
        <f t="shared" si="63"/>
        <v>0</v>
      </c>
      <c r="CS115" s="11">
        <f t="shared" si="63"/>
        <v>0</v>
      </c>
      <c r="CT115" s="11">
        <f t="shared" si="63"/>
        <v>0</v>
      </c>
      <c r="CU115" s="11">
        <f t="shared" si="63"/>
        <v>0</v>
      </c>
      <c r="CV115" s="11">
        <f t="shared" si="63"/>
        <v>0</v>
      </c>
      <c r="CW115" s="11">
        <f t="shared" si="63"/>
        <v>0</v>
      </c>
      <c r="CX115" s="11">
        <f t="shared" si="63"/>
        <v>0</v>
      </c>
      <c r="CY115" s="11">
        <f t="shared" si="63"/>
        <v>0</v>
      </c>
      <c r="CZ115" s="11">
        <f t="shared" si="63"/>
        <v>0</v>
      </c>
    </row>
    <row r="116" spans="1:104">
      <c r="A116" s="4"/>
      <c r="B116" s="14" t="str">
        <f>IFERROR(VLOOKUP(A116,PRICELIST!$A$3:$D$138,4,0),"-")</f>
        <v>-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9">
        <f t="shared" ref="CY116:CZ118" si="64">C116+E116+G116+I116+K116+M116+O116+Q116+S116+U116+W116+Y116+AA116+AC116+AE116+AG116+AI116+AK116+AM116+AO116+AQ116+AS116+AU116+AW116+AY116+BA116+BC116+BE116+BG116+BI116+BK116+BM116+BO116+BQ116+BS116+BU116+BW116+BY116+CA116+CC116+CE116+CG116+CI116+CK116+CM116+CO116+CQ116+CS116+CU116+CW116</f>
        <v>0</v>
      </c>
      <c r="CZ116" s="19">
        <f t="shared" si="64"/>
        <v>0</v>
      </c>
    </row>
    <row r="117" spans="1:104">
      <c r="A117" s="4"/>
      <c r="B117" s="14" t="str">
        <f>IFERROR(VLOOKUP(A117,PRICELIST!$A$3:$D$138,4,0),"-")</f>
        <v>-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9">
        <f t="shared" si="64"/>
        <v>0</v>
      </c>
      <c r="CZ117" s="19">
        <f t="shared" si="64"/>
        <v>0</v>
      </c>
    </row>
    <row r="118" spans="1:104">
      <c r="A118" s="4"/>
      <c r="B118" s="14" t="str">
        <f>IFERROR(VLOOKUP(A118,PRICELIST!$A$3:$D$138,4,0),"-")</f>
        <v>-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9">
        <f t="shared" si="64"/>
        <v>0</v>
      </c>
      <c r="CZ118" s="19">
        <f t="shared" si="64"/>
        <v>0</v>
      </c>
    </row>
    <row r="119" spans="1:104">
      <c r="A119" s="9"/>
      <c r="B119" s="15"/>
      <c r="C119" s="5">
        <f>SUMPRODUCT($B116:$B118,C116:C118)</f>
        <v>0</v>
      </c>
      <c r="D119" s="5">
        <f t="shared" ref="D119:BO119" si="65">SUMPRODUCT($B116:$B118,D116:D118)</f>
        <v>0</v>
      </c>
      <c r="E119" s="5">
        <f t="shared" si="65"/>
        <v>0</v>
      </c>
      <c r="F119" s="5">
        <f t="shared" si="65"/>
        <v>0</v>
      </c>
      <c r="G119" s="5">
        <f t="shared" si="65"/>
        <v>0</v>
      </c>
      <c r="H119" s="5">
        <f t="shared" si="65"/>
        <v>0</v>
      </c>
      <c r="I119" s="5">
        <f t="shared" si="65"/>
        <v>0</v>
      </c>
      <c r="J119" s="5">
        <f t="shared" si="65"/>
        <v>0</v>
      </c>
      <c r="K119" s="5">
        <f t="shared" si="65"/>
        <v>0</v>
      </c>
      <c r="L119" s="5">
        <f t="shared" si="65"/>
        <v>0</v>
      </c>
      <c r="M119" s="5">
        <f t="shared" si="65"/>
        <v>0</v>
      </c>
      <c r="N119" s="5">
        <f t="shared" si="65"/>
        <v>0</v>
      </c>
      <c r="O119" s="5">
        <f t="shared" si="65"/>
        <v>0</v>
      </c>
      <c r="P119" s="5">
        <f t="shared" si="65"/>
        <v>0</v>
      </c>
      <c r="Q119" s="5">
        <f t="shared" si="65"/>
        <v>0</v>
      </c>
      <c r="R119" s="5">
        <f t="shared" si="65"/>
        <v>0</v>
      </c>
      <c r="S119" s="5">
        <f t="shared" si="65"/>
        <v>0</v>
      </c>
      <c r="T119" s="5">
        <f t="shared" si="65"/>
        <v>0</v>
      </c>
      <c r="U119" s="5">
        <f t="shared" si="65"/>
        <v>0</v>
      </c>
      <c r="V119" s="5">
        <f t="shared" si="65"/>
        <v>0</v>
      </c>
      <c r="W119" s="5">
        <f t="shared" si="65"/>
        <v>0</v>
      </c>
      <c r="X119" s="5">
        <f t="shared" si="65"/>
        <v>0</v>
      </c>
      <c r="Y119" s="5">
        <f t="shared" si="65"/>
        <v>0</v>
      </c>
      <c r="Z119" s="5">
        <f t="shared" si="65"/>
        <v>0</v>
      </c>
      <c r="AA119" s="5">
        <f t="shared" si="65"/>
        <v>0</v>
      </c>
      <c r="AB119" s="5">
        <f t="shared" si="65"/>
        <v>0</v>
      </c>
      <c r="AC119" s="5">
        <f t="shared" si="65"/>
        <v>0</v>
      </c>
      <c r="AD119" s="5">
        <f t="shared" si="65"/>
        <v>0</v>
      </c>
      <c r="AE119" s="5">
        <f t="shared" si="65"/>
        <v>0</v>
      </c>
      <c r="AF119" s="5">
        <f t="shared" si="65"/>
        <v>0</v>
      </c>
      <c r="AG119" s="5">
        <f t="shared" si="65"/>
        <v>0</v>
      </c>
      <c r="AH119" s="5">
        <f t="shared" si="65"/>
        <v>0</v>
      </c>
      <c r="AI119" s="5">
        <f t="shared" si="65"/>
        <v>0</v>
      </c>
      <c r="AJ119" s="5">
        <f t="shared" si="65"/>
        <v>0</v>
      </c>
      <c r="AK119" s="5">
        <f t="shared" si="65"/>
        <v>0</v>
      </c>
      <c r="AL119" s="5">
        <f t="shared" si="65"/>
        <v>0</v>
      </c>
      <c r="AM119" s="5">
        <f t="shared" si="65"/>
        <v>0</v>
      </c>
      <c r="AN119" s="5">
        <f t="shared" si="65"/>
        <v>0</v>
      </c>
      <c r="AO119" s="5">
        <f t="shared" si="65"/>
        <v>0</v>
      </c>
      <c r="AP119" s="5">
        <f t="shared" si="65"/>
        <v>0</v>
      </c>
      <c r="AQ119" s="5">
        <f t="shared" si="65"/>
        <v>0</v>
      </c>
      <c r="AR119" s="5">
        <f t="shared" si="65"/>
        <v>0</v>
      </c>
      <c r="AS119" s="5">
        <f t="shared" si="65"/>
        <v>0</v>
      </c>
      <c r="AT119" s="5">
        <f t="shared" si="65"/>
        <v>0</v>
      </c>
      <c r="AU119" s="5">
        <f t="shared" si="65"/>
        <v>0</v>
      </c>
      <c r="AV119" s="5">
        <f t="shared" si="65"/>
        <v>0</v>
      </c>
      <c r="AW119" s="5">
        <f t="shared" si="65"/>
        <v>0</v>
      </c>
      <c r="AX119" s="5">
        <f t="shared" si="65"/>
        <v>0</v>
      </c>
      <c r="AY119" s="5">
        <f t="shared" si="65"/>
        <v>0</v>
      </c>
      <c r="AZ119" s="5">
        <f t="shared" si="65"/>
        <v>0</v>
      </c>
      <c r="BA119" s="5">
        <f t="shared" si="65"/>
        <v>0</v>
      </c>
      <c r="BB119" s="5">
        <f t="shared" si="65"/>
        <v>0</v>
      </c>
      <c r="BC119" s="5">
        <f t="shared" si="65"/>
        <v>0</v>
      </c>
      <c r="BD119" s="5">
        <f t="shared" si="65"/>
        <v>0</v>
      </c>
      <c r="BE119" s="5">
        <f t="shared" si="65"/>
        <v>0</v>
      </c>
      <c r="BF119" s="5">
        <f t="shared" si="65"/>
        <v>0</v>
      </c>
      <c r="BG119" s="5">
        <f t="shared" si="65"/>
        <v>0</v>
      </c>
      <c r="BH119" s="5">
        <f t="shared" si="65"/>
        <v>0</v>
      </c>
      <c r="BI119" s="5">
        <f t="shared" si="65"/>
        <v>0</v>
      </c>
      <c r="BJ119" s="5">
        <f t="shared" si="65"/>
        <v>0</v>
      </c>
      <c r="BK119" s="5">
        <f t="shared" si="65"/>
        <v>0</v>
      </c>
      <c r="BL119" s="5">
        <f t="shared" si="65"/>
        <v>0</v>
      </c>
      <c r="BM119" s="5">
        <f t="shared" si="65"/>
        <v>0</v>
      </c>
      <c r="BN119" s="5">
        <f t="shared" si="65"/>
        <v>0</v>
      </c>
      <c r="BO119" s="5">
        <f t="shared" si="65"/>
        <v>0</v>
      </c>
      <c r="BP119" s="5">
        <f t="shared" ref="BP119:CZ119" si="66">SUMPRODUCT($B116:$B118,BP116:BP118)</f>
        <v>0</v>
      </c>
      <c r="BQ119" s="5">
        <f t="shared" si="66"/>
        <v>0</v>
      </c>
      <c r="BR119" s="5">
        <f t="shared" si="66"/>
        <v>0</v>
      </c>
      <c r="BS119" s="5">
        <f t="shared" si="66"/>
        <v>0</v>
      </c>
      <c r="BT119" s="5">
        <f t="shared" si="66"/>
        <v>0</v>
      </c>
      <c r="BU119" s="5">
        <f t="shared" si="66"/>
        <v>0</v>
      </c>
      <c r="BV119" s="5">
        <f t="shared" si="66"/>
        <v>0</v>
      </c>
      <c r="BW119" s="5">
        <f t="shared" si="66"/>
        <v>0</v>
      </c>
      <c r="BX119" s="5">
        <f t="shared" si="66"/>
        <v>0</v>
      </c>
      <c r="BY119" s="5">
        <f t="shared" si="66"/>
        <v>0</v>
      </c>
      <c r="BZ119" s="5">
        <f t="shared" si="66"/>
        <v>0</v>
      </c>
      <c r="CA119" s="5">
        <f t="shared" si="66"/>
        <v>0</v>
      </c>
      <c r="CB119" s="5">
        <f t="shared" si="66"/>
        <v>0</v>
      </c>
      <c r="CC119" s="5">
        <f t="shared" si="66"/>
        <v>0</v>
      </c>
      <c r="CD119" s="5">
        <f t="shared" si="66"/>
        <v>0</v>
      </c>
      <c r="CE119" s="5">
        <f t="shared" si="66"/>
        <v>0</v>
      </c>
      <c r="CF119" s="5">
        <f t="shared" si="66"/>
        <v>0</v>
      </c>
      <c r="CG119" s="5">
        <f t="shared" si="66"/>
        <v>0</v>
      </c>
      <c r="CH119" s="5">
        <f t="shared" si="66"/>
        <v>0</v>
      </c>
      <c r="CI119" s="5">
        <f t="shared" si="66"/>
        <v>0</v>
      </c>
      <c r="CJ119" s="5">
        <f t="shared" si="66"/>
        <v>0</v>
      </c>
      <c r="CK119" s="5">
        <f t="shared" si="66"/>
        <v>0</v>
      </c>
      <c r="CL119" s="5">
        <f t="shared" si="66"/>
        <v>0</v>
      </c>
      <c r="CM119" s="5">
        <f t="shared" si="66"/>
        <v>0</v>
      </c>
      <c r="CN119" s="5">
        <f t="shared" si="66"/>
        <v>0</v>
      </c>
      <c r="CO119" s="5">
        <f t="shared" si="66"/>
        <v>0</v>
      </c>
      <c r="CP119" s="5">
        <f t="shared" si="66"/>
        <v>0</v>
      </c>
      <c r="CQ119" s="5">
        <f t="shared" si="66"/>
        <v>0</v>
      </c>
      <c r="CR119" s="5">
        <f t="shared" si="66"/>
        <v>0</v>
      </c>
      <c r="CS119" s="5">
        <f t="shared" si="66"/>
        <v>0</v>
      </c>
      <c r="CT119" s="5">
        <f t="shared" si="66"/>
        <v>0</v>
      </c>
      <c r="CU119" s="5">
        <f t="shared" si="66"/>
        <v>0</v>
      </c>
      <c r="CV119" s="5">
        <f t="shared" si="66"/>
        <v>0</v>
      </c>
      <c r="CW119" s="5">
        <f t="shared" si="66"/>
        <v>0</v>
      </c>
      <c r="CX119" s="5">
        <f t="shared" si="66"/>
        <v>0</v>
      </c>
      <c r="CY119" s="5">
        <f t="shared" si="66"/>
        <v>0</v>
      </c>
      <c r="CZ119" s="5">
        <f t="shared" si="66"/>
        <v>0</v>
      </c>
    </row>
    <row r="120" spans="1:104" ht="15.5">
      <c r="A120" s="16" t="s">
        <v>71</v>
      </c>
      <c r="B120" s="17"/>
      <c r="C120" s="6">
        <f t="shared" ref="C120:AH120" si="67">SUM(C10,C20,C24,C27,C34,C37,C40,C47,C49,C53,C59,C71,C79,C81,C88,C92,C95,C99,C110,C115,C119)/100000</f>
        <v>0</v>
      </c>
      <c r="D120" s="6">
        <f t="shared" si="67"/>
        <v>0</v>
      </c>
      <c r="E120" s="6">
        <f t="shared" si="67"/>
        <v>0</v>
      </c>
      <c r="F120" s="6">
        <f t="shared" si="67"/>
        <v>0</v>
      </c>
      <c r="G120" s="6">
        <f t="shared" si="67"/>
        <v>0</v>
      </c>
      <c r="H120" s="6">
        <f t="shared" si="67"/>
        <v>0</v>
      </c>
      <c r="I120" s="6">
        <f t="shared" si="67"/>
        <v>0</v>
      </c>
      <c r="J120" s="6">
        <f t="shared" si="67"/>
        <v>0</v>
      </c>
      <c r="K120" s="6">
        <f t="shared" si="67"/>
        <v>0</v>
      </c>
      <c r="L120" s="6">
        <f t="shared" si="67"/>
        <v>0</v>
      </c>
      <c r="M120" s="6">
        <f t="shared" si="67"/>
        <v>0</v>
      </c>
      <c r="N120" s="6">
        <f t="shared" si="67"/>
        <v>0</v>
      </c>
      <c r="O120" s="6">
        <f t="shared" si="67"/>
        <v>0</v>
      </c>
      <c r="P120" s="6">
        <f t="shared" si="67"/>
        <v>0</v>
      </c>
      <c r="Q120" s="6">
        <f t="shared" si="67"/>
        <v>0</v>
      </c>
      <c r="R120" s="6">
        <f t="shared" si="67"/>
        <v>0</v>
      </c>
      <c r="S120" s="6">
        <f t="shared" si="67"/>
        <v>0</v>
      </c>
      <c r="T120" s="6">
        <f t="shared" si="67"/>
        <v>0</v>
      </c>
      <c r="U120" s="6">
        <f t="shared" si="67"/>
        <v>0</v>
      </c>
      <c r="V120" s="6">
        <f t="shared" si="67"/>
        <v>0</v>
      </c>
      <c r="W120" s="6">
        <f t="shared" si="67"/>
        <v>0</v>
      </c>
      <c r="X120" s="6">
        <f t="shared" si="67"/>
        <v>0</v>
      </c>
      <c r="Y120" s="6">
        <f t="shared" si="67"/>
        <v>0</v>
      </c>
      <c r="Z120" s="6">
        <f t="shared" si="67"/>
        <v>0</v>
      </c>
      <c r="AA120" s="6">
        <f t="shared" si="67"/>
        <v>0</v>
      </c>
      <c r="AB120" s="6">
        <f t="shared" si="67"/>
        <v>0</v>
      </c>
      <c r="AC120" s="6">
        <f t="shared" si="67"/>
        <v>0</v>
      </c>
      <c r="AD120" s="6">
        <f t="shared" si="67"/>
        <v>0</v>
      </c>
      <c r="AE120" s="6">
        <f t="shared" si="67"/>
        <v>0</v>
      </c>
      <c r="AF120" s="6">
        <f t="shared" si="67"/>
        <v>0</v>
      </c>
      <c r="AG120" s="6">
        <f t="shared" si="67"/>
        <v>0</v>
      </c>
      <c r="AH120" s="6">
        <f t="shared" si="67"/>
        <v>0</v>
      </c>
      <c r="AI120" s="6">
        <f t="shared" ref="AI120:BN120" si="68">SUM(AI10,AI20,AI24,AI27,AI34,AI37,AI40,AI47,AI49,AI53,AI59,AI71,AI79,AI81,AI88,AI92,AI95,AI99,AI110,AI115,AI119)/100000</f>
        <v>0</v>
      </c>
      <c r="AJ120" s="6">
        <f t="shared" si="68"/>
        <v>0</v>
      </c>
      <c r="AK120" s="6">
        <f t="shared" si="68"/>
        <v>0</v>
      </c>
      <c r="AL120" s="6">
        <f t="shared" si="68"/>
        <v>0</v>
      </c>
      <c r="AM120" s="6">
        <f t="shared" si="68"/>
        <v>0</v>
      </c>
      <c r="AN120" s="6">
        <f t="shared" si="68"/>
        <v>0</v>
      </c>
      <c r="AO120" s="6">
        <f t="shared" si="68"/>
        <v>0</v>
      </c>
      <c r="AP120" s="6">
        <f t="shared" si="68"/>
        <v>0</v>
      </c>
      <c r="AQ120" s="6">
        <f t="shared" si="68"/>
        <v>0</v>
      </c>
      <c r="AR120" s="6">
        <f t="shared" si="68"/>
        <v>0</v>
      </c>
      <c r="AS120" s="6">
        <f t="shared" si="68"/>
        <v>0</v>
      </c>
      <c r="AT120" s="6">
        <f t="shared" si="68"/>
        <v>0</v>
      </c>
      <c r="AU120" s="6">
        <f t="shared" si="68"/>
        <v>0</v>
      </c>
      <c r="AV120" s="6">
        <f t="shared" si="68"/>
        <v>0</v>
      </c>
      <c r="AW120" s="6">
        <f t="shared" si="68"/>
        <v>0</v>
      </c>
      <c r="AX120" s="6">
        <f t="shared" si="68"/>
        <v>0</v>
      </c>
      <c r="AY120" s="6">
        <f t="shared" si="68"/>
        <v>0</v>
      </c>
      <c r="AZ120" s="6">
        <f t="shared" si="68"/>
        <v>0</v>
      </c>
      <c r="BA120" s="6">
        <f t="shared" si="68"/>
        <v>0</v>
      </c>
      <c r="BB120" s="6">
        <f t="shared" si="68"/>
        <v>0</v>
      </c>
      <c r="BC120" s="6">
        <f t="shared" si="68"/>
        <v>0</v>
      </c>
      <c r="BD120" s="6">
        <f t="shared" si="68"/>
        <v>0</v>
      </c>
      <c r="BE120" s="6">
        <f t="shared" si="68"/>
        <v>0</v>
      </c>
      <c r="BF120" s="6">
        <f t="shared" si="68"/>
        <v>0</v>
      </c>
      <c r="BG120" s="6">
        <f t="shared" si="68"/>
        <v>0</v>
      </c>
      <c r="BH120" s="6">
        <f t="shared" si="68"/>
        <v>0</v>
      </c>
      <c r="BI120" s="6">
        <f t="shared" si="68"/>
        <v>0</v>
      </c>
      <c r="BJ120" s="6">
        <f t="shared" si="68"/>
        <v>0</v>
      </c>
      <c r="BK120" s="6">
        <f t="shared" si="68"/>
        <v>0</v>
      </c>
      <c r="BL120" s="6">
        <f t="shared" si="68"/>
        <v>0</v>
      </c>
      <c r="BM120" s="6">
        <f t="shared" si="68"/>
        <v>0</v>
      </c>
      <c r="BN120" s="6">
        <f t="shared" si="68"/>
        <v>0</v>
      </c>
      <c r="BO120" s="6">
        <f t="shared" ref="BO120:CT120" si="69">SUM(BO10,BO20,BO24,BO27,BO34,BO37,BO40,BO47,BO49,BO53,BO59,BO71,BO79,BO81,BO88,BO92,BO95,BO99,BO110,BO115,BO119)/100000</f>
        <v>0</v>
      </c>
      <c r="BP120" s="6">
        <f t="shared" si="69"/>
        <v>0</v>
      </c>
      <c r="BQ120" s="6">
        <f t="shared" si="69"/>
        <v>0</v>
      </c>
      <c r="BR120" s="6">
        <f t="shared" si="69"/>
        <v>0</v>
      </c>
      <c r="BS120" s="6">
        <f t="shared" si="69"/>
        <v>0</v>
      </c>
      <c r="BT120" s="6">
        <f t="shared" si="69"/>
        <v>0</v>
      </c>
      <c r="BU120" s="6">
        <f t="shared" si="69"/>
        <v>0</v>
      </c>
      <c r="BV120" s="6">
        <f t="shared" si="69"/>
        <v>0</v>
      </c>
      <c r="BW120" s="6">
        <f t="shared" si="69"/>
        <v>0</v>
      </c>
      <c r="BX120" s="6">
        <f t="shared" si="69"/>
        <v>0</v>
      </c>
      <c r="BY120" s="6">
        <f t="shared" si="69"/>
        <v>0</v>
      </c>
      <c r="BZ120" s="6">
        <f t="shared" si="69"/>
        <v>0</v>
      </c>
      <c r="CA120" s="6">
        <f t="shared" si="69"/>
        <v>0</v>
      </c>
      <c r="CB120" s="6">
        <f t="shared" si="69"/>
        <v>0</v>
      </c>
      <c r="CC120" s="6">
        <f t="shared" si="69"/>
        <v>0</v>
      </c>
      <c r="CD120" s="6">
        <f t="shared" si="69"/>
        <v>0</v>
      </c>
      <c r="CE120" s="6">
        <f t="shared" si="69"/>
        <v>0</v>
      </c>
      <c r="CF120" s="6">
        <f t="shared" si="69"/>
        <v>0</v>
      </c>
      <c r="CG120" s="6">
        <f t="shared" si="69"/>
        <v>0</v>
      </c>
      <c r="CH120" s="6">
        <f t="shared" si="69"/>
        <v>0</v>
      </c>
      <c r="CI120" s="6">
        <f t="shared" si="69"/>
        <v>0</v>
      </c>
      <c r="CJ120" s="6">
        <f t="shared" si="69"/>
        <v>0</v>
      </c>
      <c r="CK120" s="6">
        <f t="shared" si="69"/>
        <v>0</v>
      </c>
      <c r="CL120" s="6">
        <f t="shared" si="69"/>
        <v>0</v>
      </c>
      <c r="CM120" s="6">
        <f t="shared" si="69"/>
        <v>0</v>
      </c>
      <c r="CN120" s="6">
        <f t="shared" si="69"/>
        <v>0</v>
      </c>
      <c r="CO120" s="6">
        <f t="shared" si="69"/>
        <v>0</v>
      </c>
      <c r="CP120" s="6">
        <f t="shared" si="69"/>
        <v>0</v>
      </c>
      <c r="CQ120" s="6">
        <f t="shared" si="69"/>
        <v>0</v>
      </c>
      <c r="CR120" s="6">
        <f t="shared" si="69"/>
        <v>0</v>
      </c>
      <c r="CS120" s="6">
        <f t="shared" si="69"/>
        <v>0</v>
      </c>
      <c r="CT120" s="6">
        <f t="shared" si="69"/>
        <v>0</v>
      </c>
      <c r="CU120" s="6">
        <f t="shared" ref="CU120:CZ120" si="70">SUM(CU10,CU20,CU24,CU27,CU34,CU37,CU40,CU47,CU49,CU53,CU59,CU71,CU79,CU81,CU88,CU92,CU95,CU99,CU110,CU115,CU119)/100000</f>
        <v>0</v>
      </c>
      <c r="CV120" s="6">
        <f t="shared" si="70"/>
        <v>0</v>
      </c>
      <c r="CW120" s="6">
        <f t="shared" si="70"/>
        <v>0</v>
      </c>
      <c r="CX120" s="6">
        <f t="shared" si="70"/>
        <v>0</v>
      </c>
      <c r="CY120" s="6">
        <f t="shared" si="70"/>
        <v>0</v>
      </c>
      <c r="CZ120" s="6">
        <f t="shared" si="70"/>
        <v>0</v>
      </c>
    </row>
  </sheetData>
  <sheetProtection formatCells="0" selectLockedCells="1" autoFilter="0"/>
  <autoFilter ref="A2:CZ110" xr:uid="{00000000-0009-0000-0000-000006000000}"/>
  <mergeCells count="52">
    <mergeCell ref="CS1:CT1"/>
    <mergeCell ref="CU1:CV1"/>
    <mergeCell ref="CW1:CX1"/>
    <mergeCell ref="CY1:CZ1"/>
    <mergeCell ref="CG1:CH1"/>
    <mergeCell ref="CI1:CJ1"/>
    <mergeCell ref="CK1:CL1"/>
    <mergeCell ref="CM1:CN1"/>
    <mergeCell ref="CO1:CP1"/>
    <mergeCell ref="CQ1:CR1"/>
    <mergeCell ref="CE1:CF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BG1:BH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AI1:AJ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K1:L1"/>
    <mergeCell ref="A1:A2"/>
    <mergeCell ref="C1:D1"/>
    <mergeCell ref="E1:F1"/>
    <mergeCell ref="G1:H1"/>
    <mergeCell ref="I1:J1"/>
  </mergeCells>
  <pageMargins left="0.69930555555555596" right="0.69930555555555596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R12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:CZ121"/>
    </sheetView>
  </sheetViews>
  <sheetFormatPr defaultColWidth="9.1796875" defaultRowHeight="14.5"/>
  <cols>
    <col min="1" max="1" width="31.54296875" style="2" customWidth="1"/>
    <col min="2" max="2" width="8.81640625" style="3" customWidth="1"/>
    <col min="3" max="3" width="10" style="3" bestFit="1" customWidth="1"/>
    <col min="4" max="41" width="9.1796875" style="3"/>
    <col min="42" max="42" width="8.54296875" style="3" customWidth="1"/>
    <col min="43" max="43" width="7.54296875" style="3" customWidth="1"/>
    <col min="44" max="44" width="8.54296875" style="3" customWidth="1"/>
    <col min="45" max="45" width="7.54296875" style="3" customWidth="1"/>
    <col min="46" max="46" width="8.54296875" style="3" customWidth="1"/>
    <col min="47" max="47" width="7.54296875" style="3" customWidth="1"/>
    <col min="48" max="48" width="8.54296875" style="3" customWidth="1"/>
    <col min="49" max="49" width="7.54296875" style="3" customWidth="1"/>
    <col min="50" max="50" width="8.54296875" style="3" customWidth="1"/>
    <col min="51" max="51" width="7.54296875" style="3" customWidth="1"/>
    <col min="52" max="52" width="8.54296875" style="3" customWidth="1"/>
    <col min="53" max="53" width="7.54296875" style="3" customWidth="1"/>
    <col min="54" max="54" width="8.54296875" style="3" customWidth="1"/>
    <col min="55" max="55" width="7.54296875" style="3" customWidth="1"/>
    <col min="56" max="56" width="8.54296875" style="3" customWidth="1"/>
    <col min="57" max="57" width="7.54296875" style="3" customWidth="1"/>
    <col min="58" max="58" width="8.54296875" style="3" customWidth="1"/>
    <col min="59" max="59" width="7.54296875" style="3" customWidth="1"/>
    <col min="60" max="60" width="8.54296875" style="3" customWidth="1"/>
    <col min="61" max="61" width="7.54296875" style="3" customWidth="1"/>
    <col min="62" max="62" width="8.54296875" style="3" customWidth="1"/>
    <col min="63" max="63" width="7.54296875" style="3" customWidth="1"/>
    <col min="64" max="64" width="8.54296875" style="3" customWidth="1"/>
    <col min="65" max="65" width="7.54296875" style="3" customWidth="1"/>
    <col min="66" max="66" width="8.54296875" style="3" customWidth="1"/>
    <col min="67" max="67" width="7.54296875" style="3" customWidth="1"/>
    <col min="68" max="68" width="8.54296875" style="3" customWidth="1"/>
    <col min="69" max="69" width="7.54296875" style="3" customWidth="1"/>
    <col min="70" max="70" width="8.54296875" style="3" customWidth="1"/>
    <col min="71" max="71" width="7.54296875" style="3" customWidth="1"/>
    <col min="72" max="72" width="8.54296875" style="3" customWidth="1"/>
    <col min="73" max="73" width="7.54296875" style="3" customWidth="1"/>
    <col min="74" max="74" width="8.54296875" style="3" customWidth="1"/>
    <col min="75" max="75" width="7.54296875" style="3" customWidth="1"/>
    <col min="76" max="76" width="8.54296875" style="3" customWidth="1"/>
    <col min="77" max="77" width="7.54296875" style="3" customWidth="1"/>
    <col min="78" max="78" width="8.54296875" style="3" customWidth="1"/>
    <col min="79" max="79" width="7.54296875" style="3" customWidth="1"/>
    <col min="80" max="80" width="8.54296875" style="3" customWidth="1"/>
    <col min="81" max="81" width="7.54296875" style="3" customWidth="1"/>
    <col min="82" max="82" width="8.54296875" style="3" customWidth="1"/>
    <col min="83" max="83" width="7.54296875" style="3" customWidth="1"/>
    <col min="84" max="84" width="8.54296875" style="3" customWidth="1"/>
    <col min="85" max="85" width="7.54296875" style="3" customWidth="1"/>
    <col min="86" max="86" width="8.54296875" style="3" customWidth="1"/>
    <col min="87" max="87" width="7.54296875" style="3" customWidth="1"/>
    <col min="88" max="88" width="8.54296875" style="3" customWidth="1"/>
    <col min="89" max="89" width="7.54296875" style="3" customWidth="1"/>
    <col min="90" max="90" width="8.54296875" style="3" customWidth="1"/>
    <col min="91" max="91" width="7.54296875" style="3" customWidth="1"/>
    <col min="92" max="92" width="8.54296875" style="3" customWidth="1"/>
    <col min="93" max="93" width="7.54296875" style="3" customWidth="1"/>
    <col min="94" max="94" width="8.54296875" style="3" customWidth="1"/>
    <col min="95" max="95" width="7.54296875" style="3" customWidth="1"/>
    <col min="96" max="96" width="8.54296875" style="3" customWidth="1"/>
    <col min="97" max="97" width="7.54296875" style="3" customWidth="1"/>
    <col min="98" max="98" width="8.54296875" style="3" customWidth="1"/>
    <col min="99" max="99" width="7.54296875" style="3" customWidth="1"/>
    <col min="100" max="100" width="8.54296875" style="3" customWidth="1"/>
    <col min="101" max="101" width="7.54296875" style="3" customWidth="1"/>
    <col min="102" max="102" width="8.54296875" style="3" customWidth="1"/>
    <col min="103" max="103" width="11.81640625" style="3" customWidth="1"/>
    <col min="104" max="104" width="12.453125" style="3" customWidth="1"/>
    <col min="105" max="107" width="9.1796875" style="2"/>
    <col min="108" max="108" width="8" style="2" customWidth="1"/>
    <col min="109" max="16384" width="9.1796875" style="2"/>
  </cols>
  <sheetData>
    <row r="1" spans="1:122" s="37" customFormat="1" ht="19.5" customHeight="1">
      <c r="A1" s="44" t="s">
        <v>0</v>
      </c>
      <c r="B1" s="12"/>
      <c r="C1" s="46" t="str">
        <f>APRIL!C1</f>
        <v>VASU PHARMA DRUGS PVT LTD</v>
      </c>
      <c r="D1" s="46"/>
      <c r="E1" s="46" t="str">
        <f>APRIL!E1</f>
        <v>PRAKASH PHARMA DISTRIBUTORS</v>
      </c>
      <c r="F1" s="46"/>
      <c r="G1" s="46" t="str">
        <f>APRIL!G1</f>
        <v>Divya Pharma</v>
      </c>
      <c r="H1" s="46"/>
      <c r="I1" s="46" t="str">
        <f>APRIL!I1</f>
        <v>KEIMED PRIVATE LIMITED</v>
      </c>
      <c r="J1" s="46"/>
      <c r="K1" s="46" t="str">
        <f>APRIL!K1</f>
        <v>SAI SRIDHAR PHARMA PVT LTD</v>
      </c>
      <c r="L1" s="46"/>
      <c r="M1" s="46" t="str">
        <f>APRIL!M1</f>
        <v>SRI VENKATARAGHAVA AGENCIES</v>
      </c>
      <c r="N1" s="46"/>
      <c r="O1" s="46" t="str">
        <f>APRIL!O1</f>
        <v>SHREEJI DIST PVT LTD</v>
      </c>
      <c r="P1" s="46"/>
      <c r="Q1" s="46" t="str">
        <f>APRIL!Q1</f>
        <v>SVS PHARMA</v>
      </c>
      <c r="R1" s="46"/>
      <c r="S1" s="46" t="str">
        <f>APRIL!S1</f>
        <v>PHARMA DISTRIBUTORS</v>
      </c>
      <c r="T1" s="46"/>
      <c r="U1" s="46" t="str">
        <f>APRIL!U1</f>
        <v>SAI PHARMA DISTRIBUTERS PVT LTD</v>
      </c>
      <c r="V1" s="46"/>
      <c r="W1" s="46" t="str">
        <f>APRIL!W1</f>
        <v>ALANKRITA AGENCIES</v>
      </c>
      <c r="X1" s="46"/>
      <c r="Y1" s="46" t="str">
        <f>APRIL!Y1</f>
        <v>JAYA SURG &amp; PHARMA PVT LTD</v>
      </c>
      <c r="Z1" s="46"/>
      <c r="AA1" s="46" t="str">
        <f>APRIL!AA1</f>
        <v>MANASA MEDICAL AGENCIES</v>
      </c>
      <c r="AB1" s="46"/>
      <c r="AC1" s="46" t="str">
        <f>APRIL!AC1</f>
        <v>KARTHICK AGENCIES</v>
      </c>
      <c r="AD1" s="46"/>
      <c r="AE1" s="46" t="str">
        <f>APRIL!AE1</f>
        <v>NIRMALA AGENCIES</v>
      </c>
      <c r="AF1" s="46"/>
      <c r="AG1" s="46" t="str">
        <f>APRIL!AG1</f>
        <v>HIMALAYA MEDICAL AGENCIES</v>
      </c>
      <c r="AH1" s="46"/>
      <c r="AI1" s="46" t="str">
        <f>APRIL!AI1</f>
        <v xml:space="preserve">Maruthi </v>
      </c>
      <c r="AJ1" s="46"/>
      <c r="AK1" s="46" t="str">
        <f>APRIL!AK1</f>
        <v>LAXMI SAI MEDICAL AGENCIES</v>
      </c>
      <c r="AL1" s="46"/>
      <c r="AM1" s="46" t="str">
        <f>APRIL!AM1</f>
        <v>Patwari Pharma</v>
      </c>
      <c r="AN1" s="46"/>
      <c r="AO1" s="46" t="str">
        <f>APRIL!AO1</f>
        <v>Vishnu &amp; Co</v>
      </c>
      <c r="AP1" s="46"/>
      <c r="AQ1" s="46" t="str">
        <f>APRIL!AQ1</f>
        <v>SUMAN AGENCIES HYD PVT LTD</v>
      </c>
      <c r="AR1" s="46"/>
      <c r="AS1" s="46" t="str">
        <f>APRIL!AS1</f>
        <v>Sri Nirmala</v>
      </c>
      <c r="AT1" s="46"/>
      <c r="AU1" s="46" t="str">
        <f>APRIL!AU1</f>
        <v>SHREE SHARADA PHARMA</v>
      </c>
      <c r="AV1" s="46"/>
      <c r="AW1" s="46" t="str">
        <f>APRIL!AW1</f>
        <v>ALLIED PHARMA</v>
      </c>
      <c r="AX1" s="46"/>
      <c r="AY1" s="46" t="str">
        <f>APRIL!AY1</f>
        <v>GOEL DISTRIBUTER</v>
      </c>
      <c r="AZ1" s="46"/>
      <c r="BA1" s="46" t="str">
        <f>APRIL!BA1</f>
        <v>KAMALESH PHARMA</v>
      </c>
      <c r="BB1" s="46"/>
      <c r="BC1" s="46" t="str">
        <f>APRIL!BC1</f>
        <v>ARVIND PHARMA DISTRIBUTER</v>
      </c>
      <c r="BD1" s="46"/>
      <c r="BE1" s="46" t="str">
        <f>APRIL!BE1</f>
        <v>GOEL PHARMA</v>
      </c>
      <c r="BF1" s="46"/>
      <c r="BG1" s="46" t="str">
        <f>APRIL!BG1</f>
        <v>KRISHNA  PHARMACEUTICALS</v>
      </c>
      <c r="BH1" s="46"/>
      <c r="BI1" s="46" t="str">
        <f>APRIL!BI1</f>
        <v>AP DRUGS</v>
      </c>
      <c r="BJ1" s="46"/>
      <c r="BK1" s="46" t="str">
        <f>APRIL!BK1</f>
        <v>MAWA PHARMACEUTICALS</v>
      </c>
      <c r="BL1" s="46"/>
      <c r="BM1" s="46" t="str">
        <f>APRIL!BM1</f>
        <v>TIRUMALA AGENCIES</v>
      </c>
      <c r="BN1" s="46"/>
      <c r="BO1" s="46" t="str">
        <f>APRIL!BO1</f>
        <v>SREE HARI MEDICALS</v>
      </c>
      <c r="BP1" s="46"/>
      <c r="BQ1" s="46" t="str">
        <f>APRIL!BQ1</f>
        <v>SREE VENKATESHWARA MEDISOLUTIONS</v>
      </c>
      <c r="BR1" s="46"/>
      <c r="BS1" s="46" t="str">
        <f>APRIL!BS1</f>
        <v>SRI BALAJI DRUGS</v>
      </c>
      <c r="BT1" s="46"/>
      <c r="BU1" s="46" t="str">
        <f>APRIL!BU1</f>
        <v>VISHNU MEDICAL HALL</v>
      </c>
      <c r="BV1" s="46"/>
      <c r="BW1" s="46" t="str">
        <f>APRIL!BW1</f>
        <v>HYDERABAD SPECIALITY DRUGS</v>
      </c>
      <c r="BX1" s="46"/>
      <c r="BY1" s="46" t="str">
        <f>APRIL!BY1</f>
        <v>LORVEN PHARMA &amp; SURGICALS (CORP)</v>
      </c>
      <c r="BZ1" s="46"/>
      <c r="CA1" s="46" t="str">
        <f>APRIL!CA1</f>
        <v>AK PHARMA</v>
      </c>
      <c r="CB1" s="46"/>
      <c r="CC1" s="46" t="str">
        <f>APRIL!CC1</f>
        <v>OPTIVAL HEALTHSOLUTIONS</v>
      </c>
      <c r="CD1" s="46"/>
      <c r="CE1" s="46" t="str">
        <f>APRIL!CE1</f>
        <v>BALAJI MEDICAL AGENCIES</v>
      </c>
      <c r="CF1" s="46"/>
      <c r="CG1" s="46" t="str">
        <f>APRIL!CG1</f>
        <v>S42</v>
      </c>
      <c r="CH1" s="46"/>
      <c r="CI1" s="46" t="str">
        <f>APRIL!CI1</f>
        <v>S43</v>
      </c>
      <c r="CJ1" s="46"/>
      <c r="CK1" s="46" t="str">
        <f>APRIL!CK1</f>
        <v>S44</v>
      </c>
      <c r="CL1" s="46"/>
      <c r="CM1" s="46" t="str">
        <f>APRIL!CM1</f>
        <v>S45</v>
      </c>
      <c r="CN1" s="46"/>
      <c r="CO1" s="46" t="str">
        <f>APRIL!CO1</f>
        <v>S46</v>
      </c>
      <c r="CP1" s="46"/>
      <c r="CQ1" s="46" t="str">
        <f>APRIL!CQ1</f>
        <v>S47</v>
      </c>
      <c r="CR1" s="46"/>
      <c r="CS1" s="46" t="str">
        <f>APRIL!CS1</f>
        <v>S48</v>
      </c>
      <c r="CT1" s="46"/>
      <c r="CU1" s="46" t="str">
        <f>APRIL!CU1</f>
        <v>S49</v>
      </c>
      <c r="CV1" s="46"/>
      <c r="CW1" s="46" t="str">
        <f>APRIL!CW1</f>
        <v>S50</v>
      </c>
      <c r="CX1" s="46"/>
      <c r="CY1" s="43" t="s">
        <v>1</v>
      </c>
      <c r="CZ1" s="43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</row>
    <row r="2" spans="1:122" ht="43.5">
      <c r="A2" s="44"/>
      <c r="B2" s="12" t="s">
        <v>2</v>
      </c>
      <c r="C2" s="7" t="s">
        <v>90</v>
      </c>
      <c r="D2" s="7" t="s">
        <v>91</v>
      </c>
      <c r="E2" s="7" t="s">
        <v>90</v>
      </c>
      <c r="F2" s="7" t="s">
        <v>91</v>
      </c>
      <c r="G2" s="7" t="s">
        <v>90</v>
      </c>
      <c r="H2" s="7" t="s">
        <v>91</v>
      </c>
      <c r="I2" s="7" t="s">
        <v>90</v>
      </c>
      <c r="J2" s="7" t="s">
        <v>91</v>
      </c>
      <c r="K2" s="7" t="s">
        <v>90</v>
      </c>
      <c r="L2" s="7" t="s">
        <v>91</v>
      </c>
      <c r="M2" s="7" t="s">
        <v>90</v>
      </c>
      <c r="N2" s="7" t="s">
        <v>91</v>
      </c>
      <c r="O2" s="7" t="s">
        <v>90</v>
      </c>
      <c r="P2" s="7" t="s">
        <v>91</v>
      </c>
      <c r="Q2" s="7" t="s">
        <v>90</v>
      </c>
      <c r="R2" s="7" t="s">
        <v>91</v>
      </c>
      <c r="S2" s="7" t="s">
        <v>90</v>
      </c>
      <c r="T2" s="7" t="s">
        <v>91</v>
      </c>
      <c r="U2" s="7" t="s">
        <v>90</v>
      </c>
      <c r="V2" s="7" t="s">
        <v>91</v>
      </c>
      <c r="W2" s="7" t="s">
        <v>90</v>
      </c>
      <c r="X2" s="7" t="s">
        <v>91</v>
      </c>
      <c r="Y2" s="7" t="s">
        <v>90</v>
      </c>
      <c r="Z2" s="7" t="s">
        <v>91</v>
      </c>
      <c r="AA2" s="7" t="s">
        <v>90</v>
      </c>
      <c r="AB2" s="7" t="s">
        <v>91</v>
      </c>
      <c r="AC2" s="7" t="s">
        <v>90</v>
      </c>
      <c r="AD2" s="7" t="s">
        <v>91</v>
      </c>
      <c r="AE2" s="7" t="s">
        <v>90</v>
      </c>
      <c r="AF2" s="7" t="s">
        <v>91</v>
      </c>
      <c r="AG2" s="7" t="s">
        <v>90</v>
      </c>
      <c r="AH2" s="7" t="s">
        <v>91</v>
      </c>
      <c r="AI2" s="7" t="s">
        <v>90</v>
      </c>
      <c r="AJ2" s="7" t="s">
        <v>91</v>
      </c>
      <c r="AK2" s="7" t="s">
        <v>90</v>
      </c>
      <c r="AL2" s="7" t="s">
        <v>91</v>
      </c>
      <c r="AM2" s="7" t="s">
        <v>90</v>
      </c>
      <c r="AN2" s="7" t="s">
        <v>91</v>
      </c>
      <c r="AO2" s="7" t="s">
        <v>90</v>
      </c>
      <c r="AP2" s="7" t="s">
        <v>91</v>
      </c>
      <c r="AQ2" s="7" t="s">
        <v>90</v>
      </c>
      <c r="AR2" s="7" t="s">
        <v>91</v>
      </c>
      <c r="AS2" s="7" t="s">
        <v>90</v>
      </c>
      <c r="AT2" s="7" t="s">
        <v>91</v>
      </c>
      <c r="AU2" s="7" t="s">
        <v>90</v>
      </c>
      <c r="AV2" s="7" t="s">
        <v>91</v>
      </c>
      <c r="AW2" s="7" t="s">
        <v>90</v>
      </c>
      <c r="AX2" s="7" t="s">
        <v>91</v>
      </c>
      <c r="AY2" s="7" t="s">
        <v>90</v>
      </c>
      <c r="AZ2" s="7" t="s">
        <v>91</v>
      </c>
      <c r="BA2" s="7" t="s">
        <v>90</v>
      </c>
      <c r="BB2" s="7" t="s">
        <v>91</v>
      </c>
      <c r="BC2" s="7" t="s">
        <v>90</v>
      </c>
      <c r="BD2" s="7" t="s">
        <v>91</v>
      </c>
      <c r="BE2" s="7" t="s">
        <v>90</v>
      </c>
      <c r="BF2" s="7" t="s">
        <v>91</v>
      </c>
      <c r="BG2" s="7" t="s">
        <v>90</v>
      </c>
      <c r="BH2" s="7" t="s">
        <v>91</v>
      </c>
      <c r="BI2" s="7" t="s">
        <v>90</v>
      </c>
      <c r="BJ2" s="7" t="s">
        <v>91</v>
      </c>
      <c r="BK2" s="7" t="s">
        <v>90</v>
      </c>
      <c r="BL2" s="7" t="s">
        <v>91</v>
      </c>
      <c r="BM2" s="7" t="s">
        <v>90</v>
      </c>
      <c r="BN2" s="7" t="s">
        <v>91</v>
      </c>
      <c r="BO2" s="7" t="s">
        <v>90</v>
      </c>
      <c r="BP2" s="7" t="s">
        <v>91</v>
      </c>
      <c r="BQ2" s="7" t="s">
        <v>90</v>
      </c>
      <c r="BR2" s="7" t="s">
        <v>91</v>
      </c>
      <c r="BS2" s="7" t="s">
        <v>90</v>
      </c>
      <c r="BT2" s="7" t="s">
        <v>91</v>
      </c>
      <c r="BU2" s="7" t="s">
        <v>90</v>
      </c>
      <c r="BV2" s="7" t="s">
        <v>91</v>
      </c>
      <c r="BW2" s="7" t="s">
        <v>90</v>
      </c>
      <c r="BX2" s="7" t="s">
        <v>91</v>
      </c>
      <c r="BY2" s="7" t="s">
        <v>90</v>
      </c>
      <c r="BZ2" s="7" t="s">
        <v>91</v>
      </c>
      <c r="CA2" s="7" t="s">
        <v>90</v>
      </c>
      <c r="CB2" s="7" t="s">
        <v>91</v>
      </c>
      <c r="CC2" s="7" t="s">
        <v>90</v>
      </c>
      <c r="CD2" s="7" t="s">
        <v>91</v>
      </c>
      <c r="CE2" s="7" t="s">
        <v>90</v>
      </c>
      <c r="CF2" s="7" t="s">
        <v>91</v>
      </c>
      <c r="CG2" s="7" t="s">
        <v>90</v>
      </c>
      <c r="CH2" s="7" t="s">
        <v>91</v>
      </c>
      <c r="CI2" s="7" t="s">
        <v>90</v>
      </c>
      <c r="CJ2" s="7" t="s">
        <v>91</v>
      </c>
      <c r="CK2" s="7" t="s">
        <v>90</v>
      </c>
      <c r="CL2" s="7" t="s">
        <v>91</v>
      </c>
      <c r="CM2" s="7" t="s">
        <v>90</v>
      </c>
      <c r="CN2" s="7" t="s">
        <v>91</v>
      </c>
      <c r="CO2" s="7" t="s">
        <v>90</v>
      </c>
      <c r="CP2" s="7" t="s">
        <v>91</v>
      </c>
      <c r="CQ2" s="7" t="s">
        <v>90</v>
      </c>
      <c r="CR2" s="7" t="s">
        <v>91</v>
      </c>
      <c r="CS2" s="7" t="s">
        <v>90</v>
      </c>
      <c r="CT2" s="7" t="s">
        <v>91</v>
      </c>
      <c r="CU2" s="7" t="s">
        <v>90</v>
      </c>
      <c r="CV2" s="7" t="s">
        <v>91</v>
      </c>
      <c r="CW2" s="7" t="s">
        <v>90</v>
      </c>
      <c r="CX2" s="7" t="s">
        <v>91</v>
      </c>
      <c r="CY2" s="7" t="s">
        <v>90</v>
      </c>
      <c r="CZ2" s="7" t="s">
        <v>91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</row>
    <row r="3" spans="1:122" ht="18" customHeight="1">
      <c r="A3" s="13" t="s">
        <v>3</v>
      </c>
      <c r="B3" s="14">
        <f>IFERROR(VLOOKUP(A3,PRICELIST!$A$3:$D$138,4,0),"-")</f>
        <v>167.79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9">
        <f>C3+E3+G3+I3+K3+M3+O3+Q3+S3+U3+W3+Y3+AA3+AC3+AE3+AG3+AI3+AK3+AM3+AO3+AQ3+AS3+AU3+AW3+AY3+BA3+BC3+BE3+BG3+BI3+BK3+BM3+BO3+BQ3+BS3+BU3+BW3+BY3+CA3+CC3+CE3+CG3+CI3+CK3+CM3+CO3+CQ3+CS3+CU3+CW3</f>
        <v>0</v>
      </c>
      <c r="CZ3" s="19">
        <f>D3+F3+H3+J3+L3+N3+P3+R3+T3+V3+X3+Z3+AB3+AD3+AF3+AH3+AJ3+AL3+AN3+AP3+AR3+AT3+AV3+AX3+AZ3+BB3+BD3+BF3+BH3+BJ3+BL3+BN3+BP3+BR3+BT3+BV3+BX3+BZ3+CB3+CD3+CF3+CH3+CJ3+CL3+CN3+CP3+CR3+CT3+CV3+CX3</f>
        <v>0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</row>
    <row r="4" spans="1:122" ht="18" customHeight="1">
      <c r="A4" s="13" t="s">
        <v>4</v>
      </c>
      <c r="B4" s="14">
        <f>IFERROR(VLOOKUP(A4,PRICELIST!$A$3:$D$138,4,0),"-")</f>
        <v>112.5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9">
        <f t="shared" ref="CY4:CZ9" si="0">C4+E4+G4+I4+K4+M4+O4+Q4+S4+U4+W4+Y4+AA4+AC4+AE4+AG4+AI4+AK4+AM4+AO4+AQ4+AS4+AU4+AW4+AY4+BA4+BC4+BE4+BG4+BI4+BK4+BM4+BO4+BQ4+BS4+BU4+BW4+BY4+CA4+CC4+CE4+CG4+CI4+CK4+CM4+CO4+CQ4+CS4+CU4+CW4</f>
        <v>0</v>
      </c>
      <c r="CZ4" s="19">
        <f t="shared" si="0"/>
        <v>0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</row>
    <row r="5" spans="1:122" ht="18" customHeight="1">
      <c r="A5" s="13" t="s">
        <v>5</v>
      </c>
      <c r="B5" s="14">
        <f>IFERROR(VLOOKUP(A5,PRICELIST!$A$3:$D$138,4,0),"-")</f>
        <v>127.87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9">
        <f t="shared" si="0"/>
        <v>0</v>
      </c>
      <c r="CZ5" s="19">
        <f t="shared" si="0"/>
        <v>0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</row>
    <row r="6" spans="1:122" ht="18" customHeight="1">
      <c r="A6" s="13" t="s">
        <v>6</v>
      </c>
      <c r="B6" s="14">
        <f>IFERROR(VLOOKUP(A6,PRICELIST!$A$3:$D$138,4,0),"-")</f>
        <v>88.7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9">
        <f t="shared" si="0"/>
        <v>0</v>
      </c>
      <c r="CZ6" s="19">
        <f t="shared" si="0"/>
        <v>0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</row>
    <row r="7" spans="1:122" ht="18" customHeight="1">
      <c r="A7" s="13" t="s">
        <v>78</v>
      </c>
      <c r="B7" s="14">
        <f>IFERROR(VLOOKUP(A7,PRICELIST!$A$3:$D$138,4,0),"-")</f>
        <v>171.64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9">
        <f t="shared" si="0"/>
        <v>0</v>
      </c>
      <c r="CZ7" s="19">
        <f t="shared" si="0"/>
        <v>0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</row>
    <row r="8" spans="1:122" ht="18" customHeight="1">
      <c r="A8" s="13" t="s">
        <v>7</v>
      </c>
      <c r="B8" s="14">
        <f>IFERROR(VLOOKUP(A8,PRICELIST!$A$3:$D$138,4,0),"-")</f>
        <v>216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9">
        <f t="shared" si="0"/>
        <v>0</v>
      </c>
      <c r="CZ8" s="19">
        <f t="shared" si="0"/>
        <v>0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</row>
    <row r="9" spans="1:122" ht="18" customHeight="1">
      <c r="A9" s="13" t="s">
        <v>8</v>
      </c>
      <c r="B9" s="14">
        <f>IFERROR(VLOOKUP(A9,PRICELIST!$A$3:$D$138,4,0),"-")</f>
        <v>163.93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9">
        <f t="shared" si="0"/>
        <v>0</v>
      </c>
      <c r="CZ9" s="19">
        <f t="shared" si="0"/>
        <v>0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</row>
    <row r="10" spans="1:122" ht="18" customHeight="1">
      <c r="A10" s="9" t="s">
        <v>9</v>
      </c>
      <c r="B10" s="10"/>
      <c r="C10" s="11">
        <f>SUMPRODUCT($B3:$B9,C3:C9)</f>
        <v>0</v>
      </c>
      <c r="D10" s="11">
        <f t="shared" ref="D10:BO10" si="1">SUMPRODUCT($B3:$B9,D3:D9)</f>
        <v>0</v>
      </c>
      <c r="E10" s="11">
        <f t="shared" si="1"/>
        <v>0</v>
      </c>
      <c r="F10" s="11">
        <f t="shared" si="1"/>
        <v>0</v>
      </c>
      <c r="G10" s="11">
        <f t="shared" si="1"/>
        <v>0</v>
      </c>
      <c r="H10" s="11">
        <f t="shared" si="1"/>
        <v>0</v>
      </c>
      <c r="I10" s="11">
        <f t="shared" si="1"/>
        <v>0</v>
      </c>
      <c r="J10" s="11">
        <f t="shared" si="1"/>
        <v>0</v>
      </c>
      <c r="K10" s="11">
        <f t="shared" si="1"/>
        <v>0</v>
      </c>
      <c r="L10" s="11">
        <f t="shared" si="1"/>
        <v>0</v>
      </c>
      <c r="M10" s="11">
        <f t="shared" si="1"/>
        <v>0</v>
      </c>
      <c r="N10" s="11">
        <f t="shared" si="1"/>
        <v>0</v>
      </c>
      <c r="O10" s="11">
        <f t="shared" si="1"/>
        <v>0</v>
      </c>
      <c r="P10" s="11">
        <f t="shared" si="1"/>
        <v>0</v>
      </c>
      <c r="Q10" s="11">
        <f t="shared" si="1"/>
        <v>0</v>
      </c>
      <c r="R10" s="11">
        <f t="shared" si="1"/>
        <v>0</v>
      </c>
      <c r="S10" s="11">
        <f t="shared" si="1"/>
        <v>0</v>
      </c>
      <c r="T10" s="11">
        <f t="shared" si="1"/>
        <v>0</v>
      </c>
      <c r="U10" s="11">
        <f t="shared" si="1"/>
        <v>0</v>
      </c>
      <c r="V10" s="11">
        <f t="shared" si="1"/>
        <v>0</v>
      </c>
      <c r="W10" s="11">
        <f t="shared" si="1"/>
        <v>0</v>
      </c>
      <c r="X10" s="11">
        <f t="shared" si="1"/>
        <v>0</v>
      </c>
      <c r="Y10" s="11">
        <f t="shared" si="1"/>
        <v>0</v>
      </c>
      <c r="Z10" s="11">
        <f t="shared" si="1"/>
        <v>0</v>
      </c>
      <c r="AA10" s="11">
        <f t="shared" si="1"/>
        <v>0</v>
      </c>
      <c r="AB10" s="11">
        <f t="shared" si="1"/>
        <v>0</v>
      </c>
      <c r="AC10" s="11">
        <f t="shared" si="1"/>
        <v>0</v>
      </c>
      <c r="AD10" s="11">
        <f t="shared" si="1"/>
        <v>0</v>
      </c>
      <c r="AE10" s="11">
        <f t="shared" si="1"/>
        <v>0</v>
      </c>
      <c r="AF10" s="11">
        <f t="shared" si="1"/>
        <v>0</v>
      </c>
      <c r="AG10" s="11">
        <f t="shared" si="1"/>
        <v>0</v>
      </c>
      <c r="AH10" s="11">
        <f t="shared" si="1"/>
        <v>0</v>
      </c>
      <c r="AI10" s="11">
        <f t="shared" si="1"/>
        <v>0</v>
      </c>
      <c r="AJ10" s="11">
        <f t="shared" si="1"/>
        <v>0</v>
      </c>
      <c r="AK10" s="11">
        <f t="shared" si="1"/>
        <v>0</v>
      </c>
      <c r="AL10" s="11">
        <f t="shared" si="1"/>
        <v>0</v>
      </c>
      <c r="AM10" s="11">
        <f t="shared" si="1"/>
        <v>0</v>
      </c>
      <c r="AN10" s="11">
        <f t="shared" si="1"/>
        <v>0</v>
      </c>
      <c r="AO10" s="11">
        <f t="shared" si="1"/>
        <v>0</v>
      </c>
      <c r="AP10" s="11">
        <f t="shared" si="1"/>
        <v>0</v>
      </c>
      <c r="AQ10" s="11">
        <f t="shared" si="1"/>
        <v>0</v>
      </c>
      <c r="AR10" s="11">
        <f t="shared" si="1"/>
        <v>0</v>
      </c>
      <c r="AS10" s="11">
        <f t="shared" si="1"/>
        <v>0</v>
      </c>
      <c r="AT10" s="11">
        <f t="shared" si="1"/>
        <v>0</v>
      </c>
      <c r="AU10" s="11">
        <f t="shared" si="1"/>
        <v>0</v>
      </c>
      <c r="AV10" s="11">
        <f t="shared" si="1"/>
        <v>0</v>
      </c>
      <c r="AW10" s="11">
        <f t="shared" si="1"/>
        <v>0</v>
      </c>
      <c r="AX10" s="11">
        <f t="shared" si="1"/>
        <v>0</v>
      </c>
      <c r="AY10" s="11">
        <f t="shared" si="1"/>
        <v>0</v>
      </c>
      <c r="AZ10" s="11">
        <f t="shared" si="1"/>
        <v>0</v>
      </c>
      <c r="BA10" s="11">
        <f t="shared" si="1"/>
        <v>0</v>
      </c>
      <c r="BB10" s="11">
        <f t="shared" si="1"/>
        <v>0</v>
      </c>
      <c r="BC10" s="11">
        <f t="shared" si="1"/>
        <v>0</v>
      </c>
      <c r="BD10" s="11">
        <f t="shared" si="1"/>
        <v>0</v>
      </c>
      <c r="BE10" s="11">
        <f t="shared" si="1"/>
        <v>0</v>
      </c>
      <c r="BF10" s="11">
        <f t="shared" si="1"/>
        <v>0</v>
      </c>
      <c r="BG10" s="11">
        <f t="shared" si="1"/>
        <v>0</v>
      </c>
      <c r="BH10" s="11">
        <f t="shared" si="1"/>
        <v>0</v>
      </c>
      <c r="BI10" s="11">
        <f t="shared" si="1"/>
        <v>0</v>
      </c>
      <c r="BJ10" s="11">
        <f t="shared" si="1"/>
        <v>0</v>
      </c>
      <c r="BK10" s="11">
        <f t="shared" si="1"/>
        <v>0</v>
      </c>
      <c r="BL10" s="11">
        <f t="shared" si="1"/>
        <v>0</v>
      </c>
      <c r="BM10" s="11">
        <f t="shared" si="1"/>
        <v>0</v>
      </c>
      <c r="BN10" s="11">
        <f t="shared" si="1"/>
        <v>0</v>
      </c>
      <c r="BO10" s="11">
        <f t="shared" si="1"/>
        <v>0</v>
      </c>
      <c r="BP10" s="11">
        <f t="shared" ref="BP10:CZ10" si="2">SUMPRODUCT($B3:$B9,BP3:BP9)</f>
        <v>0</v>
      </c>
      <c r="BQ10" s="11">
        <f t="shared" si="2"/>
        <v>0</v>
      </c>
      <c r="BR10" s="11">
        <f t="shared" si="2"/>
        <v>0</v>
      </c>
      <c r="BS10" s="11">
        <f t="shared" si="2"/>
        <v>0</v>
      </c>
      <c r="BT10" s="11">
        <f t="shared" si="2"/>
        <v>0</v>
      </c>
      <c r="BU10" s="11">
        <f t="shared" si="2"/>
        <v>0</v>
      </c>
      <c r="BV10" s="11">
        <f t="shared" si="2"/>
        <v>0</v>
      </c>
      <c r="BW10" s="11">
        <f t="shared" si="2"/>
        <v>0</v>
      </c>
      <c r="BX10" s="11">
        <f t="shared" si="2"/>
        <v>0</v>
      </c>
      <c r="BY10" s="11">
        <f t="shared" si="2"/>
        <v>0</v>
      </c>
      <c r="BZ10" s="11">
        <f t="shared" si="2"/>
        <v>0</v>
      </c>
      <c r="CA10" s="11">
        <f t="shared" si="2"/>
        <v>0</v>
      </c>
      <c r="CB10" s="11">
        <f t="shared" si="2"/>
        <v>0</v>
      </c>
      <c r="CC10" s="11">
        <f t="shared" si="2"/>
        <v>0</v>
      </c>
      <c r="CD10" s="11">
        <f t="shared" si="2"/>
        <v>0</v>
      </c>
      <c r="CE10" s="11">
        <f t="shared" si="2"/>
        <v>0</v>
      </c>
      <c r="CF10" s="11">
        <f t="shared" si="2"/>
        <v>0</v>
      </c>
      <c r="CG10" s="11">
        <f t="shared" si="2"/>
        <v>0</v>
      </c>
      <c r="CH10" s="11">
        <f t="shared" si="2"/>
        <v>0</v>
      </c>
      <c r="CI10" s="11">
        <f t="shared" si="2"/>
        <v>0</v>
      </c>
      <c r="CJ10" s="11">
        <f t="shared" si="2"/>
        <v>0</v>
      </c>
      <c r="CK10" s="11">
        <f t="shared" si="2"/>
        <v>0</v>
      </c>
      <c r="CL10" s="11">
        <f t="shared" si="2"/>
        <v>0</v>
      </c>
      <c r="CM10" s="11">
        <f t="shared" si="2"/>
        <v>0</v>
      </c>
      <c r="CN10" s="11">
        <f t="shared" si="2"/>
        <v>0</v>
      </c>
      <c r="CO10" s="11">
        <f t="shared" si="2"/>
        <v>0</v>
      </c>
      <c r="CP10" s="11">
        <f t="shared" si="2"/>
        <v>0</v>
      </c>
      <c r="CQ10" s="11">
        <f t="shared" si="2"/>
        <v>0</v>
      </c>
      <c r="CR10" s="11">
        <f t="shared" si="2"/>
        <v>0</v>
      </c>
      <c r="CS10" s="11">
        <f t="shared" si="2"/>
        <v>0</v>
      </c>
      <c r="CT10" s="11">
        <f t="shared" si="2"/>
        <v>0</v>
      </c>
      <c r="CU10" s="11">
        <f t="shared" si="2"/>
        <v>0</v>
      </c>
      <c r="CV10" s="11">
        <f t="shared" si="2"/>
        <v>0</v>
      </c>
      <c r="CW10" s="11">
        <f t="shared" si="2"/>
        <v>0</v>
      </c>
      <c r="CX10" s="11">
        <f t="shared" si="2"/>
        <v>0</v>
      </c>
      <c r="CY10" s="11">
        <f t="shared" si="2"/>
        <v>0</v>
      </c>
      <c r="CZ10" s="11">
        <f t="shared" si="2"/>
        <v>0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</row>
    <row r="11" spans="1:122" ht="18" customHeight="1">
      <c r="A11" s="4" t="s">
        <v>127</v>
      </c>
      <c r="B11" s="14">
        <f>IFERROR(VLOOKUP(A11,PRICELIST!$A$3:$D$138,4,0),"-")</f>
        <v>432.21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9">
        <f t="shared" ref="CY11:CZ19" si="3">C11+E11+G11+I11+K11+M11+O11+Q11+S11+U11+W11+Y11+AA11+AC11+AE11+AG11+AI11+AK11+AM11+AO11+AQ11+AS11+AU11+AW11+AY11+BA11+BC11+BE11+BG11+BI11+BK11+BM11+BO11+BQ11+BS11+BU11+BW11+BY11+CA11+CC11+CE11+CG11+CI11+CK11+CM11+CO11+CQ11+CS11+CU11+CW11</f>
        <v>0</v>
      </c>
      <c r="CZ11" s="19">
        <f t="shared" si="3"/>
        <v>0</v>
      </c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</row>
    <row r="12" spans="1:122" ht="18" customHeight="1">
      <c r="A12" s="4" t="s">
        <v>128</v>
      </c>
      <c r="B12" s="14">
        <f>IFERROR(VLOOKUP(A12,PRICELIST!$A$3:$D$138,4,0),"-")</f>
        <v>107.11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9">
        <f t="shared" si="3"/>
        <v>0</v>
      </c>
      <c r="CZ12" s="19">
        <f t="shared" si="3"/>
        <v>0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</row>
    <row r="13" spans="1:122" ht="18" customHeight="1">
      <c r="A13" s="4" t="s">
        <v>129</v>
      </c>
      <c r="B13" s="14">
        <f>IFERROR(VLOOKUP(A13,PRICELIST!$A$3:$D$138,4,0),"-")</f>
        <v>205.07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9">
        <f t="shared" si="3"/>
        <v>0</v>
      </c>
      <c r="CZ13" s="19">
        <f t="shared" si="3"/>
        <v>0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</row>
    <row r="14" spans="1:122" ht="18" customHeight="1">
      <c r="A14" s="4" t="s">
        <v>130</v>
      </c>
      <c r="B14" s="14">
        <f>IFERROR(VLOOKUP(A14,PRICELIST!$A$3:$D$138,4,0),"-")</f>
        <v>322.70999999999998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9">
        <f t="shared" si="3"/>
        <v>0</v>
      </c>
      <c r="CZ14" s="19">
        <f t="shared" si="3"/>
        <v>0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</row>
    <row r="15" spans="1:122" ht="18" customHeight="1">
      <c r="A15" s="4" t="s">
        <v>118</v>
      </c>
      <c r="B15" s="14">
        <f>IFERROR(VLOOKUP(A15,PRICELIST!$A$3:$D$138,4,0),"-")</f>
        <v>272.23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9">
        <f t="shared" si="3"/>
        <v>0</v>
      </c>
      <c r="CZ15" s="19">
        <f t="shared" si="3"/>
        <v>0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</row>
    <row r="16" spans="1:122" ht="18" customHeight="1">
      <c r="A16" s="4" t="s">
        <v>119</v>
      </c>
      <c r="B16" s="14">
        <f>IFERROR(VLOOKUP(A16,PRICELIST!$A$3:$D$138,4,0),"-")</f>
        <v>352.76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9">
        <f t="shared" si="3"/>
        <v>0</v>
      </c>
      <c r="CZ16" s="19">
        <f t="shared" si="3"/>
        <v>0</v>
      </c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</row>
    <row r="17" spans="1:122" ht="18" customHeight="1">
      <c r="A17" s="4" t="s">
        <v>120</v>
      </c>
      <c r="B17" s="14">
        <f>IFERROR(VLOOKUP(A17,PRICELIST!$A$3:$D$138,4,0),"-")</f>
        <v>137.57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9">
        <f t="shared" si="3"/>
        <v>0</v>
      </c>
      <c r="CZ17" s="19">
        <f t="shared" si="3"/>
        <v>0</v>
      </c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</row>
    <row r="18" spans="1:122" ht="18" customHeight="1">
      <c r="A18" s="32" t="s">
        <v>124</v>
      </c>
      <c r="B18" s="14">
        <f>IFERROR(VLOOKUP(A18,PRICELIST!$A$3:$D$138,4,0),"-")</f>
        <v>647.36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9">
        <f t="shared" si="3"/>
        <v>0</v>
      </c>
      <c r="CZ18" s="19">
        <f t="shared" si="3"/>
        <v>0</v>
      </c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</row>
    <row r="19" spans="1:122" ht="18" customHeight="1">
      <c r="A19" s="4" t="s">
        <v>79</v>
      </c>
      <c r="B19" s="14">
        <f>IFERROR(VLOOKUP(A19,PRICELIST!$A$3:$D$138,4,0),"-")</f>
        <v>110.25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9">
        <f t="shared" si="3"/>
        <v>0</v>
      </c>
      <c r="CZ19" s="19">
        <f t="shared" si="3"/>
        <v>0</v>
      </c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</row>
    <row r="20" spans="1:122" ht="18" customHeight="1">
      <c r="A20" s="33" t="s">
        <v>125</v>
      </c>
      <c r="B20" s="15"/>
      <c r="C20" s="11">
        <f t="shared" ref="C20:BN20" si="4">SUMPRODUCT($B11:$B19,C11:C19)</f>
        <v>0</v>
      </c>
      <c r="D20" s="11">
        <f t="shared" si="4"/>
        <v>0</v>
      </c>
      <c r="E20" s="11">
        <f t="shared" si="4"/>
        <v>0</v>
      </c>
      <c r="F20" s="11">
        <f t="shared" si="4"/>
        <v>0</v>
      </c>
      <c r="G20" s="11">
        <f t="shared" si="4"/>
        <v>0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0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0</v>
      </c>
      <c r="X20" s="11">
        <f t="shared" si="4"/>
        <v>0</v>
      </c>
      <c r="Y20" s="11">
        <f t="shared" si="4"/>
        <v>0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  <c r="AI20" s="11">
        <f t="shared" si="4"/>
        <v>0</v>
      </c>
      <c r="AJ20" s="11">
        <f t="shared" si="4"/>
        <v>0</v>
      </c>
      <c r="AK20" s="11">
        <f t="shared" si="4"/>
        <v>0</v>
      </c>
      <c r="AL20" s="11">
        <f t="shared" si="4"/>
        <v>0</v>
      </c>
      <c r="AM20" s="11">
        <f t="shared" si="4"/>
        <v>0</v>
      </c>
      <c r="AN20" s="11">
        <f t="shared" si="4"/>
        <v>0</v>
      </c>
      <c r="AO20" s="11">
        <f t="shared" si="4"/>
        <v>0</v>
      </c>
      <c r="AP20" s="11">
        <f t="shared" si="4"/>
        <v>0</v>
      </c>
      <c r="AQ20" s="11">
        <f t="shared" si="4"/>
        <v>0</v>
      </c>
      <c r="AR20" s="11">
        <f t="shared" si="4"/>
        <v>0</v>
      </c>
      <c r="AS20" s="11">
        <f t="shared" si="4"/>
        <v>0</v>
      </c>
      <c r="AT20" s="11">
        <f t="shared" si="4"/>
        <v>0</v>
      </c>
      <c r="AU20" s="11">
        <f t="shared" si="4"/>
        <v>0</v>
      </c>
      <c r="AV20" s="11">
        <f t="shared" si="4"/>
        <v>0</v>
      </c>
      <c r="AW20" s="11">
        <f t="shared" si="4"/>
        <v>0</v>
      </c>
      <c r="AX20" s="11">
        <f t="shared" si="4"/>
        <v>0</v>
      </c>
      <c r="AY20" s="11">
        <f t="shared" si="4"/>
        <v>0</v>
      </c>
      <c r="AZ20" s="11">
        <f t="shared" si="4"/>
        <v>0</v>
      </c>
      <c r="BA20" s="11">
        <f t="shared" si="4"/>
        <v>0</v>
      </c>
      <c r="BB20" s="11">
        <f t="shared" si="4"/>
        <v>0</v>
      </c>
      <c r="BC20" s="11">
        <f t="shared" si="4"/>
        <v>0</v>
      </c>
      <c r="BD20" s="11">
        <f t="shared" si="4"/>
        <v>0</v>
      </c>
      <c r="BE20" s="11">
        <f t="shared" si="4"/>
        <v>0</v>
      </c>
      <c r="BF20" s="11">
        <f t="shared" si="4"/>
        <v>0</v>
      </c>
      <c r="BG20" s="11">
        <f t="shared" si="4"/>
        <v>0</v>
      </c>
      <c r="BH20" s="11">
        <f t="shared" si="4"/>
        <v>0</v>
      </c>
      <c r="BI20" s="11">
        <f t="shared" si="4"/>
        <v>0</v>
      </c>
      <c r="BJ20" s="11">
        <f t="shared" si="4"/>
        <v>0</v>
      </c>
      <c r="BK20" s="11">
        <f t="shared" si="4"/>
        <v>0</v>
      </c>
      <c r="BL20" s="11">
        <f t="shared" si="4"/>
        <v>0</v>
      </c>
      <c r="BM20" s="11">
        <f t="shared" si="4"/>
        <v>0</v>
      </c>
      <c r="BN20" s="11">
        <f t="shared" si="4"/>
        <v>0</v>
      </c>
      <c r="BO20" s="11">
        <f t="shared" ref="BO20:CZ20" si="5">SUMPRODUCT($B11:$B19,BO11:BO19)</f>
        <v>0</v>
      </c>
      <c r="BP20" s="11">
        <f t="shared" si="5"/>
        <v>0</v>
      </c>
      <c r="BQ20" s="11">
        <f t="shared" si="5"/>
        <v>0</v>
      </c>
      <c r="BR20" s="11">
        <f t="shared" si="5"/>
        <v>0</v>
      </c>
      <c r="BS20" s="11">
        <f t="shared" si="5"/>
        <v>0</v>
      </c>
      <c r="BT20" s="11">
        <f t="shared" si="5"/>
        <v>0</v>
      </c>
      <c r="BU20" s="11">
        <f t="shared" si="5"/>
        <v>0</v>
      </c>
      <c r="BV20" s="11">
        <f t="shared" si="5"/>
        <v>0</v>
      </c>
      <c r="BW20" s="11">
        <f t="shared" si="5"/>
        <v>0</v>
      </c>
      <c r="BX20" s="11">
        <f t="shared" si="5"/>
        <v>0</v>
      </c>
      <c r="BY20" s="11">
        <f t="shared" si="5"/>
        <v>0</v>
      </c>
      <c r="BZ20" s="11">
        <f t="shared" si="5"/>
        <v>0</v>
      </c>
      <c r="CA20" s="11">
        <f t="shared" si="5"/>
        <v>0</v>
      </c>
      <c r="CB20" s="11">
        <f t="shared" si="5"/>
        <v>0</v>
      </c>
      <c r="CC20" s="11">
        <f t="shared" si="5"/>
        <v>0</v>
      </c>
      <c r="CD20" s="11">
        <f t="shared" si="5"/>
        <v>0</v>
      </c>
      <c r="CE20" s="11">
        <f t="shared" si="5"/>
        <v>0</v>
      </c>
      <c r="CF20" s="11">
        <f t="shared" si="5"/>
        <v>0</v>
      </c>
      <c r="CG20" s="11">
        <f t="shared" si="5"/>
        <v>0</v>
      </c>
      <c r="CH20" s="11">
        <f t="shared" si="5"/>
        <v>0</v>
      </c>
      <c r="CI20" s="11">
        <f t="shared" si="5"/>
        <v>0</v>
      </c>
      <c r="CJ20" s="11">
        <f t="shared" si="5"/>
        <v>0</v>
      </c>
      <c r="CK20" s="11">
        <f t="shared" si="5"/>
        <v>0</v>
      </c>
      <c r="CL20" s="11">
        <f t="shared" si="5"/>
        <v>0</v>
      </c>
      <c r="CM20" s="11">
        <f t="shared" si="5"/>
        <v>0</v>
      </c>
      <c r="CN20" s="11">
        <f t="shared" si="5"/>
        <v>0</v>
      </c>
      <c r="CO20" s="11">
        <f t="shared" si="5"/>
        <v>0</v>
      </c>
      <c r="CP20" s="11">
        <f t="shared" si="5"/>
        <v>0</v>
      </c>
      <c r="CQ20" s="11">
        <f t="shared" si="5"/>
        <v>0</v>
      </c>
      <c r="CR20" s="11">
        <f t="shared" si="5"/>
        <v>0</v>
      </c>
      <c r="CS20" s="11">
        <f t="shared" si="5"/>
        <v>0</v>
      </c>
      <c r="CT20" s="11">
        <f t="shared" si="5"/>
        <v>0</v>
      </c>
      <c r="CU20" s="11">
        <f t="shared" si="5"/>
        <v>0</v>
      </c>
      <c r="CV20" s="11">
        <f t="shared" si="5"/>
        <v>0</v>
      </c>
      <c r="CW20" s="11">
        <f t="shared" si="5"/>
        <v>0</v>
      </c>
      <c r="CX20" s="11">
        <f t="shared" si="5"/>
        <v>0</v>
      </c>
      <c r="CY20" s="11">
        <f t="shared" si="5"/>
        <v>0</v>
      </c>
      <c r="CZ20" s="11">
        <f t="shared" si="5"/>
        <v>0</v>
      </c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</row>
    <row r="21" spans="1:122" ht="18" customHeight="1">
      <c r="A21" s="13" t="s">
        <v>80</v>
      </c>
      <c r="B21" s="14">
        <f>IFERROR(VLOOKUP(A21,PRICELIST!$A$3:$D$138,4,0),"-")</f>
        <v>128.88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9">
        <f t="shared" ref="CY21:CZ23" si="6">C21+E21+G21+I21+K21+M21+O21+Q21+S21+U21+W21+Y21+AA21+AC21+AE21+AG21+AI21+AK21+AM21+AO21+AQ21+AS21+AU21+AW21+AY21+BA21+BC21+BE21+BG21+BI21+BK21+BM21+BO21+BQ21+BS21+BU21+BW21+BY21+CA21+CC21+CE21+CG21+CI21+CK21+CM21+CO21+CQ21+CS21+CU21+CW21</f>
        <v>0</v>
      </c>
      <c r="CZ21" s="19">
        <f t="shared" si="6"/>
        <v>0</v>
      </c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</row>
    <row r="22" spans="1:122" ht="18" customHeight="1">
      <c r="A22" s="13" t="s">
        <v>10</v>
      </c>
      <c r="B22" s="14">
        <f>IFERROR(VLOOKUP(A22,PRICELIST!$A$3:$D$138,4,0),"-")</f>
        <v>120.53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9">
        <f t="shared" si="6"/>
        <v>0</v>
      </c>
      <c r="CZ22" s="19">
        <f t="shared" si="6"/>
        <v>0</v>
      </c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</row>
    <row r="23" spans="1:122" ht="18" customHeight="1">
      <c r="A23" s="13" t="s">
        <v>11</v>
      </c>
      <c r="B23" s="14">
        <f>IFERROR(VLOOKUP(A23,PRICELIST!$A$3:$D$138,4,0),"-")</f>
        <v>144.29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9">
        <f t="shared" si="6"/>
        <v>0</v>
      </c>
      <c r="CZ23" s="19">
        <f t="shared" si="6"/>
        <v>0</v>
      </c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</row>
    <row r="24" spans="1:122" ht="18" customHeight="1">
      <c r="A24" s="9" t="s">
        <v>12</v>
      </c>
      <c r="B24" s="10"/>
      <c r="C24" s="11">
        <f>SUMPRODUCT($B21:$B23,C21:C23)</f>
        <v>0</v>
      </c>
      <c r="D24" s="11">
        <f t="shared" ref="D24:BO24" si="7">SUMPRODUCT($B21:$B23,D21:D23)</f>
        <v>0</v>
      </c>
      <c r="E24" s="11">
        <f t="shared" si="7"/>
        <v>0</v>
      </c>
      <c r="F24" s="11">
        <f t="shared" si="7"/>
        <v>0</v>
      </c>
      <c r="G24" s="11">
        <f t="shared" si="7"/>
        <v>0</v>
      </c>
      <c r="H24" s="11">
        <f t="shared" si="7"/>
        <v>0</v>
      </c>
      <c r="I24" s="11">
        <f t="shared" si="7"/>
        <v>0</v>
      </c>
      <c r="J24" s="11">
        <f t="shared" si="7"/>
        <v>0</v>
      </c>
      <c r="K24" s="11">
        <f t="shared" si="7"/>
        <v>0</v>
      </c>
      <c r="L24" s="11">
        <f t="shared" si="7"/>
        <v>0</v>
      </c>
      <c r="M24" s="11">
        <f t="shared" si="7"/>
        <v>0</v>
      </c>
      <c r="N24" s="11">
        <f t="shared" si="7"/>
        <v>0</v>
      </c>
      <c r="O24" s="11">
        <f t="shared" si="7"/>
        <v>0</v>
      </c>
      <c r="P24" s="11">
        <f t="shared" si="7"/>
        <v>0</v>
      </c>
      <c r="Q24" s="11">
        <f t="shared" si="7"/>
        <v>0</v>
      </c>
      <c r="R24" s="11">
        <f t="shared" si="7"/>
        <v>0</v>
      </c>
      <c r="S24" s="11">
        <f t="shared" si="7"/>
        <v>0</v>
      </c>
      <c r="T24" s="11">
        <f t="shared" si="7"/>
        <v>0</v>
      </c>
      <c r="U24" s="11">
        <f t="shared" si="7"/>
        <v>0</v>
      </c>
      <c r="V24" s="11">
        <f t="shared" si="7"/>
        <v>0</v>
      </c>
      <c r="W24" s="11">
        <f t="shared" si="7"/>
        <v>0</v>
      </c>
      <c r="X24" s="11">
        <f t="shared" si="7"/>
        <v>0</v>
      </c>
      <c r="Y24" s="11">
        <f t="shared" si="7"/>
        <v>0</v>
      </c>
      <c r="Z24" s="11">
        <f t="shared" si="7"/>
        <v>0</v>
      </c>
      <c r="AA24" s="11">
        <f t="shared" si="7"/>
        <v>0</v>
      </c>
      <c r="AB24" s="11">
        <f t="shared" si="7"/>
        <v>0</v>
      </c>
      <c r="AC24" s="11">
        <f t="shared" si="7"/>
        <v>0</v>
      </c>
      <c r="AD24" s="11">
        <f t="shared" si="7"/>
        <v>0</v>
      </c>
      <c r="AE24" s="11">
        <f t="shared" si="7"/>
        <v>0</v>
      </c>
      <c r="AF24" s="11">
        <f t="shared" si="7"/>
        <v>0</v>
      </c>
      <c r="AG24" s="11">
        <f t="shared" si="7"/>
        <v>0</v>
      </c>
      <c r="AH24" s="11">
        <f t="shared" si="7"/>
        <v>0</v>
      </c>
      <c r="AI24" s="11">
        <f t="shared" si="7"/>
        <v>0</v>
      </c>
      <c r="AJ24" s="11">
        <f t="shared" si="7"/>
        <v>0</v>
      </c>
      <c r="AK24" s="11">
        <f t="shared" si="7"/>
        <v>0</v>
      </c>
      <c r="AL24" s="11">
        <f t="shared" si="7"/>
        <v>0</v>
      </c>
      <c r="AM24" s="11">
        <f t="shared" si="7"/>
        <v>0</v>
      </c>
      <c r="AN24" s="11">
        <f t="shared" si="7"/>
        <v>0</v>
      </c>
      <c r="AO24" s="11">
        <f t="shared" si="7"/>
        <v>0</v>
      </c>
      <c r="AP24" s="11">
        <f t="shared" si="7"/>
        <v>0</v>
      </c>
      <c r="AQ24" s="11">
        <f t="shared" si="7"/>
        <v>0</v>
      </c>
      <c r="AR24" s="11">
        <f t="shared" si="7"/>
        <v>0</v>
      </c>
      <c r="AS24" s="11">
        <f t="shared" si="7"/>
        <v>0</v>
      </c>
      <c r="AT24" s="11">
        <f t="shared" si="7"/>
        <v>0</v>
      </c>
      <c r="AU24" s="11">
        <f t="shared" si="7"/>
        <v>0</v>
      </c>
      <c r="AV24" s="11">
        <f t="shared" si="7"/>
        <v>0</v>
      </c>
      <c r="AW24" s="11">
        <f t="shared" si="7"/>
        <v>0</v>
      </c>
      <c r="AX24" s="11">
        <f t="shared" si="7"/>
        <v>0</v>
      </c>
      <c r="AY24" s="11">
        <f t="shared" si="7"/>
        <v>0</v>
      </c>
      <c r="AZ24" s="11">
        <f t="shared" si="7"/>
        <v>0</v>
      </c>
      <c r="BA24" s="11">
        <f t="shared" si="7"/>
        <v>0</v>
      </c>
      <c r="BB24" s="11">
        <f t="shared" si="7"/>
        <v>0</v>
      </c>
      <c r="BC24" s="11">
        <f t="shared" si="7"/>
        <v>0</v>
      </c>
      <c r="BD24" s="11">
        <f t="shared" si="7"/>
        <v>0</v>
      </c>
      <c r="BE24" s="11">
        <f t="shared" si="7"/>
        <v>0</v>
      </c>
      <c r="BF24" s="11">
        <f t="shared" si="7"/>
        <v>0</v>
      </c>
      <c r="BG24" s="11">
        <f t="shared" si="7"/>
        <v>0</v>
      </c>
      <c r="BH24" s="11">
        <f t="shared" si="7"/>
        <v>0</v>
      </c>
      <c r="BI24" s="11">
        <f t="shared" si="7"/>
        <v>0</v>
      </c>
      <c r="BJ24" s="11">
        <f t="shared" si="7"/>
        <v>0</v>
      </c>
      <c r="BK24" s="11">
        <f t="shared" si="7"/>
        <v>0</v>
      </c>
      <c r="BL24" s="11">
        <f t="shared" si="7"/>
        <v>0</v>
      </c>
      <c r="BM24" s="11">
        <f t="shared" si="7"/>
        <v>0</v>
      </c>
      <c r="BN24" s="11">
        <f t="shared" si="7"/>
        <v>0</v>
      </c>
      <c r="BO24" s="11">
        <f t="shared" si="7"/>
        <v>0</v>
      </c>
      <c r="BP24" s="11">
        <f t="shared" ref="BP24:CZ24" si="8">SUMPRODUCT($B21:$B23,BP21:BP23)</f>
        <v>0</v>
      </c>
      <c r="BQ24" s="11">
        <f t="shared" si="8"/>
        <v>0</v>
      </c>
      <c r="BR24" s="11">
        <f t="shared" si="8"/>
        <v>0</v>
      </c>
      <c r="BS24" s="11">
        <f t="shared" si="8"/>
        <v>0</v>
      </c>
      <c r="BT24" s="11">
        <f t="shared" si="8"/>
        <v>0</v>
      </c>
      <c r="BU24" s="11">
        <f t="shared" si="8"/>
        <v>0</v>
      </c>
      <c r="BV24" s="11">
        <f t="shared" si="8"/>
        <v>0</v>
      </c>
      <c r="BW24" s="11">
        <f t="shared" si="8"/>
        <v>0</v>
      </c>
      <c r="BX24" s="11">
        <f t="shared" si="8"/>
        <v>0</v>
      </c>
      <c r="BY24" s="11">
        <f t="shared" si="8"/>
        <v>0</v>
      </c>
      <c r="BZ24" s="11">
        <f t="shared" si="8"/>
        <v>0</v>
      </c>
      <c r="CA24" s="11">
        <f t="shared" si="8"/>
        <v>0</v>
      </c>
      <c r="CB24" s="11">
        <f t="shared" si="8"/>
        <v>0</v>
      </c>
      <c r="CC24" s="11">
        <f t="shared" si="8"/>
        <v>0</v>
      </c>
      <c r="CD24" s="11">
        <f t="shared" si="8"/>
        <v>0</v>
      </c>
      <c r="CE24" s="11">
        <f t="shared" si="8"/>
        <v>0</v>
      </c>
      <c r="CF24" s="11">
        <f t="shared" si="8"/>
        <v>0</v>
      </c>
      <c r="CG24" s="11">
        <f t="shared" si="8"/>
        <v>0</v>
      </c>
      <c r="CH24" s="11">
        <f t="shared" si="8"/>
        <v>0</v>
      </c>
      <c r="CI24" s="11">
        <f t="shared" si="8"/>
        <v>0</v>
      </c>
      <c r="CJ24" s="11">
        <f t="shared" si="8"/>
        <v>0</v>
      </c>
      <c r="CK24" s="11">
        <f t="shared" si="8"/>
        <v>0</v>
      </c>
      <c r="CL24" s="11">
        <f t="shared" si="8"/>
        <v>0</v>
      </c>
      <c r="CM24" s="11">
        <f t="shared" si="8"/>
        <v>0</v>
      </c>
      <c r="CN24" s="11">
        <f t="shared" si="8"/>
        <v>0</v>
      </c>
      <c r="CO24" s="11">
        <f t="shared" si="8"/>
        <v>0</v>
      </c>
      <c r="CP24" s="11">
        <f t="shared" si="8"/>
        <v>0</v>
      </c>
      <c r="CQ24" s="11">
        <f t="shared" si="8"/>
        <v>0</v>
      </c>
      <c r="CR24" s="11">
        <f t="shared" si="8"/>
        <v>0</v>
      </c>
      <c r="CS24" s="11">
        <f t="shared" si="8"/>
        <v>0</v>
      </c>
      <c r="CT24" s="11">
        <f t="shared" si="8"/>
        <v>0</v>
      </c>
      <c r="CU24" s="11">
        <f t="shared" si="8"/>
        <v>0</v>
      </c>
      <c r="CV24" s="11">
        <f t="shared" si="8"/>
        <v>0</v>
      </c>
      <c r="CW24" s="11">
        <f t="shared" si="8"/>
        <v>0</v>
      </c>
      <c r="CX24" s="11">
        <f t="shared" si="8"/>
        <v>0</v>
      </c>
      <c r="CY24" s="11">
        <f t="shared" si="8"/>
        <v>0</v>
      </c>
      <c r="CZ24" s="11">
        <f t="shared" si="8"/>
        <v>0</v>
      </c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</row>
    <row r="25" spans="1:122" ht="18" customHeight="1">
      <c r="A25" s="13" t="s">
        <v>13</v>
      </c>
      <c r="B25" s="14">
        <f>IFERROR(VLOOKUP(A25,PRICELIST!$A$3:$D$138,4,0),"-")</f>
        <v>110.57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9">
        <f t="shared" ref="CY25:CZ26" si="9">C25+E25+G25+I25+K25+M25+O25+Q25+S25+U25+W25+Y25+AA25+AC25+AE25+AG25+AI25+AK25+AM25+AO25+AQ25+AS25+AU25+AW25+AY25+BA25+BC25+BE25+BG25+BI25+BK25+BM25+BO25+BQ25+BS25+BU25+BW25+BY25+CA25+CC25+CE25+CG25+CI25+CK25+CM25+CO25+CQ25+CS25+CU25+CW25</f>
        <v>0</v>
      </c>
      <c r="CZ25" s="19">
        <f t="shared" si="9"/>
        <v>0</v>
      </c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</row>
    <row r="26" spans="1:122" ht="18" customHeight="1">
      <c r="A26" s="13" t="s">
        <v>14</v>
      </c>
      <c r="B26" s="14">
        <f>IFERROR(VLOOKUP(A26,PRICELIST!$A$3:$D$138,4,0),"-")</f>
        <v>184.82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9">
        <f t="shared" si="9"/>
        <v>0</v>
      </c>
      <c r="CZ26" s="19">
        <f t="shared" si="9"/>
        <v>0</v>
      </c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</row>
    <row r="27" spans="1:122" ht="18" customHeight="1">
      <c r="A27" s="9" t="s">
        <v>15</v>
      </c>
      <c r="B27" s="10"/>
      <c r="C27" s="11">
        <f>SUMPRODUCT($B25:$B26,C25:C26)</f>
        <v>0</v>
      </c>
      <c r="D27" s="11">
        <f t="shared" ref="D27:BO27" si="10">SUMPRODUCT($B25:$B26,D25:D26)</f>
        <v>0</v>
      </c>
      <c r="E27" s="11">
        <f t="shared" si="10"/>
        <v>0</v>
      </c>
      <c r="F27" s="11">
        <f t="shared" si="10"/>
        <v>0</v>
      </c>
      <c r="G27" s="11">
        <f t="shared" si="10"/>
        <v>0</v>
      </c>
      <c r="H27" s="11">
        <f t="shared" si="10"/>
        <v>0</v>
      </c>
      <c r="I27" s="11">
        <f t="shared" si="10"/>
        <v>0</v>
      </c>
      <c r="J27" s="11">
        <f t="shared" si="10"/>
        <v>0</v>
      </c>
      <c r="K27" s="11">
        <f t="shared" si="10"/>
        <v>0</v>
      </c>
      <c r="L27" s="11">
        <f t="shared" si="10"/>
        <v>0</v>
      </c>
      <c r="M27" s="11">
        <f t="shared" si="10"/>
        <v>0</v>
      </c>
      <c r="N27" s="11">
        <f t="shared" si="10"/>
        <v>0</v>
      </c>
      <c r="O27" s="11">
        <f t="shared" si="10"/>
        <v>0</v>
      </c>
      <c r="P27" s="11">
        <f t="shared" si="10"/>
        <v>0</v>
      </c>
      <c r="Q27" s="11">
        <f t="shared" si="10"/>
        <v>0</v>
      </c>
      <c r="R27" s="11">
        <f t="shared" si="10"/>
        <v>0</v>
      </c>
      <c r="S27" s="11">
        <f t="shared" si="10"/>
        <v>0</v>
      </c>
      <c r="T27" s="11">
        <f t="shared" si="10"/>
        <v>0</v>
      </c>
      <c r="U27" s="11">
        <f t="shared" si="10"/>
        <v>0</v>
      </c>
      <c r="V27" s="11">
        <f t="shared" si="10"/>
        <v>0</v>
      </c>
      <c r="W27" s="11">
        <f t="shared" si="10"/>
        <v>0</v>
      </c>
      <c r="X27" s="11">
        <f t="shared" si="10"/>
        <v>0</v>
      </c>
      <c r="Y27" s="11">
        <f t="shared" si="10"/>
        <v>0</v>
      </c>
      <c r="Z27" s="11">
        <f t="shared" si="10"/>
        <v>0</v>
      </c>
      <c r="AA27" s="11">
        <f t="shared" si="10"/>
        <v>0</v>
      </c>
      <c r="AB27" s="11">
        <f t="shared" si="10"/>
        <v>0</v>
      </c>
      <c r="AC27" s="11">
        <f t="shared" si="10"/>
        <v>0</v>
      </c>
      <c r="AD27" s="11">
        <f t="shared" si="10"/>
        <v>0</v>
      </c>
      <c r="AE27" s="11">
        <f t="shared" si="10"/>
        <v>0</v>
      </c>
      <c r="AF27" s="11">
        <f t="shared" si="10"/>
        <v>0</v>
      </c>
      <c r="AG27" s="11">
        <f t="shared" si="10"/>
        <v>0</v>
      </c>
      <c r="AH27" s="11">
        <f t="shared" si="10"/>
        <v>0</v>
      </c>
      <c r="AI27" s="11">
        <f t="shared" si="10"/>
        <v>0</v>
      </c>
      <c r="AJ27" s="11">
        <f t="shared" si="10"/>
        <v>0</v>
      </c>
      <c r="AK27" s="11">
        <f t="shared" si="10"/>
        <v>0</v>
      </c>
      <c r="AL27" s="11">
        <f t="shared" si="10"/>
        <v>0</v>
      </c>
      <c r="AM27" s="11">
        <f t="shared" si="10"/>
        <v>0</v>
      </c>
      <c r="AN27" s="11">
        <f t="shared" si="10"/>
        <v>0</v>
      </c>
      <c r="AO27" s="11">
        <f t="shared" si="10"/>
        <v>0</v>
      </c>
      <c r="AP27" s="11">
        <f t="shared" si="10"/>
        <v>0</v>
      </c>
      <c r="AQ27" s="11">
        <f t="shared" si="10"/>
        <v>0</v>
      </c>
      <c r="AR27" s="11">
        <f t="shared" si="10"/>
        <v>0</v>
      </c>
      <c r="AS27" s="11">
        <f t="shared" si="10"/>
        <v>0</v>
      </c>
      <c r="AT27" s="11">
        <f t="shared" si="10"/>
        <v>0</v>
      </c>
      <c r="AU27" s="11">
        <f t="shared" si="10"/>
        <v>0</v>
      </c>
      <c r="AV27" s="11">
        <f t="shared" si="10"/>
        <v>0</v>
      </c>
      <c r="AW27" s="11">
        <f t="shared" si="10"/>
        <v>0</v>
      </c>
      <c r="AX27" s="11">
        <f t="shared" si="10"/>
        <v>0</v>
      </c>
      <c r="AY27" s="11">
        <f t="shared" si="10"/>
        <v>0</v>
      </c>
      <c r="AZ27" s="11">
        <f t="shared" si="10"/>
        <v>0</v>
      </c>
      <c r="BA27" s="11">
        <f t="shared" si="10"/>
        <v>0</v>
      </c>
      <c r="BB27" s="11">
        <f t="shared" si="10"/>
        <v>0</v>
      </c>
      <c r="BC27" s="11">
        <f t="shared" si="10"/>
        <v>0</v>
      </c>
      <c r="BD27" s="11">
        <f t="shared" si="10"/>
        <v>0</v>
      </c>
      <c r="BE27" s="11">
        <f t="shared" si="10"/>
        <v>0</v>
      </c>
      <c r="BF27" s="11">
        <f t="shared" si="10"/>
        <v>0</v>
      </c>
      <c r="BG27" s="11">
        <f t="shared" si="10"/>
        <v>0</v>
      </c>
      <c r="BH27" s="11">
        <f t="shared" si="10"/>
        <v>0</v>
      </c>
      <c r="BI27" s="11">
        <f t="shared" si="10"/>
        <v>0</v>
      </c>
      <c r="BJ27" s="11">
        <f t="shared" si="10"/>
        <v>0</v>
      </c>
      <c r="BK27" s="11">
        <f t="shared" si="10"/>
        <v>0</v>
      </c>
      <c r="BL27" s="11">
        <f t="shared" si="10"/>
        <v>0</v>
      </c>
      <c r="BM27" s="11">
        <f t="shared" si="10"/>
        <v>0</v>
      </c>
      <c r="BN27" s="11">
        <f t="shared" si="10"/>
        <v>0</v>
      </c>
      <c r="BO27" s="11">
        <f t="shared" si="10"/>
        <v>0</v>
      </c>
      <c r="BP27" s="11">
        <f t="shared" ref="BP27:CZ27" si="11">SUMPRODUCT($B25:$B26,BP25:BP26)</f>
        <v>0</v>
      </c>
      <c r="BQ27" s="11">
        <f t="shared" si="11"/>
        <v>0</v>
      </c>
      <c r="BR27" s="11">
        <f t="shared" si="11"/>
        <v>0</v>
      </c>
      <c r="BS27" s="11">
        <f t="shared" si="11"/>
        <v>0</v>
      </c>
      <c r="BT27" s="11">
        <f t="shared" si="11"/>
        <v>0</v>
      </c>
      <c r="BU27" s="11">
        <f t="shared" si="11"/>
        <v>0</v>
      </c>
      <c r="BV27" s="11">
        <f t="shared" si="11"/>
        <v>0</v>
      </c>
      <c r="BW27" s="11">
        <f t="shared" si="11"/>
        <v>0</v>
      </c>
      <c r="BX27" s="11">
        <f t="shared" si="11"/>
        <v>0</v>
      </c>
      <c r="BY27" s="11">
        <f t="shared" si="11"/>
        <v>0</v>
      </c>
      <c r="BZ27" s="11">
        <f t="shared" si="11"/>
        <v>0</v>
      </c>
      <c r="CA27" s="11">
        <f t="shared" si="11"/>
        <v>0</v>
      </c>
      <c r="CB27" s="11">
        <f t="shared" si="11"/>
        <v>0</v>
      </c>
      <c r="CC27" s="11">
        <f t="shared" si="11"/>
        <v>0</v>
      </c>
      <c r="CD27" s="11">
        <f t="shared" si="11"/>
        <v>0</v>
      </c>
      <c r="CE27" s="11">
        <f t="shared" si="11"/>
        <v>0</v>
      </c>
      <c r="CF27" s="11">
        <f t="shared" si="11"/>
        <v>0</v>
      </c>
      <c r="CG27" s="11">
        <f t="shared" si="11"/>
        <v>0</v>
      </c>
      <c r="CH27" s="11">
        <f t="shared" si="11"/>
        <v>0</v>
      </c>
      <c r="CI27" s="11">
        <f t="shared" si="11"/>
        <v>0</v>
      </c>
      <c r="CJ27" s="11">
        <f t="shared" si="11"/>
        <v>0</v>
      </c>
      <c r="CK27" s="11">
        <f t="shared" si="11"/>
        <v>0</v>
      </c>
      <c r="CL27" s="11">
        <f t="shared" si="11"/>
        <v>0</v>
      </c>
      <c r="CM27" s="11">
        <f t="shared" si="11"/>
        <v>0</v>
      </c>
      <c r="CN27" s="11">
        <f t="shared" si="11"/>
        <v>0</v>
      </c>
      <c r="CO27" s="11">
        <f t="shared" si="11"/>
        <v>0</v>
      </c>
      <c r="CP27" s="11">
        <f t="shared" si="11"/>
        <v>0</v>
      </c>
      <c r="CQ27" s="11">
        <f t="shared" si="11"/>
        <v>0</v>
      </c>
      <c r="CR27" s="11">
        <f t="shared" si="11"/>
        <v>0</v>
      </c>
      <c r="CS27" s="11">
        <f t="shared" si="11"/>
        <v>0</v>
      </c>
      <c r="CT27" s="11">
        <f t="shared" si="11"/>
        <v>0</v>
      </c>
      <c r="CU27" s="11">
        <f t="shared" si="11"/>
        <v>0</v>
      </c>
      <c r="CV27" s="11">
        <f t="shared" si="11"/>
        <v>0</v>
      </c>
      <c r="CW27" s="11">
        <f t="shared" si="11"/>
        <v>0</v>
      </c>
      <c r="CX27" s="11">
        <f t="shared" si="11"/>
        <v>0</v>
      </c>
      <c r="CY27" s="11">
        <f t="shared" si="11"/>
        <v>0</v>
      </c>
      <c r="CZ27" s="11">
        <f t="shared" si="11"/>
        <v>0</v>
      </c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</row>
    <row r="28" spans="1:122" ht="18" customHeight="1">
      <c r="A28" s="13" t="s">
        <v>16</v>
      </c>
      <c r="B28" s="14">
        <f>IFERROR(VLOOKUP(A28,PRICELIST!$A$3:$D$138,4,0),"-")</f>
        <v>113.79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9">
        <f t="shared" ref="CY28:CZ33" si="12">C28+E28+G28+I28+K28+M28+O28+Q28+S28+U28+W28+Y28+AA28+AC28+AE28+AG28+AI28+AK28+AM28+AO28+AQ28+AS28+AU28+AW28+AY28+BA28+BC28+BE28+BG28+BI28+BK28+BM28+BO28+BQ28+BS28+BU28+BW28+BY28+CA28+CC28+CE28+CG28+CI28+CK28+CM28+CO28+CQ28+CS28+CU28+CW28</f>
        <v>0</v>
      </c>
      <c r="CZ28" s="19">
        <f t="shared" si="12"/>
        <v>0</v>
      </c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</row>
    <row r="29" spans="1:122" ht="18" customHeight="1">
      <c r="A29" s="13" t="s">
        <v>17</v>
      </c>
      <c r="B29" s="14">
        <f>IFERROR(VLOOKUP(A29,PRICELIST!$A$3:$D$138,4,0),"-")</f>
        <v>188.04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9">
        <f t="shared" si="12"/>
        <v>0</v>
      </c>
      <c r="CZ29" s="19">
        <f t="shared" si="12"/>
        <v>0</v>
      </c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</row>
    <row r="30" spans="1:122" ht="18" customHeight="1">
      <c r="A30" s="13" t="s">
        <v>18</v>
      </c>
      <c r="B30" s="14">
        <f>IFERROR(VLOOKUP(A30,PRICELIST!$A$3:$D$138,4,0),"-")</f>
        <v>68.16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9">
        <f t="shared" si="12"/>
        <v>0</v>
      </c>
      <c r="CZ30" s="19">
        <f t="shared" si="12"/>
        <v>0</v>
      </c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</row>
    <row r="31" spans="1:122" ht="18" customHeight="1">
      <c r="A31" s="13" t="s">
        <v>19</v>
      </c>
      <c r="B31" s="14">
        <f>IFERROR(VLOOKUP(A31,PRICELIST!$A$3:$D$138,4,0),"-")</f>
        <v>101.57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9">
        <f t="shared" si="12"/>
        <v>0</v>
      </c>
      <c r="CZ31" s="19">
        <f t="shared" si="12"/>
        <v>0</v>
      </c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</row>
    <row r="32" spans="1:122" ht="18" customHeight="1">
      <c r="A32" s="13" t="s">
        <v>20</v>
      </c>
      <c r="B32" s="14">
        <f>IFERROR(VLOOKUP(A32,PRICELIST!$A$3:$D$138,4,0),"-")</f>
        <v>164.73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9">
        <f t="shared" si="12"/>
        <v>0</v>
      </c>
      <c r="CZ32" s="19">
        <f t="shared" si="12"/>
        <v>0</v>
      </c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</row>
    <row r="33" spans="1:122" ht="18" customHeight="1">
      <c r="A33" s="13" t="s">
        <v>21</v>
      </c>
      <c r="B33" s="14">
        <f>IFERROR(VLOOKUP(A33,PRICELIST!$A$3:$D$138,4,0),"-")</f>
        <v>78.099999999999994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9">
        <f t="shared" si="12"/>
        <v>0</v>
      </c>
      <c r="CZ33" s="19">
        <f t="shared" si="12"/>
        <v>0</v>
      </c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</row>
    <row r="34" spans="1:122" ht="18" customHeight="1">
      <c r="A34" s="9" t="s">
        <v>22</v>
      </c>
      <c r="B34" s="10"/>
      <c r="C34" s="11">
        <f>SUMPRODUCT($B28:$B33,C28:C33)</f>
        <v>0</v>
      </c>
      <c r="D34" s="11">
        <f t="shared" ref="D34:BO34" si="13">SUMPRODUCT($B28:$B33,D28:D33)</f>
        <v>0</v>
      </c>
      <c r="E34" s="11">
        <f t="shared" si="13"/>
        <v>0</v>
      </c>
      <c r="F34" s="11">
        <f t="shared" si="13"/>
        <v>0</v>
      </c>
      <c r="G34" s="11">
        <f t="shared" si="13"/>
        <v>0</v>
      </c>
      <c r="H34" s="11">
        <f t="shared" si="13"/>
        <v>0</v>
      </c>
      <c r="I34" s="11">
        <f t="shared" si="13"/>
        <v>0</v>
      </c>
      <c r="J34" s="11">
        <f t="shared" si="13"/>
        <v>0</v>
      </c>
      <c r="K34" s="11">
        <f t="shared" si="13"/>
        <v>0</v>
      </c>
      <c r="L34" s="11">
        <f t="shared" si="13"/>
        <v>0</v>
      </c>
      <c r="M34" s="11">
        <f t="shared" si="13"/>
        <v>0</v>
      </c>
      <c r="N34" s="11">
        <f t="shared" si="13"/>
        <v>0</v>
      </c>
      <c r="O34" s="11">
        <f t="shared" si="13"/>
        <v>0</v>
      </c>
      <c r="P34" s="11">
        <f t="shared" si="13"/>
        <v>0</v>
      </c>
      <c r="Q34" s="11">
        <f t="shared" si="13"/>
        <v>0</v>
      </c>
      <c r="R34" s="11">
        <f t="shared" si="13"/>
        <v>0</v>
      </c>
      <c r="S34" s="11">
        <f t="shared" si="13"/>
        <v>0</v>
      </c>
      <c r="T34" s="11">
        <f t="shared" si="13"/>
        <v>0</v>
      </c>
      <c r="U34" s="11">
        <f t="shared" si="13"/>
        <v>0</v>
      </c>
      <c r="V34" s="11">
        <f t="shared" si="13"/>
        <v>0</v>
      </c>
      <c r="W34" s="11">
        <f t="shared" si="13"/>
        <v>0</v>
      </c>
      <c r="X34" s="11">
        <f t="shared" si="13"/>
        <v>0</v>
      </c>
      <c r="Y34" s="11">
        <f t="shared" si="13"/>
        <v>0</v>
      </c>
      <c r="Z34" s="11">
        <f t="shared" si="13"/>
        <v>0</v>
      </c>
      <c r="AA34" s="11">
        <f t="shared" si="13"/>
        <v>0</v>
      </c>
      <c r="AB34" s="11">
        <f t="shared" si="13"/>
        <v>0</v>
      </c>
      <c r="AC34" s="11">
        <f t="shared" si="13"/>
        <v>0</v>
      </c>
      <c r="AD34" s="11">
        <f t="shared" si="13"/>
        <v>0</v>
      </c>
      <c r="AE34" s="11">
        <f t="shared" si="13"/>
        <v>0</v>
      </c>
      <c r="AF34" s="11">
        <f t="shared" si="13"/>
        <v>0</v>
      </c>
      <c r="AG34" s="11">
        <f t="shared" si="13"/>
        <v>0</v>
      </c>
      <c r="AH34" s="11">
        <f t="shared" si="13"/>
        <v>0</v>
      </c>
      <c r="AI34" s="11">
        <f t="shared" si="13"/>
        <v>0</v>
      </c>
      <c r="AJ34" s="11">
        <f t="shared" si="13"/>
        <v>0</v>
      </c>
      <c r="AK34" s="11">
        <f t="shared" si="13"/>
        <v>0</v>
      </c>
      <c r="AL34" s="11">
        <f t="shared" si="13"/>
        <v>0</v>
      </c>
      <c r="AM34" s="11">
        <f t="shared" si="13"/>
        <v>0</v>
      </c>
      <c r="AN34" s="11">
        <f t="shared" si="13"/>
        <v>0</v>
      </c>
      <c r="AO34" s="11">
        <f t="shared" si="13"/>
        <v>0</v>
      </c>
      <c r="AP34" s="11">
        <f t="shared" si="13"/>
        <v>0</v>
      </c>
      <c r="AQ34" s="11">
        <f t="shared" si="13"/>
        <v>0</v>
      </c>
      <c r="AR34" s="11">
        <f t="shared" si="13"/>
        <v>0</v>
      </c>
      <c r="AS34" s="11">
        <f t="shared" si="13"/>
        <v>0</v>
      </c>
      <c r="AT34" s="11">
        <f t="shared" si="13"/>
        <v>0</v>
      </c>
      <c r="AU34" s="11">
        <f t="shared" si="13"/>
        <v>0</v>
      </c>
      <c r="AV34" s="11">
        <f t="shared" si="13"/>
        <v>0</v>
      </c>
      <c r="AW34" s="11">
        <f t="shared" si="13"/>
        <v>0</v>
      </c>
      <c r="AX34" s="11">
        <f t="shared" si="13"/>
        <v>0</v>
      </c>
      <c r="AY34" s="11">
        <f t="shared" si="13"/>
        <v>0</v>
      </c>
      <c r="AZ34" s="11">
        <f t="shared" si="13"/>
        <v>0</v>
      </c>
      <c r="BA34" s="11">
        <f t="shared" si="13"/>
        <v>0</v>
      </c>
      <c r="BB34" s="11">
        <f t="shared" si="13"/>
        <v>0</v>
      </c>
      <c r="BC34" s="11">
        <f t="shared" si="13"/>
        <v>0</v>
      </c>
      <c r="BD34" s="11">
        <f t="shared" si="13"/>
        <v>0</v>
      </c>
      <c r="BE34" s="11">
        <f t="shared" si="13"/>
        <v>0</v>
      </c>
      <c r="BF34" s="11">
        <f t="shared" si="13"/>
        <v>0</v>
      </c>
      <c r="BG34" s="11">
        <f t="shared" si="13"/>
        <v>0</v>
      </c>
      <c r="BH34" s="11">
        <f t="shared" si="13"/>
        <v>0</v>
      </c>
      <c r="BI34" s="11">
        <f t="shared" si="13"/>
        <v>0</v>
      </c>
      <c r="BJ34" s="11">
        <f t="shared" si="13"/>
        <v>0</v>
      </c>
      <c r="BK34" s="11">
        <f t="shared" si="13"/>
        <v>0</v>
      </c>
      <c r="BL34" s="11">
        <f t="shared" si="13"/>
        <v>0</v>
      </c>
      <c r="BM34" s="11">
        <f t="shared" si="13"/>
        <v>0</v>
      </c>
      <c r="BN34" s="11">
        <f t="shared" si="13"/>
        <v>0</v>
      </c>
      <c r="BO34" s="11">
        <f t="shared" si="13"/>
        <v>0</v>
      </c>
      <c r="BP34" s="11">
        <f t="shared" ref="BP34:CZ34" si="14">SUMPRODUCT($B28:$B33,BP28:BP33)</f>
        <v>0</v>
      </c>
      <c r="BQ34" s="11">
        <f t="shared" si="14"/>
        <v>0</v>
      </c>
      <c r="BR34" s="11">
        <f t="shared" si="14"/>
        <v>0</v>
      </c>
      <c r="BS34" s="11">
        <f t="shared" si="14"/>
        <v>0</v>
      </c>
      <c r="BT34" s="11">
        <f t="shared" si="14"/>
        <v>0</v>
      </c>
      <c r="BU34" s="11">
        <f t="shared" si="14"/>
        <v>0</v>
      </c>
      <c r="BV34" s="11">
        <f t="shared" si="14"/>
        <v>0</v>
      </c>
      <c r="BW34" s="11">
        <f t="shared" si="14"/>
        <v>0</v>
      </c>
      <c r="BX34" s="11">
        <f t="shared" si="14"/>
        <v>0</v>
      </c>
      <c r="BY34" s="11">
        <f t="shared" si="14"/>
        <v>0</v>
      </c>
      <c r="BZ34" s="11">
        <f t="shared" si="14"/>
        <v>0</v>
      </c>
      <c r="CA34" s="11">
        <f t="shared" si="14"/>
        <v>0</v>
      </c>
      <c r="CB34" s="11">
        <f t="shared" si="14"/>
        <v>0</v>
      </c>
      <c r="CC34" s="11">
        <f t="shared" si="14"/>
        <v>0</v>
      </c>
      <c r="CD34" s="11">
        <f t="shared" si="14"/>
        <v>0</v>
      </c>
      <c r="CE34" s="11">
        <f t="shared" si="14"/>
        <v>0</v>
      </c>
      <c r="CF34" s="11">
        <f t="shared" si="14"/>
        <v>0</v>
      </c>
      <c r="CG34" s="11">
        <f t="shared" si="14"/>
        <v>0</v>
      </c>
      <c r="CH34" s="11">
        <f t="shared" si="14"/>
        <v>0</v>
      </c>
      <c r="CI34" s="11">
        <f t="shared" si="14"/>
        <v>0</v>
      </c>
      <c r="CJ34" s="11">
        <f t="shared" si="14"/>
        <v>0</v>
      </c>
      <c r="CK34" s="11">
        <f t="shared" si="14"/>
        <v>0</v>
      </c>
      <c r="CL34" s="11">
        <f t="shared" si="14"/>
        <v>0</v>
      </c>
      <c r="CM34" s="11">
        <f t="shared" si="14"/>
        <v>0</v>
      </c>
      <c r="CN34" s="11">
        <f t="shared" si="14"/>
        <v>0</v>
      </c>
      <c r="CO34" s="11">
        <f t="shared" si="14"/>
        <v>0</v>
      </c>
      <c r="CP34" s="11">
        <f t="shared" si="14"/>
        <v>0</v>
      </c>
      <c r="CQ34" s="11">
        <f t="shared" si="14"/>
        <v>0</v>
      </c>
      <c r="CR34" s="11">
        <f t="shared" si="14"/>
        <v>0</v>
      </c>
      <c r="CS34" s="11">
        <f t="shared" si="14"/>
        <v>0</v>
      </c>
      <c r="CT34" s="11">
        <f t="shared" si="14"/>
        <v>0</v>
      </c>
      <c r="CU34" s="11">
        <f t="shared" si="14"/>
        <v>0</v>
      </c>
      <c r="CV34" s="11">
        <f t="shared" si="14"/>
        <v>0</v>
      </c>
      <c r="CW34" s="11">
        <f t="shared" si="14"/>
        <v>0</v>
      </c>
      <c r="CX34" s="11">
        <f t="shared" si="14"/>
        <v>0</v>
      </c>
      <c r="CY34" s="11">
        <f t="shared" si="14"/>
        <v>0</v>
      </c>
      <c r="CZ34" s="11">
        <f t="shared" si="14"/>
        <v>0</v>
      </c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</row>
    <row r="35" spans="1:122" ht="18" customHeight="1">
      <c r="A35" s="13" t="s">
        <v>23</v>
      </c>
      <c r="B35" s="14">
        <f>IFERROR(VLOOKUP(A35,PRICELIST!$A$3:$D$138,4,0),"-")</f>
        <v>60.11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9">
        <f t="shared" ref="CY35:CZ36" si="15">C35+E35+G35+I35+K35+M35+O35+Q35+S35+U35+W35+Y35+AA35+AC35+AE35+AG35+AI35+AK35+AM35+AO35+AQ35+AS35+AU35+AW35+AY35+BA35+BC35+BE35+BG35+BI35+BK35+BM35+BO35+BQ35+BS35+BU35+BW35+BY35+CA35+CC35+CE35+CG35+CI35+CK35+CM35+CO35+CQ35+CS35+CU35+CW35</f>
        <v>0</v>
      </c>
      <c r="CZ35" s="19">
        <f t="shared" si="15"/>
        <v>0</v>
      </c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</row>
    <row r="36" spans="1:122" ht="18" customHeight="1">
      <c r="A36" s="13" t="s">
        <v>24</v>
      </c>
      <c r="B36" s="14">
        <f>IFERROR(VLOOKUP(A36,PRICELIST!$A$3:$D$138,4,0),"-")</f>
        <v>91.2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9">
        <f t="shared" si="15"/>
        <v>0</v>
      </c>
      <c r="CZ36" s="19">
        <f t="shared" si="15"/>
        <v>0</v>
      </c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</row>
    <row r="37" spans="1:122" ht="18" customHeight="1">
      <c r="A37" s="9" t="s">
        <v>25</v>
      </c>
      <c r="B37" s="10"/>
      <c r="C37" s="11">
        <f>SUMPRODUCT($B35:$B36,C35:C36)</f>
        <v>0</v>
      </c>
      <c r="D37" s="11">
        <f t="shared" ref="D37:BO37" si="16">SUMPRODUCT($B35:$B36,D35:D36)</f>
        <v>0</v>
      </c>
      <c r="E37" s="11">
        <f t="shared" si="16"/>
        <v>0</v>
      </c>
      <c r="F37" s="11">
        <f t="shared" si="16"/>
        <v>0</v>
      </c>
      <c r="G37" s="11">
        <f t="shared" si="16"/>
        <v>0</v>
      </c>
      <c r="H37" s="11">
        <f t="shared" si="16"/>
        <v>0</v>
      </c>
      <c r="I37" s="11">
        <f t="shared" si="16"/>
        <v>0</v>
      </c>
      <c r="J37" s="11">
        <f t="shared" si="16"/>
        <v>0</v>
      </c>
      <c r="K37" s="11">
        <f t="shared" si="16"/>
        <v>0</v>
      </c>
      <c r="L37" s="11">
        <f t="shared" si="16"/>
        <v>0</v>
      </c>
      <c r="M37" s="11">
        <f t="shared" si="16"/>
        <v>0</v>
      </c>
      <c r="N37" s="11">
        <f t="shared" si="16"/>
        <v>0</v>
      </c>
      <c r="O37" s="11">
        <f t="shared" si="16"/>
        <v>0</v>
      </c>
      <c r="P37" s="11">
        <f t="shared" si="16"/>
        <v>0</v>
      </c>
      <c r="Q37" s="11">
        <f t="shared" si="16"/>
        <v>0</v>
      </c>
      <c r="R37" s="11">
        <f t="shared" si="16"/>
        <v>0</v>
      </c>
      <c r="S37" s="11">
        <f t="shared" si="16"/>
        <v>0</v>
      </c>
      <c r="T37" s="11">
        <f t="shared" si="16"/>
        <v>0</v>
      </c>
      <c r="U37" s="11">
        <f t="shared" si="16"/>
        <v>0</v>
      </c>
      <c r="V37" s="11">
        <f t="shared" si="16"/>
        <v>0</v>
      </c>
      <c r="W37" s="11">
        <f t="shared" si="16"/>
        <v>0</v>
      </c>
      <c r="X37" s="11">
        <f t="shared" si="16"/>
        <v>0</v>
      </c>
      <c r="Y37" s="11">
        <f t="shared" si="16"/>
        <v>0</v>
      </c>
      <c r="Z37" s="11">
        <f t="shared" si="16"/>
        <v>0</v>
      </c>
      <c r="AA37" s="11">
        <f t="shared" si="16"/>
        <v>0</v>
      </c>
      <c r="AB37" s="11">
        <f t="shared" si="16"/>
        <v>0</v>
      </c>
      <c r="AC37" s="11">
        <f t="shared" si="16"/>
        <v>0</v>
      </c>
      <c r="AD37" s="11">
        <f t="shared" si="16"/>
        <v>0</v>
      </c>
      <c r="AE37" s="11">
        <f t="shared" si="16"/>
        <v>0</v>
      </c>
      <c r="AF37" s="11">
        <f t="shared" si="16"/>
        <v>0</v>
      </c>
      <c r="AG37" s="11">
        <f t="shared" si="16"/>
        <v>0</v>
      </c>
      <c r="AH37" s="11">
        <f t="shared" si="16"/>
        <v>0</v>
      </c>
      <c r="AI37" s="11">
        <f t="shared" si="16"/>
        <v>0</v>
      </c>
      <c r="AJ37" s="11">
        <f t="shared" si="16"/>
        <v>0</v>
      </c>
      <c r="AK37" s="11">
        <f t="shared" si="16"/>
        <v>0</v>
      </c>
      <c r="AL37" s="11">
        <f t="shared" si="16"/>
        <v>0</v>
      </c>
      <c r="AM37" s="11">
        <f t="shared" si="16"/>
        <v>0</v>
      </c>
      <c r="AN37" s="11">
        <f t="shared" si="16"/>
        <v>0</v>
      </c>
      <c r="AO37" s="11">
        <f t="shared" si="16"/>
        <v>0</v>
      </c>
      <c r="AP37" s="11">
        <f t="shared" si="16"/>
        <v>0</v>
      </c>
      <c r="AQ37" s="11">
        <f t="shared" si="16"/>
        <v>0</v>
      </c>
      <c r="AR37" s="11">
        <f t="shared" si="16"/>
        <v>0</v>
      </c>
      <c r="AS37" s="11">
        <f t="shared" si="16"/>
        <v>0</v>
      </c>
      <c r="AT37" s="11">
        <f t="shared" si="16"/>
        <v>0</v>
      </c>
      <c r="AU37" s="11">
        <f t="shared" si="16"/>
        <v>0</v>
      </c>
      <c r="AV37" s="11">
        <f t="shared" si="16"/>
        <v>0</v>
      </c>
      <c r="AW37" s="11">
        <f t="shared" si="16"/>
        <v>0</v>
      </c>
      <c r="AX37" s="11">
        <f t="shared" si="16"/>
        <v>0</v>
      </c>
      <c r="AY37" s="11">
        <f t="shared" si="16"/>
        <v>0</v>
      </c>
      <c r="AZ37" s="11">
        <f t="shared" si="16"/>
        <v>0</v>
      </c>
      <c r="BA37" s="11">
        <f t="shared" si="16"/>
        <v>0</v>
      </c>
      <c r="BB37" s="11">
        <f t="shared" si="16"/>
        <v>0</v>
      </c>
      <c r="BC37" s="11">
        <f t="shared" si="16"/>
        <v>0</v>
      </c>
      <c r="BD37" s="11">
        <f t="shared" si="16"/>
        <v>0</v>
      </c>
      <c r="BE37" s="11">
        <f t="shared" si="16"/>
        <v>0</v>
      </c>
      <c r="BF37" s="11">
        <f t="shared" si="16"/>
        <v>0</v>
      </c>
      <c r="BG37" s="11">
        <f t="shared" si="16"/>
        <v>0</v>
      </c>
      <c r="BH37" s="11">
        <f t="shared" si="16"/>
        <v>0</v>
      </c>
      <c r="BI37" s="11">
        <f t="shared" si="16"/>
        <v>0</v>
      </c>
      <c r="BJ37" s="11">
        <f t="shared" si="16"/>
        <v>0</v>
      </c>
      <c r="BK37" s="11">
        <f t="shared" si="16"/>
        <v>0</v>
      </c>
      <c r="BL37" s="11">
        <f t="shared" si="16"/>
        <v>0</v>
      </c>
      <c r="BM37" s="11">
        <f t="shared" si="16"/>
        <v>0</v>
      </c>
      <c r="BN37" s="11">
        <f t="shared" si="16"/>
        <v>0</v>
      </c>
      <c r="BO37" s="11">
        <f t="shared" si="16"/>
        <v>0</v>
      </c>
      <c r="BP37" s="11">
        <f t="shared" ref="BP37:CZ37" si="17">SUMPRODUCT($B35:$B36,BP35:BP36)</f>
        <v>0</v>
      </c>
      <c r="BQ37" s="11">
        <f t="shared" si="17"/>
        <v>0</v>
      </c>
      <c r="BR37" s="11">
        <f t="shared" si="17"/>
        <v>0</v>
      </c>
      <c r="BS37" s="11">
        <f t="shared" si="17"/>
        <v>0</v>
      </c>
      <c r="BT37" s="11">
        <f t="shared" si="17"/>
        <v>0</v>
      </c>
      <c r="BU37" s="11">
        <f t="shared" si="17"/>
        <v>0</v>
      </c>
      <c r="BV37" s="11">
        <f t="shared" si="17"/>
        <v>0</v>
      </c>
      <c r="BW37" s="11">
        <f t="shared" si="17"/>
        <v>0</v>
      </c>
      <c r="BX37" s="11">
        <f t="shared" si="17"/>
        <v>0</v>
      </c>
      <c r="BY37" s="11">
        <f t="shared" si="17"/>
        <v>0</v>
      </c>
      <c r="BZ37" s="11">
        <f t="shared" si="17"/>
        <v>0</v>
      </c>
      <c r="CA37" s="11">
        <f t="shared" si="17"/>
        <v>0</v>
      </c>
      <c r="CB37" s="11">
        <f t="shared" si="17"/>
        <v>0</v>
      </c>
      <c r="CC37" s="11">
        <f t="shared" si="17"/>
        <v>0</v>
      </c>
      <c r="CD37" s="11">
        <f t="shared" si="17"/>
        <v>0</v>
      </c>
      <c r="CE37" s="11">
        <f t="shared" si="17"/>
        <v>0</v>
      </c>
      <c r="CF37" s="11">
        <f t="shared" si="17"/>
        <v>0</v>
      </c>
      <c r="CG37" s="11">
        <f t="shared" si="17"/>
        <v>0</v>
      </c>
      <c r="CH37" s="11">
        <f t="shared" si="17"/>
        <v>0</v>
      </c>
      <c r="CI37" s="11">
        <f t="shared" si="17"/>
        <v>0</v>
      </c>
      <c r="CJ37" s="11">
        <f t="shared" si="17"/>
        <v>0</v>
      </c>
      <c r="CK37" s="11">
        <f t="shared" si="17"/>
        <v>0</v>
      </c>
      <c r="CL37" s="11">
        <f t="shared" si="17"/>
        <v>0</v>
      </c>
      <c r="CM37" s="11">
        <f t="shared" si="17"/>
        <v>0</v>
      </c>
      <c r="CN37" s="11">
        <f t="shared" si="17"/>
        <v>0</v>
      </c>
      <c r="CO37" s="11">
        <f t="shared" si="17"/>
        <v>0</v>
      </c>
      <c r="CP37" s="11">
        <f t="shared" si="17"/>
        <v>0</v>
      </c>
      <c r="CQ37" s="11">
        <f t="shared" si="17"/>
        <v>0</v>
      </c>
      <c r="CR37" s="11">
        <f t="shared" si="17"/>
        <v>0</v>
      </c>
      <c r="CS37" s="11">
        <f t="shared" si="17"/>
        <v>0</v>
      </c>
      <c r="CT37" s="11">
        <f t="shared" si="17"/>
        <v>0</v>
      </c>
      <c r="CU37" s="11">
        <f t="shared" si="17"/>
        <v>0</v>
      </c>
      <c r="CV37" s="11">
        <f t="shared" si="17"/>
        <v>0</v>
      </c>
      <c r="CW37" s="11">
        <f t="shared" si="17"/>
        <v>0</v>
      </c>
      <c r="CX37" s="11">
        <f t="shared" si="17"/>
        <v>0</v>
      </c>
      <c r="CY37" s="11">
        <f t="shared" si="17"/>
        <v>0</v>
      </c>
      <c r="CZ37" s="11">
        <f t="shared" si="17"/>
        <v>0</v>
      </c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</row>
    <row r="38" spans="1:122" ht="18" customHeight="1">
      <c r="A38" s="13" t="s">
        <v>26</v>
      </c>
      <c r="B38" s="14">
        <f>IFERROR(VLOOKUP(A38,PRICELIST!$A$3:$D$138,4,0),"-")</f>
        <v>159.75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9">
        <f t="shared" ref="CY38:CZ39" si="18">C38+E38+G38+I38+K38+M38+O38+Q38+S38+U38+W38+Y38+AA38+AC38+AE38+AG38+AI38+AK38+AM38+AO38+AQ38+AS38+AU38+AW38+AY38+BA38+BC38+BE38+BG38+BI38+BK38+BM38+BO38+BQ38+BS38+BU38+BW38+BY38+CA38+CC38+CE38+CG38+CI38+CK38+CM38+CO38+CQ38+CS38+CU38+CW38</f>
        <v>0</v>
      </c>
      <c r="CZ38" s="19">
        <f t="shared" si="18"/>
        <v>0</v>
      </c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</row>
    <row r="39" spans="1:122" ht="18" customHeight="1">
      <c r="A39" s="13" t="s">
        <v>27</v>
      </c>
      <c r="B39" s="14">
        <f>IFERROR(VLOOKUP(A39,PRICELIST!$A$3:$D$138,4,0),"-")</f>
        <v>83.59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9">
        <f t="shared" si="18"/>
        <v>0</v>
      </c>
      <c r="CZ39" s="19">
        <f t="shared" si="18"/>
        <v>0</v>
      </c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</row>
    <row r="40" spans="1:122" ht="18" customHeight="1">
      <c r="A40" s="9" t="s">
        <v>28</v>
      </c>
      <c r="B40" s="10"/>
      <c r="C40" s="11">
        <f>SUMPRODUCT($B38:$B39,C38:C39)</f>
        <v>0</v>
      </c>
      <c r="D40" s="11">
        <f t="shared" ref="D40:BO40" si="19">SUMPRODUCT($B38:$B39,D38:D39)</f>
        <v>0</v>
      </c>
      <c r="E40" s="11">
        <f t="shared" si="19"/>
        <v>0</v>
      </c>
      <c r="F40" s="11">
        <f t="shared" si="19"/>
        <v>0</v>
      </c>
      <c r="G40" s="11">
        <f t="shared" si="19"/>
        <v>0</v>
      </c>
      <c r="H40" s="11">
        <f t="shared" si="19"/>
        <v>0</v>
      </c>
      <c r="I40" s="11">
        <f t="shared" si="19"/>
        <v>0</v>
      </c>
      <c r="J40" s="11">
        <f t="shared" si="19"/>
        <v>0</v>
      </c>
      <c r="K40" s="11">
        <f t="shared" si="19"/>
        <v>0</v>
      </c>
      <c r="L40" s="11">
        <f t="shared" si="19"/>
        <v>0</v>
      </c>
      <c r="M40" s="11">
        <f t="shared" si="19"/>
        <v>0</v>
      </c>
      <c r="N40" s="11">
        <f t="shared" si="19"/>
        <v>0</v>
      </c>
      <c r="O40" s="11">
        <f t="shared" si="19"/>
        <v>0</v>
      </c>
      <c r="P40" s="11">
        <f t="shared" si="19"/>
        <v>0</v>
      </c>
      <c r="Q40" s="11">
        <f t="shared" si="19"/>
        <v>0</v>
      </c>
      <c r="R40" s="11">
        <f t="shared" si="19"/>
        <v>0</v>
      </c>
      <c r="S40" s="11">
        <f t="shared" si="19"/>
        <v>0</v>
      </c>
      <c r="T40" s="11">
        <f t="shared" si="19"/>
        <v>0</v>
      </c>
      <c r="U40" s="11">
        <f t="shared" si="19"/>
        <v>0</v>
      </c>
      <c r="V40" s="11">
        <f t="shared" si="19"/>
        <v>0</v>
      </c>
      <c r="W40" s="11">
        <f t="shared" si="19"/>
        <v>0</v>
      </c>
      <c r="X40" s="11">
        <f t="shared" si="19"/>
        <v>0</v>
      </c>
      <c r="Y40" s="11">
        <f t="shared" si="19"/>
        <v>0</v>
      </c>
      <c r="Z40" s="11">
        <f t="shared" si="19"/>
        <v>0</v>
      </c>
      <c r="AA40" s="11">
        <f t="shared" si="19"/>
        <v>0</v>
      </c>
      <c r="AB40" s="11">
        <f t="shared" si="19"/>
        <v>0</v>
      </c>
      <c r="AC40" s="11">
        <f t="shared" si="19"/>
        <v>0</v>
      </c>
      <c r="AD40" s="11">
        <f t="shared" si="19"/>
        <v>0</v>
      </c>
      <c r="AE40" s="11">
        <f t="shared" si="19"/>
        <v>0</v>
      </c>
      <c r="AF40" s="11">
        <f t="shared" si="19"/>
        <v>0</v>
      </c>
      <c r="AG40" s="11">
        <f t="shared" si="19"/>
        <v>0</v>
      </c>
      <c r="AH40" s="11">
        <f t="shared" si="19"/>
        <v>0</v>
      </c>
      <c r="AI40" s="11">
        <f t="shared" si="19"/>
        <v>0</v>
      </c>
      <c r="AJ40" s="11">
        <f t="shared" si="19"/>
        <v>0</v>
      </c>
      <c r="AK40" s="11">
        <f t="shared" si="19"/>
        <v>0</v>
      </c>
      <c r="AL40" s="11">
        <f t="shared" si="19"/>
        <v>0</v>
      </c>
      <c r="AM40" s="11">
        <f t="shared" si="19"/>
        <v>0</v>
      </c>
      <c r="AN40" s="11">
        <f t="shared" si="19"/>
        <v>0</v>
      </c>
      <c r="AO40" s="11">
        <f t="shared" si="19"/>
        <v>0</v>
      </c>
      <c r="AP40" s="11">
        <f t="shared" si="19"/>
        <v>0</v>
      </c>
      <c r="AQ40" s="11">
        <f t="shared" si="19"/>
        <v>0</v>
      </c>
      <c r="AR40" s="11">
        <f t="shared" si="19"/>
        <v>0</v>
      </c>
      <c r="AS40" s="11">
        <f t="shared" si="19"/>
        <v>0</v>
      </c>
      <c r="AT40" s="11">
        <f t="shared" si="19"/>
        <v>0</v>
      </c>
      <c r="AU40" s="11">
        <f t="shared" si="19"/>
        <v>0</v>
      </c>
      <c r="AV40" s="11">
        <f t="shared" si="19"/>
        <v>0</v>
      </c>
      <c r="AW40" s="11">
        <f t="shared" si="19"/>
        <v>0</v>
      </c>
      <c r="AX40" s="11">
        <f t="shared" si="19"/>
        <v>0</v>
      </c>
      <c r="AY40" s="11">
        <f t="shared" si="19"/>
        <v>0</v>
      </c>
      <c r="AZ40" s="11">
        <f t="shared" si="19"/>
        <v>0</v>
      </c>
      <c r="BA40" s="11">
        <f t="shared" si="19"/>
        <v>0</v>
      </c>
      <c r="BB40" s="11">
        <f t="shared" si="19"/>
        <v>0</v>
      </c>
      <c r="BC40" s="11">
        <f t="shared" si="19"/>
        <v>0</v>
      </c>
      <c r="BD40" s="11">
        <f t="shared" si="19"/>
        <v>0</v>
      </c>
      <c r="BE40" s="11">
        <f t="shared" si="19"/>
        <v>0</v>
      </c>
      <c r="BF40" s="11">
        <f t="shared" si="19"/>
        <v>0</v>
      </c>
      <c r="BG40" s="11">
        <f t="shared" si="19"/>
        <v>0</v>
      </c>
      <c r="BH40" s="11">
        <f t="shared" si="19"/>
        <v>0</v>
      </c>
      <c r="BI40" s="11">
        <f t="shared" si="19"/>
        <v>0</v>
      </c>
      <c r="BJ40" s="11">
        <f t="shared" si="19"/>
        <v>0</v>
      </c>
      <c r="BK40" s="11">
        <f t="shared" si="19"/>
        <v>0</v>
      </c>
      <c r="BL40" s="11">
        <f t="shared" si="19"/>
        <v>0</v>
      </c>
      <c r="BM40" s="11">
        <f t="shared" si="19"/>
        <v>0</v>
      </c>
      <c r="BN40" s="11">
        <f t="shared" si="19"/>
        <v>0</v>
      </c>
      <c r="BO40" s="11">
        <f t="shared" si="19"/>
        <v>0</v>
      </c>
      <c r="BP40" s="11">
        <f t="shared" ref="BP40:CZ40" si="20">SUMPRODUCT($B38:$B39,BP38:BP39)</f>
        <v>0</v>
      </c>
      <c r="BQ40" s="11">
        <f t="shared" si="20"/>
        <v>0</v>
      </c>
      <c r="BR40" s="11">
        <f t="shared" si="20"/>
        <v>0</v>
      </c>
      <c r="BS40" s="11">
        <f t="shared" si="20"/>
        <v>0</v>
      </c>
      <c r="BT40" s="11">
        <f t="shared" si="20"/>
        <v>0</v>
      </c>
      <c r="BU40" s="11">
        <f t="shared" si="20"/>
        <v>0</v>
      </c>
      <c r="BV40" s="11">
        <f t="shared" si="20"/>
        <v>0</v>
      </c>
      <c r="BW40" s="11">
        <f t="shared" si="20"/>
        <v>0</v>
      </c>
      <c r="BX40" s="11">
        <f t="shared" si="20"/>
        <v>0</v>
      </c>
      <c r="BY40" s="11">
        <f t="shared" si="20"/>
        <v>0</v>
      </c>
      <c r="BZ40" s="11">
        <f t="shared" si="20"/>
        <v>0</v>
      </c>
      <c r="CA40" s="11">
        <f t="shared" si="20"/>
        <v>0</v>
      </c>
      <c r="CB40" s="11">
        <f t="shared" si="20"/>
        <v>0</v>
      </c>
      <c r="CC40" s="11">
        <f t="shared" si="20"/>
        <v>0</v>
      </c>
      <c r="CD40" s="11">
        <f t="shared" si="20"/>
        <v>0</v>
      </c>
      <c r="CE40" s="11">
        <f t="shared" si="20"/>
        <v>0</v>
      </c>
      <c r="CF40" s="11">
        <f t="shared" si="20"/>
        <v>0</v>
      </c>
      <c r="CG40" s="11">
        <f t="shared" si="20"/>
        <v>0</v>
      </c>
      <c r="CH40" s="11">
        <f t="shared" si="20"/>
        <v>0</v>
      </c>
      <c r="CI40" s="11">
        <f t="shared" si="20"/>
        <v>0</v>
      </c>
      <c r="CJ40" s="11">
        <f t="shared" si="20"/>
        <v>0</v>
      </c>
      <c r="CK40" s="11">
        <f t="shared" si="20"/>
        <v>0</v>
      </c>
      <c r="CL40" s="11">
        <f t="shared" si="20"/>
        <v>0</v>
      </c>
      <c r="CM40" s="11">
        <f t="shared" si="20"/>
        <v>0</v>
      </c>
      <c r="CN40" s="11">
        <f t="shared" si="20"/>
        <v>0</v>
      </c>
      <c r="CO40" s="11">
        <f t="shared" si="20"/>
        <v>0</v>
      </c>
      <c r="CP40" s="11">
        <f t="shared" si="20"/>
        <v>0</v>
      </c>
      <c r="CQ40" s="11">
        <f t="shared" si="20"/>
        <v>0</v>
      </c>
      <c r="CR40" s="11">
        <f t="shared" si="20"/>
        <v>0</v>
      </c>
      <c r="CS40" s="11">
        <f t="shared" si="20"/>
        <v>0</v>
      </c>
      <c r="CT40" s="11">
        <f t="shared" si="20"/>
        <v>0</v>
      </c>
      <c r="CU40" s="11">
        <f t="shared" si="20"/>
        <v>0</v>
      </c>
      <c r="CV40" s="11">
        <f t="shared" si="20"/>
        <v>0</v>
      </c>
      <c r="CW40" s="11">
        <f t="shared" si="20"/>
        <v>0</v>
      </c>
      <c r="CX40" s="11">
        <f t="shared" si="20"/>
        <v>0</v>
      </c>
      <c r="CY40" s="11">
        <f t="shared" si="20"/>
        <v>0</v>
      </c>
      <c r="CZ40" s="11">
        <f t="shared" si="20"/>
        <v>0</v>
      </c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</row>
    <row r="41" spans="1:122" ht="18" customHeight="1">
      <c r="A41" s="13" t="s">
        <v>29</v>
      </c>
      <c r="B41" s="14">
        <f>IFERROR(VLOOKUP(A41,PRICELIST!$A$3:$D$138,4,0),"-")</f>
        <v>78.790000000000006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9">
        <f t="shared" ref="CY41:CZ46" si="21">C41+E41+G41+I41+K41+M41+O41+Q41+S41+U41+W41+Y41+AA41+AC41+AE41+AG41+AI41+AK41+AM41+AO41+AQ41+AS41+AU41+AW41+AY41+BA41+BC41+BE41+BG41+BI41+BK41+BM41+BO41+BQ41+BS41+BU41+BW41+BY41+CA41+CC41+CE41+CG41+CI41+CK41+CM41+CO41+CQ41+CS41+CU41+CW41</f>
        <v>0</v>
      </c>
      <c r="CZ41" s="19">
        <f t="shared" si="21"/>
        <v>0</v>
      </c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</row>
    <row r="42" spans="1:122" ht="18" customHeight="1">
      <c r="A42" s="13" t="s">
        <v>30</v>
      </c>
      <c r="B42" s="14">
        <f>IFERROR(VLOOKUP(A42,PRICELIST!$A$3:$D$138,4,0),"-")</f>
        <v>142.29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9">
        <f t="shared" si="21"/>
        <v>0</v>
      </c>
      <c r="CZ42" s="19">
        <f t="shared" si="21"/>
        <v>0</v>
      </c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</row>
    <row r="43" spans="1:122" ht="18" customHeight="1">
      <c r="A43" s="13" t="s">
        <v>31</v>
      </c>
      <c r="B43" s="14">
        <f>IFERROR(VLOOKUP(A43,PRICELIST!$A$3:$D$138,4,0),"-")</f>
        <v>35.36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9">
        <f t="shared" si="21"/>
        <v>0</v>
      </c>
      <c r="CZ43" s="19">
        <f t="shared" si="21"/>
        <v>0</v>
      </c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</row>
    <row r="44" spans="1:122" ht="18" customHeight="1">
      <c r="A44" s="13" t="s">
        <v>32</v>
      </c>
      <c r="B44" s="14">
        <f>IFERROR(VLOOKUP(A44,PRICELIST!$A$3:$D$138,4,0),"-")</f>
        <v>175.18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9">
        <f t="shared" si="21"/>
        <v>0</v>
      </c>
      <c r="CZ44" s="19">
        <f t="shared" si="21"/>
        <v>0</v>
      </c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</row>
    <row r="45" spans="1:122" ht="18" customHeight="1">
      <c r="A45" s="13" t="s">
        <v>33</v>
      </c>
      <c r="B45" s="14">
        <f>IFERROR(VLOOKUP(A45,PRICELIST!$A$3:$D$138,4,0),"-")</f>
        <v>42.72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9">
        <f t="shared" si="21"/>
        <v>0</v>
      </c>
      <c r="CZ45" s="19">
        <f t="shared" si="21"/>
        <v>0</v>
      </c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</row>
    <row r="46" spans="1:122" ht="18" customHeight="1">
      <c r="A46" s="13" t="s">
        <v>34</v>
      </c>
      <c r="B46" s="14">
        <f>IFERROR(VLOOKUP(A46,PRICELIST!$A$3:$D$138,4,0),"-")</f>
        <v>84.28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9">
        <f t="shared" si="21"/>
        <v>0</v>
      </c>
      <c r="CZ46" s="19">
        <f t="shared" si="21"/>
        <v>0</v>
      </c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</row>
    <row r="47" spans="1:122" ht="18" customHeight="1">
      <c r="A47" s="9" t="s">
        <v>35</v>
      </c>
      <c r="B47" s="10"/>
      <c r="C47" s="11">
        <f>SUMPRODUCT($B41:$B46,C41:C46)</f>
        <v>0</v>
      </c>
      <c r="D47" s="11">
        <f t="shared" ref="D47:BO47" si="22">SUMPRODUCT($B41:$B46,D41:D46)</f>
        <v>0</v>
      </c>
      <c r="E47" s="11">
        <f t="shared" si="22"/>
        <v>0</v>
      </c>
      <c r="F47" s="11">
        <f t="shared" si="22"/>
        <v>0</v>
      </c>
      <c r="G47" s="11">
        <f t="shared" si="22"/>
        <v>0</v>
      </c>
      <c r="H47" s="11">
        <f t="shared" si="22"/>
        <v>0</v>
      </c>
      <c r="I47" s="11">
        <f t="shared" si="22"/>
        <v>0</v>
      </c>
      <c r="J47" s="11">
        <f t="shared" si="22"/>
        <v>0</v>
      </c>
      <c r="K47" s="11">
        <f t="shared" si="22"/>
        <v>0</v>
      </c>
      <c r="L47" s="11">
        <f t="shared" si="22"/>
        <v>0</v>
      </c>
      <c r="M47" s="11">
        <f t="shared" si="22"/>
        <v>0</v>
      </c>
      <c r="N47" s="11">
        <f t="shared" si="22"/>
        <v>0</v>
      </c>
      <c r="O47" s="11">
        <f t="shared" si="22"/>
        <v>0</v>
      </c>
      <c r="P47" s="11">
        <f t="shared" si="22"/>
        <v>0</v>
      </c>
      <c r="Q47" s="11">
        <f t="shared" si="22"/>
        <v>0</v>
      </c>
      <c r="R47" s="11">
        <f t="shared" si="22"/>
        <v>0</v>
      </c>
      <c r="S47" s="11">
        <f t="shared" si="22"/>
        <v>0</v>
      </c>
      <c r="T47" s="11">
        <f t="shared" si="22"/>
        <v>0</v>
      </c>
      <c r="U47" s="11">
        <f t="shared" si="22"/>
        <v>0</v>
      </c>
      <c r="V47" s="11">
        <f t="shared" si="22"/>
        <v>0</v>
      </c>
      <c r="W47" s="11">
        <f t="shared" si="22"/>
        <v>0</v>
      </c>
      <c r="X47" s="11">
        <f t="shared" si="22"/>
        <v>0</v>
      </c>
      <c r="Y47" s="11">
        <f t="shared" si="22"/>
        <v>0</v>
      </c>
      <c r="Z47" s="11">
        <f t="shared" si="22"/>
        <v>0</v>
      </c>
      <c r="AA47" s="11">
        <f t="shared" si="22"/>
        <v>0</v>
      </c>
      <c r="AB47" s="11">
        <f t="shared" si="22"/>
        <v>0</v>
      </c>
      <c r="AC47" s="11">
        <f t="shared" si="22"/>
        <v>0</v>
      </c>
      <c r="AD47" s="11">
        <f t="shared" si="22"/>
        <v>0</v>
      </c>
      <c r="AE47" s="11">
        <f t="shared" si="22"/>
        <v>0</v>
      </c>
      <c r="AF47" s="11">
        <f t="shared" si="22"/>
        <v>0</v>
      </c>
      <c r="AG47" s="11">
        <f t="shared" si="22"/>
        <v>0</v>
      </c>
      <c r="AH47" s="11">
        <f t="shared" si="22"/>
        <v>0</v>
      </c>
      <c r="AI47" s="11">
        <f t="shared" si="22"/>
        <v>0</v>
      </c>
      <c r="AJ47" s="11">
        <f t="shared" si="22"/>
        <v>0</v>
      </c>
      <c r="AK47" s="11">
        <f t="shared" si="22"/>
        <v>0</v>
      </c>
      <c r="AL47" s="11">
        <f t="shared" si="22"/>
        <v>0</v>
      </c>
      <c r="AM47" s="11">
        <f t="shared" si="22"/>
        <v>0</v>
      </c>
      <c r="AN47" s="11">
        <f t="shared" si="22"/>
        <v>0</v>
      </c>
      <c r="AO47" s="11">
        <f t="shared" si="22"/>
        <v>0</v>
      </c>
      <c r="AP47" s="11">
        <f t="shared" si="22"/>
        <v>0</v>
      </c>
      <c r="AQ47" s="11">
        <f t="shared" si="22"/>
        <v>0</v>
      </c>
      <c r="AR47" s="11">
        <f t="shared" si="22"/>
        <v>0</v>
      </c>
      <c r="AS47" s="11">
        <f t="shared" si="22"/>
        <v>0</v>
      </c>
      <c r="AT47" s="11">
        <f t="shared" si="22"/>
        <v>0</v>
      </c>
      <c r="AU47" s="11">
        <f t="shared" si="22"/>
        <v>0</v>
      </c>
      <c r="AV47" s="11">
        <f t="shared" si="22"/>
        <v>0</v>
      </c>
      <c r="AW47" s="11">
        <f t="shared" si="22"/>
        <v>0</v>
      </c>
      <c r="AX47" s="11">
        <f t="shared" si="22"/>
        <v>0</v>
      </c>
      <c r="AY47" s="11">
        <f t="shared" si="22"/>
        <v>0</v>
      </c>
      <c r="AZ47" s="11">
        <f t="shared" si="22"/>
        <v>0</v>
      </c>
      <c r="BA47" s="11">
        <f t="shared" si="22"/>
        <v>0</v>
      </c>
      <c r="BB47" s="11">
        <f t="shared" si="22"/>
        <v>0</v>
      </c>
      <c r="BC47" s="11">
        <f t="shared" si="22"/>
        <v>0</v>
      </c>
      <c r="BD47" s="11">
        <f t="shared" si="22"/>
        <v>0</v>
      </c>
      <c r="BE47" s="11">
        <f t="shared" si="22"/>
        <v>0</v>
      </c>
      <c r="BF47" s="11">
        <f t="shared" si="22"/>
        <v>0</v>
      </c>
      <c r="BG47" s="11">
        <f t="shared" si="22"/>
        <v>0</v>
      </c>
      <c r="BH47" s="11">
        <f t="shared" si="22"/>
        <v>0</v>
      </c>
      <c r="BI47" s="11">
        <f t="shared" si="22"/>
        <v>0</v>
      </c>
      <c r="BJ47" s="11">
        <f t="shared" si="22"/>
        <v>0</v>
      </c>
      <c r="BK47" s="11">
        <f t="shared" si="22"/>
        <v>0</v>
      </c>
      <c r="BL47" s="11">
        <f t="shared" si="22"/>
        <v>0</v>
      </c>
      <c r="BM47" s="11">
        <f t="shared" si="22"/>
        <v>0</v>
      </c>
      <c r="BN47" s="11">
        <f t="shared" si="22"/>
        <v>0</v>
      </c>
      <c r="BO47" s="11">
        <f t="shared" si="22"/>
        <v>0</v>
      </c>
      <c r="BP47" s="11">
        <f t="shared" ref="BP47:CZ47" si="23">SUMPRODUCT($B41:$B46,BP41:BP46)</f>
        <v>0</v>
      </c>
      <c r="BQ47" s="11">
        <f t="shared" si="23"/>
        <v>0</v>
      </c>
      <c r="BR47" s="11">
        <f t="shared" si="23"/>
        <v>0</v>
      </c>
      <c r="BS47" s="11">
        <f t="shared" si="23"/>
        <v>0</v>
      </c>
      <c r="BT47" s="11">
        <f t="shared" si="23"/>
        <v>0</v>
      </c>
      <c r="BU47" s="11">
        <f t="shared" si="23"/>
        <v>0</v>
      </c>
      <c r="BV47" s="11">
        <f t="shared" si="23"/>
        <v>0</v>
      </c>
      <c r="BW47" s="11">
        <f t="shared" si="23"/>
        <v>0</v>
      </c>
      <c r="BX47" s="11">
        <f t="shared" si="23"/>
        <v>0</v>
      </c>
      <c r="BY47" s="11">
        <f t="shared" si="23"/>
        <v>0</v>
      </c>
      <c r="BZ47" s="11">
        <f t="shared" si="23"/>
        <v>0</v>
      </c>
      <c r="CA47" s="11">
        <f t="shared" si="23"/>
        <v>0</v>
      </c>
      <c r="CB47" s="11">
        <f t="shared" si="23"/>
        <v>0</v>
      </c>
      <c r="CC47" s="11">
        <f t="shared" si="23"/>
        <v>0</v>
      </c>
      <c r="CD47" s="11">
        <f t="shared" si="23"/>
        <v>0</v>
      </c>
      <c r="CE47" s="11">
        <f t="shared" si="23"/>
        <v>0</v>
      </c>
      <c r="CF47" s="11">
        <f t="shared" si="23"/>
        <v>0</v>
      </c>
      <c r="CG47" s="11">
        <f t="shared" si="23"/>
        <v>0</v>
      </c>
      <c r="CH47" s="11">
        <f t="shared" si="23"/>
        <v>0</v>
      </c>
      <c r="CI47" s="11">
        <f t="shared" si="23"/>
        <v>0</v>
      </c>
      <c r="CJ47" s="11">
        <f t="shared" si="23"/>
        <v>0</v>
      </c>
      <c r="CK47" s="11">
        <f t="shared" si="23"/>
        <v>0</v>
      </c>
      <c r="CL47" s="11">
        <f t="shared" si="23"/>
        <v>0</v>
      </c>
      <c r="CM47" s="11">
        <f t="shared" si="23"/>
        <v>0</v>
      </c>
      <c r="CN47" s="11">
        <f t="shared" si="23"/>
        <v>0</v>
      </c>
      <c r="CO47" s="11">
        <f t="shared" si="23"/>
        <v>0</v>
      </c>
      <c r="CP47" s="11">
        <f t="shared" si="23"/>
        <v>0</v>
      </c>
      <c r="CQ47" s="11">
        <f t="shared" si="23"/>
        <v>0</v>
      </c>
      <c r="CR47" s="11">
        <f t="shared" si="23"/>
        <v>0</v>
      </c>
      <c r="CS47" s="11">
        <f t="shared" si="23"/>
        <v>0</v>
      </c>
      <c r="CT47" s="11">
        <f t="shared" si="23"/>
        <v>0</v>
      </c>
      <c r="CU47" s="11">
        <f t="shared" si="23"/>
        <v>0</v>
      </c>
      <c r="CV47" s="11">
        <f t="shared" si="23"/>
        <v>0</v>
      </c>
      <c r="CW47" s="11">
        <f t="shared" si="23"/>
        <v>0</v>
      </c>
      <c r="CX47" s="11">
        <f t="shared" si="23"/>
        <v>0</v>
      </c>
      <c r="CY47" s="11">
        <f t="shared" si="23"/>
        <v>0</v>
      </c>
      <c r="CZ47" s="11">
        <f t="shared" si="23"/>
        <v>0</v>
      </c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</row>
    <row r="48" spans="1:122" ht="18" customHeight="1">
      <c r="A48" s="4" t="s">
        <v>81</v>
      </c>
      <c r="B48" s="14">
        <f>IFERROR(VLOOKUP(A48,PRICELIST!$A$3:$D$138,4,0),"-")</f>
        <v>201.26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9">
        <f t="shared" ref="CY48:CZ48" si="24">C48+E48+G48+I48+K48+M48+O48+Q48+S48+U48+W48+Y48+AA48+AC48+AE48+AG48+AI48+AK48+AM48+AO48+AQ48+AS48+AU48+AW48+AY48+BA48+BC48+BE48+BG48+BI48+BK48+BM48+BO48+BQ48+BS48+BU48+BW48+BY48+CA48+CC48+CE48+CG48+CI48+CK48+CM48+CO48+CQ48+CS48+CU48+CW48</f>
        <v>0</v>
      </c>
      <c r="CZ48" s="19">
        <f t="shared" si="24"/>
        <v>0</v>
      </c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</row>
    <row r="49" spans="1:122" ht="18" customHeight="1">
      <c r="A49" s="9" t="s">
        <v>77</v>
      </c>
      <c r="B49" s="15"/>
      <c r="C49" s="11">
        <f>SUMPRODUCT($B48*C48)</f>
        <v>0</v>
      </c>
      <c r="D49" s="11">
        <f t="shared" ref="D49:BO49" si="25">SUMPRODUCT($B48*D48)</f>
        <v>0</v>
      </c>
      <c r="E49" s="11">
        <f t="shared" si="25"/>
        <v>0</v>
      </c>
      <c r="F49" s="11">
        <f t="shared" si="25"/>
        <v>0</v>
      </c>
      <c r="G49" s="11">
        <f t="shared" si="25"/>
        <v>0</v>
      </c>
      <c r="H49" s="11">
        <f t="shared" si="25"/>
        <v>0</v>
      </c>
      <c r="I49" s="11">
        <f t="shared" si="25"/>
        <v>0</v>
      </c>
      <c r="J49" s="11">
        <f t="shared" si="25"/>
        <v>0</v>
      </c>
      <c r="K49" s="11">
        <f t="shared" si="25"/>
        <v>0</v>
      </c>
      <c r="L49" s="11">
        <f t="shared" si="25"/>
        <v>0</v>
      </c>
      <c r="M49" s="11">
        <f t="shared" si="25"/>
        <v>0</v>
      </c>
      <c r="N49" s="11">
        <f t="shared" si="25"/>
        <v>0</v>
      </c>
      <c r="O49" s="11">
        <f t="shared" si="25"/>
        <v>0</v>
      </c>
      <c r="P49" s="11">
        <f t="shared" si="25"/>
        <v>0</v>
      </c>
      <c r="Q49" s="11">
        <f t="shared" si="25"/>
        <v>0</v>
      </c>
      <c r="R49" s="11">
        <f t="shared" si="25"/>
        <v>0</v>
      </c>
      <c r="S49" s="11">
        <f t="shared" si="25"/>
        <v>0</v>
      </c>
      <c r="T49" s="11">
        <f t="shared" si="25"/>
        <v>0</v>
      </c>
      <c r="U49" s="11">
        <f t="shared" si="25"/>
        <v>0</v>
      </c>
      <c r="V49" s="11">
        <f t="shared" si="25"/>
        <v>0</v>
      </c>
      <c r="W49" s="11">
        <f t="shared" si="25"/>
        <v>0</v>
      </c>
      <c r="X49" s="11">
        <f t="shared" si="25"/>
        <v>0</v>
      </c>
      <c r="Y49" s="11">
        <f t="shared" si="25"/>
        <v>0</v>
      </c>
      <c r="Z49" s="11">
        <f t="shared" si="25"/>
        <v>0</v>
      </c>
      <c r="AA49" s="11">
        <f t="shared" si="25"/>
        <v>0</v>
      </c>
      <c r="AB49" s="11">
        <f t="shared" si="25"/>
        <v>0</v>
      </c>
      <c r="AC49" s="11">
        <f t="shared" si="25"/>
        <v>0</v>
      </c>
      <c r="AD49" s="11">
        <f t="shared" si="25"/>
        <v>0</v>
      </c>
      <c r="AE49" s="11">
        <f t="shared" si="25"/>
        <v>0</v>
      </c>
      <c r="AF49" s="11">
        <f t="shared" si="25"/>
        <v>0</v>
      </c>
      <c r="AG49" s="11">
        <f t="shared" si="25"/>
        <v>0</v>
      </c>
      <c r="AH49" s="11">
        <f t="shared" si="25"/>
        <v>0</v>
      </c>
      <c r="AI49" s="11">
        <f t="shared" si="25"/>
        <v>0</v>
      </c>
      <c r="AJ49" s="11">
        <f t="shared" si="25"/>
        <v>0</v>
      </c>
      <c r="AK49" s="11">
        <f t="shared" si="25"/>
        <v>0</v>
      </c>
      <c r="AL49" s="11">
        <f t="shared" si="25"/>
        <v>0</v>
      </c>
      <c r="AM49" s="11">
        <f t="shared" si="25"/>
        <v>0</v>
      </c>
      <c r="AN49" s="11">
        <f t="shared" si="25"/>
        <v>0</v>
      </c>
      <c r="AO49" s="11">
        <f t="shared" si="25"/>
        <v>0</v>
      </c>
      <c r="AP49" s="11">
        <f t="shared" si="25"/>
        <v>0</v>
      </c>
      <c r="AQ49" s="11">
        <f t="shared" si="25"/>
        <v>0</v>
      </c>
      <c r="AR49" s="11">
        <f t="shared" si="25"/>
        <v>0</v>
      </c>
      <c r="AS49" s="11">
        <f t="shared" si="25"/>
        <v>0</v>
      </c>
      <c r="AT49" s="11">
        <f t="shared" si="25"/>
        <v>0</v>
      </c>
      <c r="AU49" s="11">
        <f t="shared" si="25"/>
        <v>0</v>
      </c>
      <c r="AV49" s="11">
        <f t="shared" si="25"/>
        <v>0</v>
      </c>
      <c r="AW49" s="11">
        <f t="shared" si="25"/>
        <v>0</v>
      </c>
      <c r="AX49" s="11">
        <f t="shared" si="25"/>
        <v>0</v>
      </c>
      <c r="AY49" s="11">
        <f t="shared" si="25"/>
        <v>0</v>
      </c>
      <c r="AZ49" s="11">
        <f t="shared" si="25"/>
        <v>0</v>
      </c>
      <c r="BA49" s="11">
        <f t="shared" si="25"/>
        <v>0</v>
      </c>
      <c r="BB49" s="11">
        <f t="shared" si="25"/>
        <v>0</v>
      </c>
      <c r="BC49" s="11">
        <f t="shared" si="25"/>
        <v>0</v>
      </c>
      <c r="BD49" s="11">
        <f t="shared" si="25"/>
        <v>0</v>
      </c>
      <c r="BE49" s="11">
        <f t="shared" si="25"/>
        <v>0</v>
      </c>
      <c r="BF49" s="11">
        <f t="shared" si="25"/>
        <v>0</v>
      </c>
      <c r="BG49" s="11">
        <f t="shared" si="25"/>
        <v>0</v>
      </c>
      <c r="BH49" s="11">
        <f t="shared" si="25"/>
        <v>0</v>
      </c>
      <c r="BI49" s="11">
        <f t="shared" si="25"/>
        <v>0</v>
      </c>
      <c r="BJ49" s="11">
        <f t="shared" si="25"/>
        <v>0</v>
      </c>
      <c r="BK49" s="11">
        <f t="shared" si="25"/>
        <v>0</v>
      </c>
      <c r="BL49" s="11">
        <f t="shared" si="25"/>
        <v>0</v>
      </c>
      <c r="BM49" s="11">
        <f t="shared" si="25"/>
        <v>0</v>
      </c>
      <c r="BN49" s="11">
        <f t="shared" si="25"/>
        <v>0</v>
      </c>
      <c r="BO49" s="11">
        <f t="shared" si="25"/>
        <v>0</v>
      </c>
      <c r="BP49" s="11">
        <f t="shared" ref="BP49:CZ49" si="26">SUMPRODUCT($B48*BP48)</f>
        <v>0</v>
      </c>
      <c r="BQ49" s="11">
        <f t="shared" si="26"/>
        <v>0</v>
      </c>
      <c r="BR49" s="11">
        <f t="shared" si="26"/>
        <v>0</v>
      </c>
      <c r="BS49" s="11">
        <f t="shared" si="26"/>
        <v>0</v>
      </c>
      <c r="BT49" s="11">
        <f t="shared" si="26"/>
        <v>0</v>
      </c>
      <c r="BU49" s="11">
        <f t="shared" si="26"/>
        <v>0</v>
      </c>
      <c r="BV49" s="11">
        <f t="shared" si="26"/>
        <v>0</v>
      </c>
      <c r="BW49" s="11">
        <f t="shared" si="26"/>
        <v>0</v>
      </c>
      <c r="BX49" s="11">
        <f t="shared" si="26"/>
        <v>0</v>
      </c>
      <c r="BY49" s="11">
        <f t="shared" si="26"/>
        <v>0</v>
      </c>
      <c r="BZ49" s="11">
        <f t="shared" si="26"/>
        <v>0</v>
      </c>
      <c r="CA49" s="11">
        <f t="shared" si="26"/>
        <v>0</v>
      </c>
      <c r="CB49" s="11">
        <f t="shared" si="26"/>
        <v>0</v>
      </c>
      <c r="CC49" s="11">
        <f t="shared" si="26"/>
        <v>0</v>
      </c>
      <c r="CD49" s="11">
        <f t="shared" si="26"/>
        <v>0</v>
      </c>
      <c r="CE49" s="11">
        <f t="shared" si="26"/>
        <v>0</v>
      </c>
      <c r="CF49" s="11">
        <f t="shared" si="26"/>
        <v>0</v>
      </c>
      <c r="CG49" s="11">
        <f t="shared" si="26"/>
        <v>0</v>
      </c>
      <c r="CH49" s="11">
        <f t="shared" si="26"/>
        <v>0</v>
      </c>
      <c r="CI49" s="11">
        <f t="shared" si="26"/>
        <v>0</v>
      </c>
      <c r="CJ49" s="11">
        <f t="shared" si="26"/>
        <v>0</v>
      </c>
      <c r="CK49" s="11">
        <f t="shared" si="26"/>
        <v>0</v>
      </c>
      <c r="CL49" s="11">
        <f t="shared" si="26"/>
        <v>0</v>
      </c>
      <c r="CM49" s="11">
        <f t="shared" si="26"/>
        <v>0</v>
      </c>
      <c r="CN49" s="11">
        <f t="shared" si="26"/>
        <v>0</v>
      </c>
      <c r="CO49" s="11">
        <f t="shared" si="26"/>
        <v>0</v>
      </c>
      <c r="CP49" s="11">
        <f t="shared" si="26"/>
        <v>0</v>
      </c>
      <c r="CQ49" s="11">
        <f t="shared" si="26"/>
        <v>0</v>
      </c>
      <c r="CR49" s="11">
        <f t="shared" si="26"/>
        <v>0</v>
      </c>
      <c r="CS49" s="11">
        <f t="shared" si="26"/>
        <v>0</v>
      </c>
      <c r="CT49" s="11">
        <f t="shared" si="26"/>
        <v>0</v>
      </c>
      <c r="CU49" s="11">
        <f t="shared" si="26"/>
        <v>0</v>
      </c>
      <c r="CV49" s="11">
        <f t="shared" si="26"/>
        <v>0</v>
      </c>
      <c r="CW49" s="11">
        <f t="shared" si="26"/>
        <v>0</v>
      </c>
      <c r="CX49" s="11">
        <f t="shared" si="26"/>
        <v>0</v>
      </c>
      <c r="CY49" s="11">
        <f t="shared" si="26"/>
        <v>0</v>
      </c>
      <c r="CZ49" s="11">
        <f t="shared" si="26"/>
        <v>0</v>
      </c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</row>
    <row r="50" spans="1:122" ht="18" customHeight="1">
      <c r="A50" s="4" t="s">
        <v>82</v>
      </c>
      <c r="B50" s="14">
        <f>IFERROR(VLOOKUP(A50,PRICELIST!$A$3:$D$138,4,0),"-")</f>
        <v>170.19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9">
        <f t="shared" ref="CY50:CZ52" si="27">C50+E50+G50+I50+K50+M50+O50+Q50+S50+U50+W50+Y50+AA50+AC50+AE50+AG50+AI50+AK50+AM50+AO50+AQ50+AS50+AU50+AW50+AY50+BA50+BC50+BE50+BG50+BI50+BK50+BM50+BO50+BQ50+BS50+BU50+BW50+BY50+CA50+CC50+CE50+CG50+CI50+CK50+CM50+CO50+CQ50+CS50+CU50+CW50</f>
        <v>0</v>
      </c>
      <c r="CZ50" s="19">
        <f t="shared" si="27"/>
        <v>0</v>
      </c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</row>
    <row r="51" spans="1:122" ht="18" customHeight="1">
      <c r="A51" s="4" t="s">
        <v>83</v>
      </c>
      <c r="B51" s="14">
        <f>IFERROR(VLOOKUP(A51,PRICELIST!$A$3:$D$138,4,0),"-")</f>
        <v>209.89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9">
        <f t="shared" si="27"/>
        <v>0</v>
      </c>
      <c r="CZ51" s="19">
        <f t="shared" si="27"/>
        <v>0</v>
      </c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</row>
    <row r="52" spans="1:122" ht="18" customHeight="1">
      <c r="A52" s="4" t="s">
        <v>84</v>
      </c>
      <c r="B52" s="14">
        <f>IFERROR(VLOOKUP(A52,PRICELIST!$A$3:$D$138,4,0),"-")</f>
        <v>302.79000000000002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9">
        <f t="shared" si="27"/>
        <v>0</v>
      </c>
      <c r="CZ52" s="19">
        <f t="shared" si="27"/>
        <v>0</v>
      </c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</row>
    <row r="53" spans="1:122" ht="18" customHeight="1">
      <c r="A53" s="9" t="s">
        <v>89</v>
      </c>
      <c r="B53" s="15"/>
      <c r="C53" s="11">
        <f>SUMPRODUCT($B50:$B52,C50:C52)</f>
        <v>0</v>
      </c>
      <c r="D53" s="11">
        <f t="shared" ref="D53:BO53" si="28">SUMPRODUCT($B50:$B52,D50:D52)</f>
        <v>0</v>
      </c>
      <c r="E53" s="11">
        <f t="shared" si="28"/>
        <v>0</v>
      </c>
      <c r="F53" s="11">
        <f t="shared" si="28"/>
        <v>0</v>
      </c>
      <c r="G53" s="11">
        <f t="shared" si="28"/>
        <v>0</v>
      </c>
      <c r="H53" s="11">
        <f t="shared" si="28"/>
        <v>0</v>
      </c>
      <c r="I53" s="11">
        <f t="shared" si="28"/>
        <v>0</v>
      </c>
      <c r="J53" s="11">
        <f t="shared" si="28"/>
        <v>0</v>
      </c>
      <c r="K53" s="11">
        <f t="shared" si="28"/>
        <v>0</v>
      </c>
      <c r="L53" s="11">
        <f t="shared" si="28"/>
        <v>0</v>
      </c>
      <c r="M53" s="11">
        <f t="shared" si="28"/>
        <v>0</v>
      </c>
      <c r="N53" s="11">
        <f t="shared" si="28"/>
        <v>0</v>
      </c>
      <c r="O53" s="11">
        <f t="shared" si="28"/>
        <v>0</v>
      </c>
      <c r="P53" s="11">
        <f t="shared" si="28"/>
        <v>0</v>
      </c>
      <c r="Q53" s="11">
        <f t="shared" si="28"/>
        <v>0</v>
      </c>
      <c r="R53" s="11">
        <f t="shared" si="28"/>
        <v>0</v>
      </c>
      <c r="S53" s="11">
        <f t="shared" si="28"/>
        <v>0</v>
      </c>
      <c r="T53" s="11">
        <f t="shared" si="28"/>
        <v>0</v>
      </c>
      <c r="U53" s="11">
        <f t="shared" si="28"/>
        <v>0</v>
      </c>
      <c r="V53" s="11">
        <f t="shared" si="28"/>
        <v>0</v>
      </c>
      <c r="W53" s="11">
        <f t="shared" si="28"/>
        <v>0</v>
      </c>
      <c r="X53" s="11">
        <f t="shared" si="28"/>
        <v>0</v>
      </c>
      <c r="Y53" s="11">
        <f t="shared" si="28"/>
        <v>0</v>
      </c>
      <c r="Z53" s="11">
        <f t="shared" si="28"/>
        <v>0</v>
      </c>
      <c r="AA53" s="11">
        <f t="shared" si="28"/>
        <v>0</v>
      </c>
      <c r="AB53" s="11">
        <f t="shared" si="28"/>
        <v>0</v>
      </c>
      <c r="AC53" s="11">
        <f t="shared" si="28"/>
        <v>0</v>
      </c>
      <c r="AD53" s="11">
        <f t="shared" si="28"/>
        <v>0</v>
      </c>
      <c r="AE53" s="11">
        <f t="shared" si="28"/>
        <v>0</v>
      </c>
      <c r="AF53" s="11">
        <f t="shared" si="28"/>
        <v>0</v>
      </c>
      <c r="AG53" s="11">
        <f t="shared" si="28"/>
        <v>0</v>
      </c>
      <c r="AH53" s="11">
        <f t="shared" si="28"/>
        <v>0</v>
      </c>
      <c r="AI53" s="11">
        <f t="shared" si="28"/>
        <v>0</v>
      </c>
      <c r="AJ53" s="11">
        <f t="shared" si="28"/>
        <v>0</v>
      </c>
      <c r="AK53" s="11">
        <f t="shared" si="28"/>
        <v>0</v>
      </c>
      <c r="AL53" s="11">
        <f t="shared" si="28"/>
        <v>0</v>
      </c>
      <c r="AM53" s="11">
        <f t="shared" si="28"/>
        <v>0</v>
      </c>
      <c r="AN53" s="11">
        <f t="shared" si="28"/>
        <v>0</v>
      </c>
      <c r="AO53" s="11">
        <f t="shared" si="28"/>
        <v>0</v>
      </c>
      <c r="AP53" s="11">
        <f t="shared" si="28"/>
        <v>0</v>
      </c>
      <c r="AQ53" s="11">
        <f t="shared" si="28"/>
        <v>0</v>
      </c>
      <c r="AR53" s="11">
        <f t="shared" si="28"/>
        <v>0</v>
      </c>
      <c r="AS53" s="11">
        <f t="shared" si="28"/>
        <v>0</v>
      </c>
      <c r="AT53" s="11">
        <f t="shared" si="28"/>
        <v>0</v>
      </c>
      <c r="AU53" s="11">
        <f t="shared" si="28"/>
        <v>0</v>
      </c>
      <c r="AV53" s="11">
        <f t="shared" si="28"/>
        <v>0</v>
      </c>
      <c r="AW53" s="11">
        <f t="shared" si="28"/>
        <v>0</v>
      </c>
      <c r="AX53" s="11">
        <f t="shared" si="28"/>
        <v>0</v>
      </c>
      <c r="AY53" s="11">
        <f t="shared" si="28"/>
        <v>0</v>
      </c>
      <c r="AZ53" s="11">
        <f t="shared" si="28"/>
        <v>0</v>
      </c>
      <c r="BA53" s="11">
        <f t="shared" si="28"/>
        <v>0</v>
      </c>
      <c r="BB53" s="11">
        <f t="shared" si="28"/>
        <v>0</v>
      </c>
      <c r="BC53" s="11">
        <f t="shared" si="28"/>
        <v>0</v>
      </c>
      <c r="BD53" s="11">
        <f t="shared" si="28"/>
        <v>0</v>
      </c>
      <c r="BE53" s="11">
        <f t="shared" si="28"/>
        <v>0</v>
      </c>
      <c r="BF53" s="11">
        <f t="shared" si="28"/>
        <v>0</v>
      </c>
      <c r="BG53" s="11">
        <f t="shared" si="28"/>
        <v>0</v>
      </c>
      <c r="BH53" s="11">
        <f t="shared" si="28"/>
        <v>0</v>
      </c>
      <c r="BI53" s="11">
        <f t="shared" si="28"/>
        <v>0</v>
      </c>
      <c r="BJ53" s="11">
        <f t="shared" si="28"/>
        <v>0</v>
      </c>
      <c r="BK53" s="11">
        <f t="shared" si="28"/>
        <v>0</v>
      </c>
      <c r="BL53" s="11">
        <f t="shared" si="28"/>
        <v>0</v>
      </c>
      <c r="BM53" s="11">
        <f t="shared" si="28"/>
        <v>0</v>
      </c>
      <c r="BN53" s="11">
        <f t="shared" si="28"/>
        <v>0</v>
      </c>
      <c r="BO53" s="11">
        <f t="shared" si="28"/>
        <v>0</v>
      </c>
      <c r="BP53" s="11">
        <f t="shared" ref="BP53:CZ53" si="29">SUMPRODUCT($B50:$B52,BP50:BP52)</f>
        <v>0</v>
      </c>
      <c r="BQ53" s="11">
        <f t="shared" si="29"/>
        <v>0</v>
      </c>
      <c r="BR53" s="11">
        <f t="shared" si="29"/>
        <v>0</v>
      </c>
      <c r="BS53" s="11">
        <f t="shared" si="29"/>
        <v>0</v>
      </c>
      <c r="BT53" s="11">
        <f t="shared" si="29"/>
        <v>0</v>
      </c>
      <c r="BU53" s="11">
        <f t="shared" si="29"/>
        <v>0</v>
      </c>
      <c r="BV53" s="11">
        <f t="shared" si="29"/>
        <v>0</v>
      </c>
      <c r="BW53" s="11">
        <f t="shared" si="29"/>
        <v>0</v>
      </c>
      <c r="BX53" s="11">
        <f t="shared" si="29"/>
        <v>0</v>
      </c>
      <c r="BY53" s="11">
        <f t="shared" si="29"/>
        <v>0</v>
      </c>
      <c r="BZ53" s="11">
        <f t="shared" si="29"/>
        <v>0</v>
      </c>
      <c r="CA53" s="11">
        <f t="shared" si="29"/>
        <v>0</v>
      </c>
      <c r="CB53" s="11">
        <f t="shared" si="29"/>
        <v>0</v>
      </c>
      <c r="CC53" s="11">
        <f t="shared" si="29"/>
        <v>0</v>
      </c>
      <c r="CD53" s="11">
        <f t="shared" si="29"/>
        <v>0</v>
      </c>
      <c r="CE53" s="11">
        <f t="shared" si="29"/>
        <v>0</v>
      </c>
      <c r="CF53" s="11">
        <f t="shared" si="29"/>
        <v>0</v>
      </c>
      <c r="CG53" s="11">
        <f t="shared" si="29"/>
        <v>0</v>
      </c>
      <c r="CH53" s="11">
        <f t="shared" si="29"/>
        <v>0</v>
      </c>
      <c r="CI53" s="11">
        <f t="shared" si="29"/>
        <v>0</v>
      </c>
      <c r="CJ53" s="11">
        <f t="shared" si="29"/>
        <v>0</v>
      </c>
      <c r="CK53" s="11">
        <f t="shared" si="29"/>
        <v>0</v>
      </c>
      <c r="CL53" s="11">
        <f t="shared" si="29"/>
        <v>0</v>
      </c>
      <c r="CM53" s="11">
        <f t="shared" si="29"/>
        <v>0</v>
      </c>
      <c r="CN53" s="11">
        <f t="shared" si="29"/>
        <v>0</v>
      </c>
      <c r="CO53" s="11">
        <f t="shared" si="29"/>
        <v>0</v>
      </c>
      <c r="CP53" s="11">
        <f t="shared" si="29"/>
        <v>0</v>
      </c>
      <c r="CQ53" s="11">
        <f t="shared" si="29"/>
        <v>0</v>
      </c>
      <c r="CR53" s="11">
        <f t="shared" si="29"/>
        <v>0</v>
      </c>
      <c r="CS53" s="11">
        <f t="shared" si="29"/>
        <v>0</v>
      </c>
      <c r="CT53" s="11">
        <f t="shared" si="29"/>
        <v>0</v>
      </c>
      <c r="CU53" s="11">
        <f t="shared" si="29"/>
        <v>0</v>
      </c>
      <c r="CV53" s="11">
        <f t="shared" si="29"/>
        <v>0</v>
      </c>
      <c r="CW53" s="11">
        <f t="shared" si="29"/>
        <v>0</v>
      </c>
      <c r="CX53" s="11">
        <f t="shared" si="29"/>
        <v>0</v>
      </c>
      <c r="CY53" s="11">
        <f t="shared" si="29"/>
        <v>0</v>
      </c>
      <c r="CZ53" s="11">
        <f t="shared" si="29"/>
        <v>0</v>
      </c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</row>
    <row r="54" spans="1:122" ht="18" customHeight="1">
      <c r="A54" s="13" t="s">
        <v>36</v>
      </c>
      <c r="B54" s="14">
        <f>IFERROR(VLOOKUP(A54,PRICELIST!$A$3:$D$138,4,0),"-")</f>
        <v>508.18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9">
        <f t="shared" ref="CY54:CZ58" si="30">C54+E54+G54+I54+K54+M54+O54+Q54+S54+U54+W54+Y54+AA54+AC54+AE54+AG54+AI54+AK54+AM54+AO54+AQ54+AS54+AU54+AW54+AY54+BA54+BC54+BE54+BG54+BI54+BK54+BM54+BO54+BQ54+BS54+BU54+BW54+BY54+CA54+CC54+CE54+CG54+CI54+CK54+CM54+CO54+CQ54+CS54+CU54+CW54</f>
        <v>0</v>
      </c>
      <c r="CZ54" s="19">
        <f t="shared" si="30"/>
        <v>0</v>
      </c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</row>
    <row r="55" spans="1:122" ht="18" customHeight="1">
      <c r="A55" s="13" t="s">
        <v>37</v>
      </c>
      <c r="B55" s="14">
        <f>IFERROR(VLOOKUP(A55,PRICELIST!$A$3:$D$138,4,0),"-")</f>
        <v>115.71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9">
        <f t="shared" si="30"/>
        <v>0</v>
      </c>
      <c r="CZ55" s="19">
        <f t="shared" si="30"/>
        <v>0</v>
      </c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</row>
    <row r="56" spans="1:122" ht="18" customHeight="1">
      <c r="A56" s="13" t="s">
        <v>38</v>
      </c>
      <c r="B56" s="14">
        <f>IFERROR(VLOOKUP(A56,PRICELIST!$A$3:$D$138,4,0),"-")</f>
        <v>207.64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9">
        <f t="shared" si="30"/>
        <v>0</v>
      </c>
      <c r="CZ56" s="19">
        <f t="shared" si="30"/>
        <v>0</v>
      </c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</row>
    <row r="57" spans="1:122" ht="18" customHeight="1">
      <c r="A57" s="13" t="s">
        <v>39</v>
      </c>
      <c r="B57" s="14">
        <f>IFERROR(VLOOKUP(A57,PRICELIST!$A$3:$D$138,4,0),"-")</f>
        <v>576.96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9">
        <f t="shared" si="30"/>
        <v>0</v>
      </c>
      <c r="CZ57" s="19">
        <f t="shared" si="30"/>
        <v>0</v>
      </c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</row>
    <row r="58" spans="1:122" ht="18" customHeight="1">
      <c r="A58" s="13" t="s">
        <v>40</v>
      </c>
      <c r="B58" s="14">
        <f>IFERROR(VLOOKUP(A58,PRICELIST!$A$3:$D$138,4,0),"-")</f>
        <v>635.30999999999995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9">
        <f t="shared" si="30"/>
        <v>0</v>
      </c>
      <c r="CZ58" s="19">
        <f t="shared" si="30"/>
        <v>0</v>
      </c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</row>
    <row r="59" spans="1:122" ht="18" customHeight="1">
      <c r="A59" s="9" t="s">
        <v>41</v>
      </c>
      <c r="B59" s="10"/>
      <c r="C59" s="11">
        <f>SUMPRODUCT($B54:$B58,C54:C58)</f>
        <v>0</v>
      </c>
      <c r="D59" s="11">
        <f t="shared" ref="D59:BO59" si="31">SUMPRODUCT($B54:$B58,D54:D58)</f>
        <v>0</v>
      </c>
      <c r="E59" s="11">
        <f t="shared" si="31"/>
        <v>0</v>
      </c>
      <c r="F59" s="11">
        <f t="shared" si="31"/>
        <v>0</v>
      </c>
      <c r="G59" s="11">
        <f t="shared" si="31"/>
        <v>0</v>
      </c>
      <c r="H59" s="11">
        <f t="shared" si="31"/>
        <v>0</v>
      </c>
      <c r="I59" s="11">
        <f t="shared" si="31"/>
        <v>0</v>
      </c>
      <c r="J59" s="11">
        <f t="shared" si="31"/>
        <v>0</v>
      </c>
      <c r="K59" s="11">
        <f t="shared" si="31"/>
        <v>0</v>
      </c>
      <c r="L59" s="11">
        <f t="shared" si="31"/>
        <v>0</v>
      </c>
      <c r="M59" s="11">
        <f t="shared" si="31"/>
        <v>0</v>
      </c>
      <c r="N59" s="11">
        <f t="shared" si="31"/>
        <v>0</v>
      </c>
      <c r="O59" s="11">
        <f t="shared" si="31"/>
        <v>0</v>
      </c>
      <c r="P59" s="11">
        <f t="shared" si="31"/>
        <v>0</v>
      </c>
      <c r="Q59" s="11">
        <f t="shared" si="31"/>
        <v>0</v>
      </c>
      <c r="R59" s="11">
        <f t="shared" si="31"/>
        <v>0</v>
      </c>
      <c r="S59" s="11">
        <f t="shared" si="31"/>
        <v>0</v>
      </c>
      <c r="T59" s="11">
        <f t="shared" si="31"/>
        <v>0</v>
      </c>
      <c r="U59" s="11">
        <f t="shared" si="31"/>
        <v>0</v>
      </c>
      <c r="V59" s="11">
        <f t="shared" si="31"/>
        <v>0</v>
      </c>
      <c r="W59" s="11">
        <f t="shared" si="31"/>
        <v>0</v>
      </c>
      <c r="X59" s="11">
        <f t="shared" si="31"/>
        <v>0</v>
      </c>
      <c r="Y59" s="11">
        <f t="shared" si="31"/>
        <v>0</v>
      </c>
      <c r="Z59" s="11">
        <f t="shared" si="31"/>
        <v>0</v>
      </c>
      <c r="AA59" s="11">
        <f t="shared" si="31"/>
        <v>0</v>
      </c>
      <c r="AB59" s="11">
        <f t="shared" si="31"/>
        <v>0</v>
      </c>
      <c r="AC59" s="11">
        <f t="shared" si="31"/>
        <v>0</v>
      </c>
      <c r="AD59" s="11">
        <f t="shared" si="31"/>
        <v>0</v>
      </c>
      <c r="AE59" s="11">
        <f t="shared" si="31"/>
        <v>0</v>
      </c>
      <c r="AF59" s="11">
        <f t="shared" si="31"/>
        <v>0</v>
      </c>
      <c r="AG59" s="11">
        <f t="shared" si="31"/>
        <v>0</v>
      </c>
      <c r="AH59" s="11">
        <f t="shared" si="31"/>
        <v>0</v>
      </c>
      <c r="AI59" s="11">
        <f t="shared" si="31"/>
        <v>0</v>
      </c>
      <c r="AJ59" s="11">
        <f t="shared" si="31"/>
        <v>0</v>
      </c>
      <c r="AK59" s="11">
        <f t="shared" si="31"/>
        <v>0</v>
      </c>
      <c r="AL59" s="11">
        <f t="shared" si="31"/>
        <v>0</v>
      </c>
      <c r="AM59" s="11">
        <f t="shared" si="31"/>
        <v>0</v>
      </c>
      <c r="AN59" s="11">
        <f t="shared" si="31"/>
        <v>0</v>
      </c>
      <c r="AO59" s="11">
        <f t="shared" si="31"/>
        <v>0</v>
      </c>
      <c r="AP59" s="11">
        <f t="shared" si="31"/>
        <v>0</v>
      </c>
      <c r="AQ59" s="11">
        <f t="shared" si="31"/>
        <v>0</v>
      </c>
      <c r="AR59" s="11">
        <f t="shared" si="31"/>
        <v>0</v>
      </c>
      <c r="AS59" s="11">
        <f t="shared" si="31"/>
        <v>0</v>
      </c>
      <c r="AT59" s="11">
        <f t="shared" si="31"/>
        <v>0</v>
      </c>
      <c r="AU59" s="11">
        <f t="shared" si="31"/>
        <v>0</v>
      </c>
      <c r="AV59" s="11">
        <f t="shared" si="31"/>
        <v>0</v>
      </c>
      <c r="AW59" s="11">
        <f t="shared" si="31"/>
        <v>0</v>
      </c>
      <c r="AX59" s="11">
        <f t="shared" si="31"/>
        <v>0</v>
      </c>
      <c r="AY59" s="11">
        <f t="shared" si="31"/>
        <v>0</v>
      </c>
      <c r="AZ59" s="11">
        <f t="shared" si="31"/>
        <v>0</v>
      </c>
      <c r="BA59" s="11">
        <f t="shared" si="31"/>
        <v>0</v>
      </c>
      <c r="BB59" s="11">
        <f t="shared" si="31"/>
        <v>0</v>
      </c>
      <c r="BC59" s="11">
        <f t="shared" si="31"/>
        <v>0</v>
      </c>
      <c r="BD59" s="11">
        <f t="shared" si="31"/>
        <v>0</v>
      </c>
      <c r="BE59" s="11">
        <f t="shared" si="31"/>
        <v>0</v>
      </c>
      <c r="BF59" s="11">
        <f t="shared" si="31"/>
        <v>0</v>
      </c>
      <c r="BG59" s="11">
        <f t="shared" si="31"/>
        <v>0</v>
      </c>
      <c r="BH59" s="11">
        <f t="shared" si="31"/>
        <v>0</v>
      </c>
      <c r="BI59" s="11">
        <f t="shared" si="31"/>
        <v>0</v>
      </c>
      <c r="BJ59" s="11">
        <f t="shared" si="31"/>
        <v>0</v>
      </c>
      <c r="BK59" s="11">
        <f t="shared" si="31"/>
        <v>0</v>
      </c>
      <c r="BL59" s="11">
        <f t="shared" si="31"/>
        <v>0</v>
      </c>
      <c r="BM59" s="11">
        <f t="shared" si="31"/>
        <v>0</v>
      </c>
      <c r="BN59" s="11">
        <f t="shared" si="31"/>
        <v>0</v>
      </c>
      <c r="BO59" s="11">
        <f t="shared" si="31"/>
        <v>0</v>
      </c>
      <c r="BP59" s="11">
        <f t="shared" ref="BP59:CZ59" si="32">SUMPRODUCT($B54:$B58,BP54:BP58)</f>
        <v>0</v>
      </c>
      <c r="BQ59" s="11">
        <f t="shared" si="32"/>
        <v>0</v>
      </c>
      <c r="BR59" s="11">
        <f t="shared" si="32"/>
        <v>0</v>
      </c>
      <c r="BS59" s="11">
        <f t="shared" si="32"/>
        <v>0</v>
      </c>
      <c r="BT59" s="11">
        <f t="shared" si="32"/>
        <v>0</v>
      </c>
      <c r="BU59" s="11">
        <f t="shared" si="32"/>
        <v>0</v>
      </c>
      <c r="BV59" s="11">
        <f t="shared" si="32"/>
        <v>0</v>
      </c>
      <c r="BW59" s="11">
        <f t="shared" si="32"/>
        <v>0</v>
      </c>
      <c r="BX59" s="11">
        <f t="shared" si="32"/>
        <v>0</v>
      </c>
      <c r="BY59" s="11">
        <f t="shared" si="32"/>
        <v>0</v>
      </c>
      <c r="BZ59" s="11">
        <f t="shared" si="32"/>
        <v>0</v>
      </c>
      <c r="CA59" s="11">
        <f t="shared" si="32"/>
        <v>0</v>
      </c>
      <c r="CB59" s="11">
        <f t="shared" si="32"/>
        <v>0</v>
      </c>
      <c r="CC59" s="11">
        <f t="shared" si="32"/>
        <v>0</v>
      </c>
      <c r="CD59" s="11">
        <f t="shared" si="32"/>
        <v>0</v>
      </c>
      <c r="CE59" s="11">
        <f t="shared" si="32"/>
        <v>0</v>
      </c>
      <c r="CF59" s="11">
        <f t="shared" si="32"/>
        <v>0</v>
      </c>
      <c r="CG59" s="11">
        <f t="shared" si="32"/>
        <v>0</v>
      </c>
      <c r="CH59" s="11">
        <f t="shared" si="32"/>
        <v>0</v>
      </c>
      <c r="CI59" s="11">
        <f t="shared" si="32"/>
        <v>0</v>
      </c>
      <c r="CJ59" s="11">
        <f t="shared" si="32"/>
        <v>0</v>
      </c>
      <c r="CK59" s="11">
        <f t="shared" si="32"/>
        <v>0</v>
      </c>
      <c r="CL59" s="11">
        <f t="shared" si="32"/>
        <v>0</v>
      </c>
      <c r="CM59" s="11">
        <f t="shared" si="32"/>
        <v>0</v>
      </c>
      <c r="CN59" s="11">
        <f t="shared" si="32"/>
        <v>0</v>
      </c>
      <c r="CO59" s="11">
        <f t="shared" si="32"/>
        <v>0</v>
      </c>
      <c r="CP59" s="11">
        <f t="shared" si="32"/>
        <v>0</v>
      </c>
      <c r="CQ59" s="11">
        <f t="shared" si="32"/>
        <v>0</v>
      </c>
      <c r="CR59" s="11">
        <f t="shared" si="32"/>
        <v>0</v>
      </c>
      <c r="CS59" s="11">
        <f t="shared" si="32"/>
        <v>0</v>
      </c>
      <c r="CT59" s="11">
        <f t="shared" si="32"/>
        <v>0</v>
      </c>
      <c r="CU59" s="11">
        <f t="shared" si="32"/>
        <v>0</v>
      </c>
      <c r="CV59" s="11">
        <f t="shared" si="32"/>
        <v>0</v>
      </c>
      <c r="CW59" s="11">
        <f t="shared" si="32"/>
        <v>0</v>
      </c>
      <c r="CX59" s="11">
        <f t="shared" si="32"/>
        <v>0</v>
      </c>
      <c r="CY59" s="11">
        <f t="shared" si="32"/>
        <v>0</v>
      </c>
      <c r="CZ59" s="11">
        <f t="shared" si="32"/>
        <v>0</v>
      </c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</row>
    <row r="60" spans="1:122" ht="18" customHeight="1">
      <c r="A60" s="13" t="s">
        <v>133</v>
      </c>
      <c r="B60" s="14">
        <f>IFERROR(VLOOKUP(A60,PRICELIST!$A$3:$D$138,4,0),"-")</f>
        <v>23.41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9">
        <f t="shared" ref="CY60:CZ70" si="33">C60+E60+G60+I60+K60+M60+O60+Q60+S60+U60+W60+Y60+AA60+AC60+AE60+AG60+AI60+AK60+AM60+AO60+AQ60+AS60+AU60+AW60+AY60+BA60+BC60+BE60+BG60+BI60+BK60+BM60+BO60+BQ60+BS60+BU60+BW60+BY60+CA60+CC60+CE60+CG60+CI60+CK60+CM60+CO60+CQ60+CS60+CU60+CW60</f>
        <v>0</v>
      </c>
      <c r="CZ60" s="19">
        <f t="shared" si="33"/>
        <v>0</v>
      </c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</row>
    <row r="61" spans="1:122" ht="18" customHeight="1">
      <c r="A61" s="13" t="s">
        <v>42</v>
      </c>
      <c r="B61" s="14">
        <f>IFERROR(VLOOKUP(A61,PRICELIST!$A$3:$D$138,4,0),"-")</f>
        <v>23.57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9">
        <f t="shared" si="33"/>
        <v>0</v>
      </c>
      <c r="CZ61" s="19">
        <f t="shared" si="33"/>
        <v>0</v>
      </c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</row>
    <row r="62" spans="1:122" ht="18" customHeight="1">
      <c r="A62" s="13" t="s">
        <v>43</v>
      </c>
      <c r="B62" s="14">
        <f>IFERROR(VLOOKUP(A62,PRICELIST!$A$3:$D$138,4,0),"-")</f>
        <v>66.7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9">
        <f t="shared" si="33"/>
        <v>0</v>
      </c>
      <c r="CZ62" s="19">
        <f t="shared" si="33"/>
        <v>0</v>
      </c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</row>
    <row r="63" spans="1:122" ht="18" customHeight="1">
      <c r="A63" s="13" t="s">
        <v>44</v>
      </c>
      <c r="B63" s="14">
        <f>IFERROR(VLOOKUP(A63,PRICELIST!$A$3:$D$138,4,0),"-")</f>
        <v>67.819999999999993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9">
        <f t="shared" si="33"/>
        <v>0</v>
      </c>
      <c r="CZ63" s="19">
        <f t="shared" si="33"/>
        <v>0</v>
      </c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</row>
    <row r="64" spans="1:122" ht="18" customHeight="1">
      <c r="A64" s="13" t="s">
        <v>45</v>
      </c>
      <c r="B64" s="14">
        <f>IFERROR(VLOOKUP(A64,PRICELIST!$A$3:$D$138,4,0),"-")</f>
        <v>9.58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9">
        <f t="shared" si="33"/>
        <v>0</v>
      </c>
      <c r="CZ64" s="19">
        <f t="shared" si="33"/>
        <v>0</v>
      </c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</row>
    <row r="65" spans="1:122" ht="18" customHeight="1">
      <c r="A65" s="13" t="s">
        <v>46</v>
      </c>
      <c r="B65" s="14">
        <f>IFERROR(VLOOKUP(A65,PRICELIST!$A$3:$D$138,4,0),"-")</f>
        <v>23.41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9">
        <f t="shared" si="33"/>
        <v>0</v>
      </c>
      <c r="CZ65" s="19">
        <f t="shared" si="33"/>
        <v>0</v>
      </c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</row>
    <row r="66" spans="1:122" ht="18" customHeight="1">
      <c r="A66" s="13" t="s">
        <v>47</v>
      </c>
      <c r="B66" s="14">
        <f>IFERROR(VLOOKUP(A66,PRICELIST!$A$3:$D$138,4,0),"-")</f>
        <v>23.57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9">
        <f t="shared" si="33"/>
        <v>0</v>
      </c>
      <c r="CZ66" s="19">
        <f t="shared" si="33"/>
        <v>0</v>
      </c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</row>
    <row r="67" spans="1:122" ht="18" customHeight="1">
      <c r="A67" s="13" t="s">
        <v>49</v>
      </c>
      <c r="B67" s="14">
        <f>IFERROR(VLOOKUP(A67,PRICELIST!$A$3:$D$138,4,0),"-")</f>
        <v>132.43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9">
        <f t="shared" si="33"/>
        <v>0</v>
      </c>
      <c r="CZ67" s="19">
        <f t="shared" si="33"/>
        <v>0</v>
      </c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</row>
    <row r="68" spans="1:122" ht="18" customHeight="1">
      <c r="A68" s="13" t="s">
        <v>50</v>
      </c>
      <c r="B68" s="14">
        <f>IFERROR(VLOOKUP(A68,PRICELIST!$A$3:$D$138,4,0),"-")</f>
        <v>94.7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9">
        <f t="shared" si="33"/>
        <v>0</v>
      </c>
      <c r="CZ68" s="19">
        <f t="shared" si="33"/>
        <v>0</v>
      </c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</row>
    <row r="69" spans="1:122" ht="18" customHeight="1">
      <c r="A69" s="13" t="s">
        <v>51</v>
      </c>
      <c r="B69" s="14">
        <f>IFERROR(VLOOKUP(A69,PRICELIST!$A$3:$D$138,4,0),"-")</f>
        <v>58.82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9">
        <f t="shared" si="33"/>
        <v>0</v>
      </c>
      <c r="CZ69" s="19">
        <f t="shared" si="33"/>
        <v>0</v>
      </c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</row>
    <row r="70" spans="1:122" ht="18" customHeight="1">
      <c r="A70" s="13" t="s">
        <v>52</v>
      </c>
      <c r="B70" s="14">
        <f>IFERROR(VLOOKUP(A70,PRICELIST!$A$3:$D$138,4,0),"-")</f>
        <v>61.39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9">
        <f t="shared" si="33"/>
        <v>0</v>
      </c>
      <c r="CZ70" s="19">
        <f t="shared" si="33"/>
        <v>0</v>
      </c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</row>
    <row r="71" spans="1:122" ht="18" customHeight="1">
      <c r="A71" s="9" t="s">
        <v>48</v>
      </c>
      <c r="B71" s="10"/>
      <c r="C71" s="11">
        <f t="shared" ref="C71:AH71" si="34">SUMPRODUCT($B60:$B70,C60:C70)</f>
        <v>0</v>
      </c>
      <c r="D71" s="11">
        <f t="shared" si="34"/>
        <v>0</v>
      </c>
      <c r="E71" s="11">
        <f t="shared" si="34"/>
        <v>0</v>
      </c>
      <c r="F71" s="11">
        <f t="shared" si="34"/>
        <v>0</v>
      </c>
      <c r="G71" s="11">
        <f t="shared" si="34"/>
        <v>0</v>
      </c>
      <c r="H71" s="11">
        <f t="shared" si="34"/>
        <v>0</v>
      </c>
      <c r="I71" s="11">
        <f t="shared" si="34"/>
        <v>0</v>
      </c>
      <c r="J71" s="11">
        <f t="shared" si="34"/>
        <v>0</v>
      </c>
      <c r="K71" s="11">
        <f t="shared" si="34"/>
        <v>0</v>
      </c>
      <c r="L71" s="11">
        <f t="shared" si="34"/>
        <v>0</v>
      </c>
      <c r="M71" s="11">
        <f t="shared" si="34"/>
        <v>0</v>
      </c>
      <c r="N71" s="11">
        <f t="shared" si="34"/>
        <v>0</v>
      </c>
      <c r="O71" s="11">
        <f t="shared" si="34"/>
        <v>0</v>
      </c>
      <c r="P71" s="11">
        <f t="shared" si="34"/>
        <v>0</v>
      </c>
      <c r="Q71" s="11">
        <f t="shared" si="34"/>
        <v>0</v>
      </c>
      <c r="R71" s="11">
        <f t="shared" si="34"/>
        <v>0</v>
      </c>
      <c r="S71" s="11">
        <f t="shared" si="34"/>
        <v>0</v>
      </c>
      <c r="T71" s="11">
        <f t="shared" si="34"/>
        <v>0</v>
      </c>
      <c r="U71" s="11">
        <f t="shared" si="34"/>
        <v>0</v>
      </c>
      <c r="V71" s="11">
        <f t="shared" si="34"/>
        <v>0</v>
      </c>
      <c r="W71" s="11">
        <f t="shared" si="34"/>
        <v>0</v>
      </c>
      <c r="X71" s="11">
        <f t="shared" si="34"/>
        <v>0</v>
      </c>
      <c r="Y71" s="11">
        <f t="shared" si="34"/>
        <v>0</v>
      </c>
      <c r="Z71" s="11">
        <f t="shared" si="34"/>
        <v>0</v>
      </c>
      <c r="AA71" s="11">
        <f t="shared" si="34"/>
        <v>0</v>
      </c>
      <c r="AB71" s="11">
        <f t="shared" si="34"/>
        <v>0</v>
      </c>
      <c r="AC71" s="11">
        <f t="shared" si="34"/>
        <v>0</v>
      </c>
      <c r="AD71" s="11">
        <f t="shared" si="34"/>
        <v>0</v>
      </c>
      <c r="AE71" s="11">
        <f t="shared" si="34"/>
        <v>0</v>
      </c>
      <c r="AF71" s="11">
        <f t="shared" si="34"/>
        <v>0</v>
      </c>
      <c r="AG71" s="11">
        <f t="shared" si="34"/>
        <v>0</v>
      </c>
      <c r="AH71" s="11">
        <f t="shared" si="34"/>
        <v>0</v>
      </c>
      <c r="AI71" s="11">
        <f t="shared" ref="AI71:BN71" si="35">SUMPRODUCT($B60:$B70,AI60:AI70)</f>
        <v>0</v>
      </c>
      <c r="AJ71" s="11">
        <f t="shared" si="35"/>
        <v>0</v>
      </c>
      <c r="AK71" s="11">
        <f t="shared" si="35"/>
        <v>0</v>
      </c>
      <c r="AL71" s="11">
        <f t="shared" si="35"/>
        <v>0</v>
      </c>
      <c r="AM71" s="11">
        <f t="shared" si="35"/>
        <v>0</v>
      </c>
      <c r="AN71" s="11">
        <f t="shared" si="35"/>
        <v>0</v>
      </c>
      <c r="AO71" s="11">
        <f t="shared" si="35"/>
        <v>0</v>
      </c>
      <c r="AP71" s="11">
        <f t="shared" si="35"/>
        <v>0</v>
      </c>
      <c r="AQ71" s="11">
        <f t="shared" si="35"/>
        <v>0</v>
      </c>
      <c r="AR71" s="11">
        <f t="shared" si="35"/>
        <v>0</v>
      </c>
      <c r="AS71" s="11">
        <f t="shared" si="35"/>
        <v>0</v>
      </c>
      <c r="AT71" s="11">
        <f t="shared" si="35"/>
        <v>0</v>
      </c>
      <c r="AU71" s="11">
        <f t="shared" si="35"/>
        <v>0</v>
      </c>
      <c r="AV71" s="11">
        <f t="shared" si="35"/>
        <v>0</v>
      </c>
      <c r="AW71" s="11">
        <f t="shared" si="35"/>
        <v>0</v>
      </c>
      <c r="AX71" s="11">
        <f t="shared" si="35"/>
        <v>0</v>
      </c>
      <c r="AY71" s="11">
        <f t="shared" si="35"/>
        <v>0</v>
      </c>
      <c r="AZ71" s="11">
        <f t="shared" si="35"/>
        <v>0</v>
      </c>
      <c r="BA71" s="11">
        <f t="shared" si="35"/>
        <v>0</v>
      </c>
      <c r="BB71" s="11">
        <f t="shared" si="35"/>
        <v>0</v>
      </c>
      <c r="BC71" s="11">
        <f t="shared" si="35"/>
        <v>0</v>
      </c>
      <c r="BD71" s="11">
        <f t="shared" si="35"/>
        <v>0</v>
      </c>
      <c r="BE71" s="11">
        <f t="shared" si="35"/>
        <v>0</v>
      </c>
      <c r="BF71" s="11">
        <f t="shared" si="35"/>
        <v>0</v>
      </c>
      <c r="BG71" s="11">
        <f t="shared" si="35"/>
        <v>0</v>
      </c>
      <c r="BH71" s="11">
        <f t="shared" si="35"/>
        <v>0</v>
      </c>
      <c r="BI71" s="11">
        <f t="shared" si="35"/>
        <v>0</v>
      </c>
      <c r="BJ71" s="11">
        <f t="shared" si="35"/>
        <v>0</v>
      </c>
      <c r="BK71" s="11">
        <f t="shared" si="35"/>
        <v>0</v>
      </c>
      <c r="BL71" s="11">
        <f t="shared" si="35"/>
        <v>0</v>
      </c>
      <c r="BM71" s="11">
        <f t="shared" si="35"/>
        <v>0</v>
      </c>
      <c r="BN71" s="11">
        <f t="shared" si="35"/>
        <v>0</v>
      </c>
      <c r="BO71" s="11">
        <f t="shared" ref="BO71:CT71" si="36">SUMPRODUCT($B60:$B70,BO60:BO70)</f>
        <v>0</v>
      </c>
      <c r="BP71" s="11">
        <f t="shared" si="36"/>
        <v>0</v>
      </c>
      <c r="BQ71" s="11">
        <f t="shared" si="36"/>
        <v>0</v>
      </c>
      <c r="BR71" s="11">
        <f t="shared" si="36"/>
        <v>0</v>
      </c>
      <c r="BS71" s="11">
        <f t="shared" si="36"/>
        <v>0</v>
      </c>
      <c r="BT71" s="11">
        <f t="shared" si="36"/>
        <v>0</v>
      </c>
      <c r="BU71" s="11">
        <f t="shared" si="36"/>
        <v>0</v>
      </c>
      <c r="BV71" s="11">
        <f t="shared" si="36"/>
        <v>0</v>
      </c>
      <c r="BW71" s="11">
        <f t="shared" si="36"/>
        <v>0</v>
      </c>
      <c r="BX71" s="11">
        <f t="shared" si="36"/>
        <v>0</v>
      </c>
      <c r="BY71" s="11">
        <f t="shared" si="36"/>
        <v>0</v>
      </c>
      <c r="BZ71" s="11">
        <f t="shared" si="36"/>
        <v>0</v>
      </c>
      <c r="CA71" s="11">
        <f t="shared" si="36"/>
        <v>0</v>
      </c>
      <c r="CB71" s="11">
        <f t="shared" si="36"/>
        <v>0</v>
      </c>
      <c r="CC71" s="11">
        <f t="shared" si="36"/>
        <v>0</v>
      </c>
      <c r="CD71" s="11">
        <f t="shared" si="36"/>
        <v>0</v>
      </c>
      <c r="CE71" s="11">
        <f t="shared" si="36"/>
        <v>0</v>
      </c>
      <c r="CF71" s="11">
        <f t="shared" si="36"/>
        <v>0</v>
      </c>
      <c r="CG71" s="11">
        <f t="shared" si="36"/>
        <v>0</v>
      </c>
      <c r="CH71" s="11">
        <f t="shared" si="36"/>
        <v>0</v>
      </c>
      <c r="CI71" s="11">
        <f t="shared" si="36"/>
        <v>0</v>
      </c>
      <c r="CJ71" s="11">
        <f t="shared" si="36"/>
        <v>0</v>
      </c>
      <c r="CK71" s="11">
        <f t="shared" si="36"/>
        <v>0</v>
      </c>
      <c r="CL71" s="11">
        <f t="shared" si="36"/>
        <v>0</v>
      </c>
      <c r="CM71" s="11">
        <f t="shared" si="36"/>
        <v>0</v>
      </c>
      <c r="CN71" s="11">
        <f t="shared" si="36"/>
        <v>0</v>
      </c>
      <c r="CO71" s="11">
        <f t="shared" si="36"/>
        <v>0</v>
      </c>
      <c r="CP71" s="11">
        <f t="shared" si="36"/>
        <v>0</v>
      </c>
      <c r="CQ71" s="11">
        <f t="shared" si="36"/>
        <v>0</v>
      </c>
      <c r="CR71" s="11">
        <f t="shared" si="36"/>
        <v>0</v>
      </c>
      <c r="CS71" s="11">
        <f t="shared" si="36"/>
        <v>0</v>
      </c>
      <c r="CT71" s="11">
        <f t="shared" si="36"/>
        <v>0</v>
      </c>
      <c r="CU71" s="11">
        <f t="shared" ref="CU71:CZ71" si="37">SUMPRODUCT($B60:$B70,CU60:CU70)</f>
        <v>0</v>
      </c>
      <c r="CV71" s="11">
        <f t="shared" si="37"/>
        <v>0</v>
      </c>
      <c r="CW71" s="11">
        <f t="shared" si="37"/>
        <v>0</v>
      </c>
      <c r="CX71" s="11">
        <f t="shared" si="37"/>
        <v>0</v>
      </c>
      <c r="CY71" s="11">
        <f t="shared" si="37"/>
        <v>0</v>
      </c>
      <c r="CZ71" s="11">
        <f t="shared" si="37"/>
        <v>0</v>
      </c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</row>
    <row r="72" spans="1:122" ht="18" customHeight="1">
      <c r="A72" s="13" t="s">
        <v>85</v>
      </c>
      <c r="B72" s="14">
        <f>IFERROR(VLOOKUP(A72,PRICELIST!$A$3:$D$138,4,0),"-")</f>
        <v>165.86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9">
        <f t="shared" ref="CY72:CZ78" si="38">C72+E72+G72+I72+K72+M72+O72+Q72+S72+U72+W72+Y72+AA72+AC72+AE72+AG72+AI72+AK72+AM72+AO72+AQ72+AS72+AU72+AW72+AY72+BA72+BC72+BE72+BG72+BI72+BK72+BM72+BO72+BQ72+BS72+BU72+BW72+BY72+CA72+CC72+CE72+CG72+CI72+CK72+CM72+CO72+CQ72+CS72+CU72+CW72</f>
        <v>0</v>
      </c>
      <c r="CZ72" s="19">
        <f t="shared" si="38"/>
        <v>0</v>
      </c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</row>
    <row r="73" spans="1:122" ht="18" customHeight="1">
      <c r="A73" s="13" t="s">
        <v>53</v>
      </c>
      <c r="B73" s="14">
        <f>IFERROR(VLOOKUP(A73,PRICELIST!$A$3:$D$138,4,0),"-")</f>
        <v>82.93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9">
        <f t="shared" si="38"/>
        <v>0</v>
      </c>
      <c r="CZ73" s="19">
        <f t="shared" si="38"/>
        <v>0</v>
      </c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</row>
    <row r="74" spans="1:122" ht="18" customHeight="1">
      <c r="A74" s="13" t="s">
        <v>54</v>
      </c>
      <c r="B74" s="14">
        <f>IFERROR(VLOOKUP(A74,PRICELIST!$A$3:$D$138,4,0),"-")</f>
        <v>96.43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9">
        <f t="shared" si="38"/>
        <v>0</v>
      </c>
      <c r="CZ74" s="19">
        <f t="shared" si="38"/>
        <v>0</v>
      </c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</row>
    <row r="75" spans="1:122" ht="18" customHeight="1">
      <c r="A75" s="13" t="s">
        <v>55</v>
      </c>
      <c r="B75" s="14">
        <f>IFERROR(VLOOKUP(A75,PRICELIST!$A$3:$D$138,4,0),"-")</f>
        <v>47.57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9">
        <f t="shared" si="38"/>
        <v>0</v>
      </c>
      <c r="CZ75" s="19">
        <f t="shared" si="38"/>
        <v>0</v>
      </c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</row>
    <row r="76" spans="1:122" ht="18" customHeight="1">
      <c r="A76" s="13" t="s">
        <v>132</v>
      </c>
      <c r="B76" s="14">
        <f>IFERROR(VLOOKUP(A76,PRICELIST!$A$3:$D$138,4,0),"-")</f>
        <v>128.57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9">
        <f t="shared" si="38"/>
        <v>0</v>
      </c>
      <c r="CZ76" s="19">
        <f t="shared" si="38"/>
        <v>0</v>
      </c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</row>
    <row r="77" spans="1:122" ht="18" customHeight="1">
      <c r="A77" s="13" t="s">
        <v>86</v>
      </c>
      <c r="B77" s="14">
        <f>IFERROR(VLOOKUP(A77,PRICELIST!$A$3:$D$138,4,0),"-")</f>
        <v>130.5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9">
        <f t="shared" si="38"/>
        <v>0</v>
      </c>
      <c r="CZ77" s="19">
        <f t="shared" si="38"/>
        <v>0</v>
      </c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</row>
    <row r="78" spans="1:122" ht="18" customHeight="1">
      <c r="A78" s="26" t="s">
        <v>121</v>
      </c>
      <c r="B78" s="14">
        <f>IFERROR(VLOOKUP(A78,PRICELIST!$A$3:$D$138,4,0),"-")</f>
        <v>146.88999999999999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9">
        <f t="shared" si="38"/>
        <v>0</v>
      </c>
      <c r="CZ78" s="19">
        <f t="shared" si="38"/>
        <v>0</v>
      </c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</row>
    <row r="79" spans="1:122" ht="18" customHeight="1">
      <c r="A79" s="9" t="s">
        <v>56</v>
      </c>
      <c r="B79" s="10"/>
      <c r="C79" s="11">
        <f>SUMPRODUCT($B72:$B78,C72:C78)</f>
        <v>0</v>
      </c>
      <c r="D79" s="11">
        <f t="shared" ref="D79:BO79" si="39">SUMPRODUCT($B72:$B78,D72:D78)</f>
        <v>0</v>
      </c>
      <c r="E79" s="11">
        <f t="shared" si="39"/>
        <v>0</v>
      </c>
      <c r="F79" s="11">
        <f t="shared" si="39"/>
        <v>0</v>
      </c>
      <c r="G79" s="11">
        <f t="shared" si="39"/>
        <v>0</v>
      </c>
      <c r="H79" s="11">
        <f t="shared" si="39"/>
        <v>0</v>
      </c>
      <c r="I79" s="11">
        <f t="shared" si="39"/>
        <v>0</v>
      </c>
      <c r="J79" s="11">
        <f t="shared" si="39"/>
        <v>0</v>
      </c>
      <c r="K79" s="11">
        <f t="shared" si="39"/>
        <v>0</v>
      </c>
      <c r="L79" s="11">
        <f t="shared" si="39"/>
        <v>0</v>
      </c>
      <c r="M79" s="11">
        <f t="shared" si="39"/>
        <v>0</v>
      </c>
      <c r="N79" s="11">
        <f t="shared" si="39"/>
        <v>0</v>
      </c>
      <c r="O79" s="11">
        <f t="shared" si="39"/>
        <v>0</v>
      </c>
      <c r="P79" s="11">
        <f t="shared" si="39"/>
        <v>0</v>
      </c>
      <c r="Q79" s="11">
        <f t="shared" si="39"/>
        <v>0</v>
      </c>
      <c r="R79" s="11">
        <f t="shared" si="39"/>
        <v>0</v>
      </c>
      <c r="S79" s="11">
        <f t="shared" si="39"/>
        <v>0</v>
      </c>
      <c r="T79" s="11">
        <f t="shared" si="39"/>
        <v>0</v>
      </c>
      <c r="U79" s="11">
        <f t="shared" si="39"/>
        <v>0</v>
      </c>
      <c r="V79" s="11">
        <f t="shared" si="39"/>
        <v>0</v>
      </c>
      <c r="W79" s="11">
        <f t="shared" si="39"/>
        <v>0</v>
      </c>
      <c r="X79" s="11">
        <f t="shared" si="39"/>
        <v>0</v>
      </c>
      <c r="Y79" s="11">
        <f t="shared" si="39"/>
        <v>0</v>
      </c>
      <c r="Z79" s="11">
        <f t="shared" si="39"/>
        <v>0</v>
      </c>
      <c r="AA79" s="11">
        <f t="shared" si="39"/>
        <v>0</v>
      </c>
      <c r="AB79" s="11">
        <f t="shared" si="39"/>
        <v>0</v>
      </c>
      <c r="AC79" s="11">
        <f t="shared" si="39"/>
        <v>0</v>
      </c>
      <c r="AD79" s="11">
        <f t="shared" si="39"/>
        <v>0</v>
      </c>
      <c r="AE79" s="11">
        <f t="shared" si="39"/>
        <v>0</v>
      </c>
      <c r="AF79" s="11">
        <f t="shared" si="39"/>
        <v>0</v>
      </c>
      <c r="AG79" s="11">
        <f t="shared" si="39"/>
        <v>0</v>
      </c>
      <c r="AH79" s="11">
        <f t="shared" si="39"/>
        <v>0</v>
      </c>
      <c r="AI79" s="11">
        <f t="shared" si="39"/>
        <v>0</v>
      </c>
      <c r="AJ79" s="11">
        <f t="shared" si="39"/>
        <v>0</v>
      </c>
      <c r="AK79" s="11">
        <f t="shared" si="39"/>
        <v>0</v>
      </c>
      <c r="AL79" s="11">
        <f t="shared" si="39"/>
        <v>0</v>
      </c>
      <c r="AM79" s="11">
        <f t="shared" si="39"/>
        <v>0</v>
      </c>
      <c r="AN79" s="11">
        <f t="shared" si="39"/>
        <v>0</v>
      </c>
      <c r="AO79" s="11">
        <f t="shared" si="39"/>
        <v>0</v>
      </c>
      <c r="AP79" s="11">
        <f t="shared" si="39"/>
        <v>0</v>
      </c>
      <c r="AQ79" s="11">
        <f t="shared" si="39"/>
        <v>0</v>
      </c>
      <c r="AR79" s="11">
        <f t="shared" si="39"/>
        <v>0</v>
      </c>
      <c r="AS79" s="11">
        <f t="shared" si="39"/>
        <v>0</v>
      </c>
      <c r="AT79" s="11">
        <f t="shared" si="39"/>
        <v>0</v>
      </c>
      <c r="AU79" s="11">
        <f t="shared" si="39"/>
        <v>0</v>
      </c>
      <c r="AV79" s="11">
        <f t="shared" si="39"/>
        <v>0</v>
      </c>
      <c r="AW79" s="11">
        <f t="shared" si="39"/>
        <v>0</v>
      </c>
      <c r="AX79" s="11">
        <f t="shared" si="39"/>
        <v>0</v>
      </c>
      <c r="AY79" s="11">
        <f t="shared" si="39"/>
        <v>0</v>
      </c>
      <c r="AZ79" s="11">
        <f t="shared" si="39"/>
        <v>0</v>
      </c>
      <c r="BA79" s="11">
        <f t="shared" si="39"/>
        <v>0</v>
      </c>
      <c r="BB79" s="11">
        <f t="shared" si="39"/>
        <v>0</v>
      </c>
      <c r="BC79" s="11">
        <f t="shared" si="39"/>
        <v>0</v>
      </c>
      <c r="BD79" s="11">
        <f t="shared" si="39"/>
        <v>0</v>
      </c>
      <c r="BE79" s="11">
        <f t="shared" si="39"/>
        <v>0</v>
      </c>
      <c r="BF79" s="11">
        <f t="shared" si="39"/>
        <v>0</v>
      </c>
      <c r="BG79" s="11">
        <f t="shared" si="39"/>
        <v>0</v>
      </c>
      <c r="BH79" s="11">
        <f t="shared" si="39"/>
        <v>0</v>
      </c>
      <c r="BI79" s="11">
        <f t="shared" si="39"/>
        <v>0</v>
      </c>
      <c r="BJ79" s="11">
        <f t="shared" si="39"/>
        <v>0</v>
      </c>
      <c r="BK79" s="11">
        <f t="shared" si="39"/>
        <v>0</v>
      </c>
      <c r="BL79" s="11">
        <f t="shared" si="39"/>
        <v>0</v>
      </c>
      <c r="BM79" s="11">
        <f t="shared" si="39"/>
        <v>0</v>
      </c>
      <c r="BN79" s="11">
        <f t="shared" si="39"/>
        <v>0</v>
      </c>
      <c r="BO79" s="11">
        <f t="shared" si="39"/>
        <v>0</v>
      </c>
      <c r="BP79" s="11">
        <f t="shared" ref="BP79:CZ79" si="40">SUMPRODUCT($B72:$B78,BP72:BP78)</f>
        <v>0</v>
      </c>
      <c r="BQ79" s="11">
        <f t="shared" si="40"/>
        <v>0</v>
      </c>
      <c r="BR79" s="11">
        <f t="shared" si="40"/>
        <v>0</v>
      </c>
      <c r="BS79" s="11">
        <f t="shared" si="40"/>
        <v>0</v>
      </c>
      <c r="BT79" s="11">
        <f t="shared" si="40"/>
        <v>0</v>
      </c>
      <c r="BU79" s="11">
        <f t="shared" si="40"/>
        <v>0</v>
      </c>
      <c r="BV79" s="11">
        <f t="shared" si="40"/>
        <v>0</v>
      </c>
      <c r="BW79" s="11">
        <f t="shared" si="40"/>
        <v>0</v>
      </c>
      <c r="BX79" s="11">
        <f t="shared" si="40"/>
        <v>0</v>
      </c>
      <c r="BY79" s="11">
        <f t="shared" si="40"/>
        <v>0</v>
      </c>
      <c r="BZ79" s="11">
        <f t="shared" si="40"/>
        <v>0</v>
      </c>
      <c r="CA79" s="11">
        <f t="shared" si="40"/>
        <v>0</v>
      </c>
      <c r="CB79" s="11">
        <f t="shared" si="40"/>
        <v>0</v>
      </c>
      <c r="CC79" s="11">
        <f t="shared" si="40"/>
        <v>0</v>
      </c>
      <c r="CD79" s="11">
        <f t="shared" si="40"/>
        <v>0</v>
      </c>
      <c r="CE79" s="11">
        <f t="shared" si="40"/>
        <v>0</v>
      </c>
      <c r="CF79" s="11">
        <f t="shared" si="40"/>
        <v>0</v>
      </c>
      <c r="CG79" s="11">
        <f t="shared" si="40"/>
        <v>0</v>
      </c>
      <c r="CH79" s="11">
        <f t="shared" si="40"/>
        <v>0</v>
      </c>
      <c r="CI79" s="11">
        <f t="shared" si="40"/>
        <v>0</v>
      </c>
      <c r="CJ79" s="11">
        <f t="shared" si="40"/>
        <v>0</v>
      </c>
      <c r="CK79" s="11">
        <f t="shared" si="40"/>
        <v>0</v>
      </c>
      <c r="CL79" s="11">
        <f t="shared" si="40"/>
        <v>0</v>
      </c>
      <c r="CM79" s="11">
        <f t="shared" si="40"/>
        <v>0</v>
      </c>
      <c r="CN79" s="11">
        <f t="shared" si="40"/>
        <v>0</v>
      </c>
      <c r="CO79" s="11">
        <f t="shared" si="40"/>
        <v>0</v>
      </c>
      <c r="CP79" s="11">
        <f t="shared" si="40"/>
        <v>0</v>
      </c>
      <c r="CQ79" s="11">
        <f t="shared" si="40"/>
        <v>0</v>
      </c>
      <c r="CR79" s="11">
        <f t="shared" si="40"/>
        <v>0</v>
      </c>
      <c r="CS79" s="11">
        <f t="shared" si="40"/>
        <v>0</v>
      </c>
      <c r="CT79" s="11">
        <f t="shared" si="40"/>
        <v>0</v>
      </c>
      <c r="CU79" s="11">
        <f t="shared" si="40"/>
        <v>0</v>
      </c>
      <c r="CV79" s="11">
        <f t="shared" si="40"/>
        <v>0</v>
      </c>
      <c r="CW79" s="11">
        <f t="shared" si="40"/>
        <v>0</v>
      </c>
      <c r="CX79" s="11">
        <f t="shared" si="40"/>
        <v>0</v>
      </c>
      <c r="CY79" s="11">
        <f t="shared" si="40"/>
        <v>0</v>
      </c>
      <c r="CZ79" s="11">
        <f t="shared" si="40"/>
        <v>0</v>
      </c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</row>
    <row r="80" spans="1:122" ht="18" customHeight="1">
      <c r="A80" s="13" t="s">
        <v>57</v>
      </c>
      <c r="B80" s="14">
        <f>IFERROR(VLOOKUP(A80,PRICELIST!$A$3:$D$138,4,0),"-")</f>
        <v>78.75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9">
        <f>C80+E80+G80+I80+K80+M80+O80+Q80+S80+U80+W80+Y80+AA80+AC80+AE80+AG80+AI80+AK80+AM80+AO80+AQ80+AS80+AU80+AW80+AY80+BA80+BC80+BE80+BG80+BI80+BK80+BM80+BO80+BQ80+BS80+BU80+BW80+BY80+CA80+CC80+CE80+CG80+CI80+CK80+CM80+CO80+CQ80+CS80+CU80+CW80</f>
        <v>0</v>
      </c>
      <c r="CZ80" s="19">
        <f>D80+F80+H80+J80+L80+N80+P80+R80+T80+V80+X80+Z80+AB80+AD80+AF80+AH80+AJ80+AL80+AN80+AP80+AR80+AT80+AV80+AX80+AZ80+BB80+BD80+BF80+BH80+BJ80+BL80+BN80+BP80+BR80+BT80+BV80+BX80+BZ80+CB80+CD80+CF80+CH80+CJ80+CL80+CN80+CP80+CR80+CT80+CV80+CX80</f>
        <v>0</v>
      </c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</row>
    <row r="81" spans="1:122" ht="18" customHeight="1">
      <c r="A81" s="9" t="s">
        <v>58</v>
      </c>
      <c r="B81" s="10"/>
      <c r="C81" s="11">
        <f>SUMPRODUCT($B80*C80)</f>
        <v>0</v>
      </c>
      <c r="D81" s="11">
        <f t="shared" ref="D81:BO81" si="41">SUMPRODUCT($B80*D80)</f>
        <v>0</v>
      </c>
      <c r="E81" s="11">
        <f t="shared" si="41"/>
        <v>0</v>
      </c>
      <c r="F81" s="11">
        <f t="shared" si="41"/>
        <v>0</v>
      </c>
      <c r="G81" s="11">
        <f t="shared" si="41"/>
        <v>0</v>
      </c>
      <c r="H81" s="11">
        <f t="shared" si="41"/>
        <v>0</v>
      </c>
      <c r="I81" s="11">
        <f t="shared" si="41"/>
        <v>0</v>
      </c>
      <c r="J81" s="11">
        <f t="shared" si="41"/>
        <v>0</v>
      </c>
      <c r="K81" s="11">
        <f t="shared" si="41"/>
        <v>0</v>
      </c>
      <c r="L81" s="11">
        <f t="shared" si="41"/>
        <v>0</v>
      </c>
      <c r="M81" s="11">
        <f t="shared" si="41"/>
        <v>0</v>
      </c>
      <c r="N81" s="11">
        <f t="shared" si="41"/>
        <v>0</v>
      </c>
      <c r="O81" s="11">
        <f t="shared" si="41"/>
        <v>0</v>
      </c>
      <c r="P81" s="11">
        <f t="shared" si="41"/>
        <v>0</v>
      </c>
      <c r="Q81" s="11">
        <f t="shared" si="41"/>
        <v>0</v>
      </c>
      <c r="R81" s="11">
        <f t="shared" si="41"/>
        <v>0</v>
      </c>
      <c r="S81" s="11">
        <f t="shared" si="41"/>
        <v>0</v>
      </c>
      <c r="T81" s="11">
        <f t="shared" si="41"/>
        <v>0</v>
      </c>
      <c r="U81" s="11">
        <f t="shared" si="41"/>
        <v>0</v>
      </c>
      <c r="V81" s="11">
        <f t="shared" si="41"/>
        <v>0</v>
      </c>
      <c r="W81" s="11">
        <f t="shared" si="41"/>
        <v>0</v>
      </c>
      <c r="X81" s="11">
        <f t="shared" si="41"/>
        <v>0</v>
      </c>
      <c r="Y81" s="11">
        <f t="shared" si="41"/>
        <v>0</v>
      </c>
      <c r="Z81" s="11">
        <f t="shared" si="41"/>
        <v>0</v>
      </c>
      <c r="AA81" s="11">
        <f t="shared" si="41"/>
        <v>0</v>
      </c>
      <c r="AB81" s="11">
        <f t="shared" si="41"/>
        <v>0</v>
      </c>
      <c r="AC81" s="11">
        <f t="shared" si="41"/>
        <v>0</v>
      </c>
      <c r="AD81" s="11">
        <f t="shared" si="41"/>
        <v>0</v>
      </c>
      <c r="AE81" s="11">
        <f t="shared" si="41"/>
        <v>0</v>
      </c>
      <c r="AF81" s="11">
        <f t="shared" si="41"/>
        <v>0</v>
      </c>
      <c r="AG81" s="11">
        <f t="shared" si="41"/>
        <v>0</v>
      </c>
      <c r="AH81" s="11">
        <f t="shared" si="41"/>
        <v>0</v>
      </c>
      <c r="AI81" s="11">
        <f t="shared" si="41"/>
        <v>0</v>
      </c>
      <c r="AJ81" s="11">
        <f t="shared" si="41"/>
        <v>0</v>
      </c>
      <c r="AK81" s="11">
        <f t="shared" si="41"/>
        <v>0</v>
      </c>
      <c r="AL81" s="11">
        <f t="shared" si="41"/>
        <v>0</v>
      </c>
      <c r="AM81" s="11">
        <f t="shared" si="41"/>
        <v>0</v>
      </c>
      <c r="AN81" s="11">
        <f t="shared" si="41"/>
        <v>0</v>
      </c>
      <c r="AO81" s="11">
        <f t="shared" si="41"/>
        <v>0</v>
      </c>
      <c r="AP81" s="11">
        <f t="shared" si="41"/>
        <v>0</v>
      </c>
      <c r="AQ81" s="11">
        <f t="shared" si="41"/>
        <v>0</v>
      </c>
      <c r="AR81" s="11">
        <f t="shared" si="41"/>
        <v>0</v>
      </c>
      <c r="AS81" s="11">
        <f t="shared" si="41"/>
        <v>0</v>
      </c>
      <c r="AT81" s="11">
        <f t="shared" si="41"/>
        <v>0</v>
      </c>
      <c r="AU81" s="11">
        <f t="shared" si="41"/>
        <v>0</v>
      </c>
      <c r="AV81" s="11">
        <f t="shared" si="41"/>
        <v>0</v>
      </c>
      <c r="AW81" s="11">
        <f t="shared" si="41"/>
        <v>0</v>
      </c>
      <c r="AX81" s="11">
        <f t="shared" si="41"/>
        <v>0</v>
      </c>
      <c r="AY81" s="11">
        <f t="shared" si="41"/>
        <v>0</v>
      </c>
      <c r="AZ81" s="11">
        <f t="shared" si="41"/>
        <v>0</v>
      </c>
      <c r="BA81" s="11">
        <f t="shared" si="41"/>
        <v>0</v>
      </c>
      <c r="BB81" s="11">
        <f t="shared" si="41"/>
        <v>0</v>
      </c>
      <c r="BC81" s="11">
        <f t="shared" si="41"/>
        <v>0</v>
      </c>
      <c r="BD81" s="11">
        <f t="shared" si="41"/>
        <v>0</v>
      </c>
      <c r="BE81" s="11">
        <f t="shared" si="41"/>
        <v>0</v>
      </c>
      <c r="BF81" s="11">
        <f t="shared" si="41"/>
        <v>0</v>
      </c>
      <c r="BG81" s="11">
        <f t="shared" si="41"/>
        <v>0</v>
      </c>
      <c r="BH81" s="11">
        <f t="shared" si="41"/>
        <v>0</v>
      </c>
      <c r="BI81" s="11">
        <f t="shared" si="41"/>
        <v>0</v>
      </c>
      <c r="BJ81" s="11">
        <f t="shared" si="41"/>
        <v>0</v>
      </c>
      <c r="BK81" s="11">
        <f t="shared" si="41"/>
        <v>0</v>
      </c>
      <c r="BL81" s="11">
        <f t="shared" si="41"/>
        <v>0</v>
      </c>
      <c r="BM81" s="11">
        <f t="shared" si="41"/>
        <v>0</v>
      </c>
      <c r="BN81" s="11">
        <f t="shared" si="41"/>
        <v>0</v>
      </c>
      <c r="BO81" s="11">
        <f t="shared" si="41"/>
        <v>0</v>
      </c>
      <c r="BP81" s="11">
        <f t="shared" ref="BP81:CZ81" si="42">SUMPRODUCT($B80*BP80)</f>
        <v>0</v>
      </c>
      <c r="BQ81" s="11">
        <f t="shared" si="42"/>
        <v>0</v>
      </c>
      <c r="BR81" s="11">
        <f t="shared" si="42"/>
        <v>0</v>
      </c>
      <c r="BS81" s="11">
        <f t="shared" si="42"/>
        <v>0</v>
      </c>
      <c r="BT81" s="11">
        <f t="shared" si="42"/>
        <v>0</v>
      </c>
      <c r="BU81" s="11">
        <f t="shared" si="42"/>
        <v>0</v>
      </c>
      <c r="BV81" s="11">
        <f t="shared" si="42"/>
        <v>0</v>
      </c>
      <c r="BW81" s="11">
        <f t="shared" si="42"/>
        <v>0</v>
      </c>
      <c r="BX81" s="11">
        <f t="shared" si="42"/>
        <v>0</v>
      </c>
      <c r="BY81" s="11">
        <f t="shared" si="42"/>
        <v>0</v>
      </c>
      <c r="BZ81" s="11">
        <f t="shared" si="42"/>
        <v>0</v>
      </c>
      <c r="CA81" s="11">
        <f t="shared" si="42"/>
        <v>0</v>
      </c>
      <c r="CB81" s="11">
        <f t="shared" si="42"/>
        <v>0</v>
      </c>
      <c r="CC81" s="11">
        <f t="shared" si="42"/>
        <v>0</v>
      </c>
      <c r="CD81" s="11">
        <f t="shared" si="42"/>
        <v>0</v>
      </c>
      <c r="CE81" s="11">
        <f t="shared" si="42"/>
        <v>0</v>
      </c>
      <c r="CF81" s="11">
        <f t="shared" si="42"/>
        <v>0</v>
      </c>
      <c r="CG81" s="11">
        <f t="shared" si="42"/>
        <v>0</v>
      </c>
      <c r="CH81" s="11">
        <f t="shared" si="42"/>
        <v>0</v>
      </c>
      <c r="CI81" s="11">
        <f t="shared" si="42"/>
        <v>0</v>
      </c>
      <c r="CJ81" s="11">
        <f t="shared" si="42"/>
        <v>0</v>
      </c>
      <c r="CK81" s="11">
        <f t="shared" si="42"/>
        <v>0</v>
      </c>
      <c r="CL81" s="11">
        <f t="shared" si="42"/>
        <v>0</v>
      </c>
      <c r="CM81" s="11">
        <f t="shared" si="42"/>
        <v>0</v>
      </c>
      <c r="CN81" s="11">
        <f t="shared" si="42"/>
        <v>0</v>
      </c>
      <c r="CO81" s="11">
        <f t="shared" si="42"/>
        <v>0</v>
      </c>
      <c r="CP81" s="11">
        <f t="shared" si="42"/>
        <v>0</v>
      </c>
      <c r="CQ81" s="11">
        <f t="shared" si="42"/>
        <v>0</v>
      </c>
      <c r="CR81" s="11">
        <f t="shared" si="42"/>
        <v>0</v>
      </c>
      <c r="CS81" s="11">
        <f t="shared" si="42"/>
        <v>0</v>
      </c>
      <c r="CT81" s="11">
        <f t="shared" si="42"/>
        <v>0</v>
      </c>
      <c r="CU81" s="11">
        <f t="shared" si="42"/>
        <v>0</v>
      </c>
      <c r="CV81" s="11">
        <f t="shared" si="42"/>
        <v>0</v>
      </c>
      <c r="CW81" s="11">
        <f t="shared" si="42"/>
        <v>0</v>
      </c>
      <c r="CX81" s="11">
        <f t="shared" si="42"/>
        <v>0</v>
      </c>
      <c r="CY81" s="11">
        <f t="shared" si="42"/>
        <v>0</v>
      </c>
      <c r="CZ81" s="11">
        <f t="shared" si="42"/>
        <v>0</v>
      </c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</row>
    <row r="82" spans="1:122" ht="18" customHeight="1">
      <c r="A82" s="13" t="s">
        <v>59</v>
      </c>
      <c r="B82" s="14">
        <f>IFERROR(VLOOKUP(A82,PRICELIST!$A$3:$D$138,4,0),"-")</f>
        <v>276.11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9">
        <f t="shared" ref="CY82:CZ84" si="43">C82+E82+G82+I82+K82+M82+O82+Q82+S82+U82+W82+Y82+AA82+AC82+AE82+AG82+AI82+AK82+AM82+AO82+AQ82+AS82+AU82+AW82+AY82+BA82+BC82+BE82+BG82+BI82+BK82+BM82+BO82+BQ82+BS82+BU82+BW82+BY82+CA82+CC82+CE82+CG82+CI82+CK82+CM82+CO82+CQ82+CS82+CU82+CW82</f>
        <v>0</v>
      </c>
      <c r="CZ82" s="19">
        <f t="shared" si="43"/>
        <v>0</v>
      </c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</row>
    <row r="83" spans="1:122" ht="18" customHeight="1">
      <c r="A83" s="13" t="s">
        <v>60</v>
      </c>
      <c r="B83" s="14">
        <f>IFERROR(VLOOKUP(A83,PRICELIST!$A$3:$D$138,4,0),"-")</f>
        <v>75.540000000000006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9">
        <f t="shared" si="43"/>
        <v>0</v>
      </c>
      <c r="CZ83" s="19">
        <f t="shared" si="43"/>
        <v>0</v>
      </c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</row>
    <row r="84" spans="1:122" ht="18" customHeight="1">
      <c r="A84" s="13" t="s">
        <v>61</v>
      </c>
      <c r="B84" s="14">
        <f>IFERROR(VLOOKUP(A84,PRICELIST!$A$3:$D$138,4,0),"-")</f>
        <v>145.93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9">
        <f t="shared" si="43"/>
        <v>0</v>
      </c>
      <c r="CZ84" s="19">
        <f t="shared" si="43"/>
        <v>0</v>
      </c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</row>
    <row r="85" spans="1:122" ht="18" customHeight="1">
      <c r="A85" s="13" t="s">
        <v>62</v>
      </c>
      <c r="B85" s="14">
        <f>IFERROR(VLOOKUP(A85,PRICELIST!$A$3:$D$138,4,0),"-")</f>
        <v>149.79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9">
        <f>C85+E85+G85+I85+K85+M85+O85+Q85+S85+U85+W85+Y85+AA85+AC85+AE85+AG85+AI85+AK85+AM85+AO85+AQ85+AS85+AU85+AW85+AY85+BA85+BC85+BE85+BG85+BI85+BK85+BM85+BO85+BQ85+BS85+BU85+BW85+BY85+CA85+CC85+CE85+CG85+CI85+CK85+CM85+CO85+CQ85+CS85+CU85+CW85</f>
        <v>0</v>
      </c>
      <c r="CZ85" s="19">
        <f>D85+F85+H85+J85+L85+N85+P85+R85+T85+V85+X85+Z85+AB85+AD85+AF85+AH85+AJ85+AL85+AN85+AP85+AR85+AT85+AV85+AX85+AZ85+BB85+BD85+BF85+BH85+BJ85+BL85+BN85+BP85+BR85+BT85+BV85+BX85+BZ85+CB85+CD85+CF85+CH85+CJ85+CL85+CN85+CP85+CR85+CT85+CV85+CX85</f>
        <v>0</v>
      </c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</row>
    <row r="86" spans="1:122" ht="18" customHeight="1">
      <c r="A86" s="13" t="s">
        <v>87</v>
      </c>
      <c r="B86" s="14">
        <f>IFERROR(VLOOKUP(A86,PRICELIST!$A$3:$D$138,4,0),"-")</f>
        <v>192.86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9">
        <f>C86+E86+G86+I86+K86+M86+O86+Q86+S86+U86+W86+Y86+AA86+AC86+AE86+AG86+AI86+AK86+AM86+AO86+AQ86+AS86+AU86+AW86+AY86+BA86+BC86+BE86+BG86+BI86+BK86+BM86+BO86+BQ86+BS86+BU86+BW86+BY86+CA86+CC86+CE86+CG86+CI86+CK86+CM86+CO86+CQ86+CS86+CU86+CW86</f>
        <v>0</v>
      </c>
      <c r="CZ86" s="19">
        <f>D86+F86+H86+J86+L86+N86+P86+R86+T86+V86+X86+Z86+AB86+AD86+AF86+AH86+AJ86+AL86+AN86+AP86+AR86+AT86+AV86+AX86+AZ86+BB86+BD86+BF86+BH86+BJ86+BL86+BN86+BP86+BR86+BT86+BV86+BX86+BZ86+CB86+CD86+CF86+CH86+CJ86+CL86+CN86+CP86+CR86+CT86+CV86+CX86</f>
        <v>0</v>
      </c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</row>
    <row r="87" spans="1:122" ht="18" customHeight="1">
      <c r="A87" s="13" t="s">
        <v>122</v>
      </c>
      <c r="B87" s="14">
        <f>IFERROR(VLOOKUP(A87,PRICELIST!$A$3:$D$138,4,0),"-")</f>
        <v>104.79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9">
        <f t="shared" ref="CY87:CZ87" si="44">C87+E87+G87+I87+K87+M87+O87+Q87+S87+U87+W87+Y87+AA87+AC87+AE87+AG87+AI87+AK87+AM87+AO87+AQ87+AS87+AU87+AW87+AY87+BA87+BC87+BE87+BG87+BI87+BK87+BM87+BO87+BQ87+BS87+BU87+BW87+BY87+CA87+CC87+CE87+CG87+CI87+CK87+CM87+CO87+CQ87+CS87+CU87+CW87</f>
        <v>0</v>
      </c>
      <c r="CZ87" s="19">
        <f t="shared" si="44"/>
        <v>0</v>
      </c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</row>
    <row r="88" spans="1:122" ht="18" customHeight="1">
      <c r="A88" s="9" t="s">
        <v>88</v>
      </c>
      <c r="B88" s="10"/>
      <c r="C88" s="11">
        <f>SUMPRODUCT($B82:$B87,C82:C87)</f>
        <v>0</v>
      </c>
      <c r="D88" s="11">
        <f t="shared" ref="D88:BO88" si="45">SUMPRODUCT($B82:$B87,D82:D87)</f>
        <v>0</v>
      </c>
      <c r="E88" s="11">
        <f t="shared" si="45"/>
        <v>0</v>
      </c>
      <c r="F88" s="11">
        <f t="shared" si="45"/>
        <v>0</v>
      </c>
      <c r="G88" s="11">
        <f t="shared" si="45"/>
        <v>0</v>
      </c>
      <c r="H88" s="11">
        <f t="shared" si="45"/>
        <v>0</v>
      </c>
      <c r="I88" s="11">
        <f t="shared" si="45"/>
        <v>0</v>
      </c>
      <c r="J88" s="11">
        <f t="shared" si="45"/>
        <v>0</v>
      </c>
      <c r="K88" s="11">
        <f t="shared" si="45"/>
        <v>0</v>
      </c>
      <c r="L88" s="11">
        <f t="shared" si="45"/>
        <v>0</v>
      </c>
      <c r="M88" s="11">
        <f t="shared" si="45"/>
        <v>0</v>
      </c>
      <c r="N88" s="11">
        <f t="shared" si="45"/>
        <v>0</v>
      </c>
      <c r="O88" s="11">
        <f t="shared" si="45"/>
        <v>0</v>
      </c>
      <c r="P88" s="11">
        <f t="shared" si="45"/>
        <v>0</v>
      </c>
      <c r="Q88" s="11">
        <f t="shared" si="45"/>
        <v>0</v>
      </c>
      <c r="R88" s="11">
        <f t="shared" si="45"/>
        <v>0</v>
      </c>
      <c r="S88" s="11">
        <f t="shared" si="45"/>
        <v>0</v>
      </c>
      <c r="T88" s="11">
        <f t="shared" si="45"/>
        <v>0</v>
      </c>
      <c r="U88" s="11">
        <f t="shared" si="45"/>
        <v>0</v>
      </c>
      <c r="V88" s="11">
        <f t="shared" si="45"/>
        <v>0</v>
      </c>
      <c r="W88" s="11">
        <f t="shared" si="45"/>
        <v>0</v>
      </c>
      <c r="X88" s="11">
        <f t="shared" si="45"/>
        <v>0</v>
      </c>
      <c r="Y88" s="11">
        <f t="shared" si="45"/>
        <v>0</v>
      </c>
      <c r="Z88" s="11">
        <f t="shared" si="45"/>
        <v>0</v>
      </c>
      <c r="AA88" s="11">
        <f t="shared" si="45"/>
        <v>0</v>
      </c>
      <c r="AB88" s="11">
        <f t="shared" si="45"/>
        <v>0</v>
      </c>
      <c r="AC88" s="11">
        <f t="shared" si="45"/>
        <v>0</v>
      </c>
      <c r="AD88" s="11">
        <f t="shared" si="45"/>
        <v>0</v>
      </c>
      <c r="AE88" s="11">
        <f t="shared" si="45"/>
        <v>0</v>
      </c>
      <c r="AF88" s="11">
        <f t="shared" si="45"/>
        <v>0</v>
      </c>
      <c r="AG88" s="11">
        <f t="shared" si="45"/>
        <v>0</v>
      </c>
      <c r="AH88" s="11">
        <f t="shared" si="45"/>
        <v>0</v>
      </c>
      <c r="AI88" s="11">
        <f t="shared" si="45"/>
        <v>0</v>
      </c>
      <c r="AJ88" s="11">
        <f t="shared" si="45"/>
        <v>0</v>
      </c>
      <c r="AK88" s="11">
        <f t="shared" si="45"/>
        <v>0</v>
      </c>
      <c r="AL88" s="11">
        <f t="shared" si="45"/>
        <v>0</v>
      </c>
      <c r="AM88" s="11">
        <f t="shared" si="45"/>
        <v>0</v>
      </c>
      <c r="AN88" s="11">
        <f t="shared" si="45"/>
        <v>0</v>
      </c>
      <c r="AO88" s="11">
        <f t="shared" si="45"/>
        <v>0</v>
      </c>
      <c r="AP88" s="11">
        <f t="shared" si="45"/>
        <v>0</v>
      </c>
      <c r="AQ88" s="11">
        <f t="shared" si="45"/>
        <v>0</v>
      </c>
      <c r="AR88" s="11">
        <f t="shared" si="45"/>
        <v>0</v>
      </c>
      <c r="AS88" s="11">
        <f t="shared" si="45"/>
        <v>0</v>
      </c>
      <c r="AT88" s="11">
        <f t="shared" si="45"/>
        <v>0</v>
      </c>
      <c r="AU88" s="11">
        <f t="shared" si="45"/>
        <v>0</v>
      </c>
      <c r="AV88" s="11">
        <f t="shared" si="45"/>
        <v>0</v>
      </c>
      <c r="AW88" s="11">
        <f t="shared" si="45"/>
        <v>0</v>
      </c>
      <c r="AX88" s="11">
        <f t="shared" si="45"/>
        <v>0</v>
      </c>
      <c r="AY88" s="11">
        <f t="shared" si="45"/>
        <v>0</v>
      </c>
      <c r="AZ88" s="11">
        <f t="shared" si="45"/>
        <v>0</v>
      </c>
      <c r="BA88" s="11">
        <f t="shared" si="45"/>
        <v>0</v>
      </c>
      <c r="BB88" s="11">
        <f t="shared" si="45"/>
        <v>0</v>
      </c>
      <c r="BC88" s="11">
        <f t="shared" si="45"/>
        <v>0</v>
      </c>
      <c r="BD88" s="11">
        <f t="shared" si="45"/>
        <v>0</v>
      </c>
      <c r="BE88" s="11">
        <f t="shared" si="45"/>
        <v>0</v>
      </c>
      <c r="BF88" s="11">
        <f t="shared" si="45"/>
        <v>0</v>
      </c>
      <c r="BG88" s="11">
        <f t="shared" si="45"/>
        <v>0</v>
      </c>
      <c r="BH88" s="11">
        <f t="shared" si="45"/>
        <v>0</v>
      </c>
      <c r="BI88" s="11">
        <f t="shared" si="45"/>
        <v>0</v>
      </c>
      <c r="BJ88" s="11">
        <f t="shared" si="45"/>
        <v>0</v>
      </c>
      <c r="BK88" s="11">
        <f t="shared" si="45"/>
        <v>0</v>
      </c>
      <c r="BL88" s="11">
        <f t="shared" si="45"/>
        <v>0</v>
      </c>
      <c r="BM88" s="11">
        <f t="shared" si="45"/>
        <v>0</v>
      </c>
      <c r="BN88" s="11">
        <f t="shared" si="45"/>
        <v>0</v>
      </c>
      <c r="BO88" s="11">
        <f t="shared" si="45"/>
        <v>0</v>
      </c>
      <c r="BP88" s="11">
        <f t="shared" ref="BP88:CZ88" si="46">SUMPRODUCT($B82:$B87,BP82:BP87)</f>
        <v>0</v>
      </c>
      <c r="BQ88" s="11">
        <f t="shared" si="46"/>
        <v>0</v>
      </c>
      <c r="BR88" s="11">
        <f t="shared" si="46"/>
        <v>0</v>
      </c>
      <c r="BS88" s="11">
        <f t="shared" si="46"/>
        <v>0</v>
      </c>
      <c r="BT88" s="11">
        <f t="shared" si="46"/>
        <v>0</v>
      </c>
      <c r="BU88" s="11">
        <f t="shared" si="46"/>
        <v>0</v>
      </c>
      <c r="BV88" s="11">
        <f t="shared" si="46"/>
        <v>0</v>
      </c>
      <c r="BW88" s="11">
        <f t="shared" si="46"/>
        <v>0</v>
      </c>
      <c r="BX88" s="11">
        <f t="shared" si="46"/>
        <v>0</v>
      </c>
      <c r="BY88" s="11">
        <f t="shared" si="46"/>
        <v>0</v>
      </c>
      <c r="BZ88" s="11">
        <f t="shared" si="46"/>
        <v>0</v>
      </c>
      <c r="CA88" s="11">
        <f t="shared" si="46"/>
        <v>0</v>
      </c>
      <c r="CB88" s="11">
        <f t="shared" si="46"/>
        <v>0</v>
      </c>
      <c r="CC88" s="11">
        <f t="shared" si="46"/>
        <v>0</v>
      </c>
      <c r="CD88" s="11">
        <f t="shared" si="46"/>
        <v>0</v>
      </c>
      <c r="CE88" s="11">
        <f t="shared" si="46"/>
        <v>0</v>
      </c>
      <c r="CF88" s="11">
        <f t="shared" si="46"/>
        <v>0</v>
      </c>
      <c r="CG88" s="11">
        <f t="shared" si="46"/>
        <v>0</v>
      </c>
      <c r="CH88" s="11">
        <f t="shared" si="46"/>
        <v>0</v>
      </c>
      <c r="CI88" s="11">
        <f t="shared" si="46"/>
        <v>0</v>
      </c>
      <c r="CJ88" s="11">
        <f t="shared" si="46"/>
        <v>0</v>
      </c>
      <c r="CK88" s="11">
        <f t="shared" si="46"/>
        <v>0</v>
      </c>
      <c r="CL88" s="11">
        <f t="shared" si="46"/>
        <v>0</v>
      </c>
      <c r="CM88" s="11">
        <f t="shared" si="46"/>
        <v>0</v>
      </c>
      <c r="CN88" s="11">
        <f t="shared" si="46"/>
        <v>0</v>
      </c>
      <c r="CO88" s="11">
        <f t="shared" si="46"/>
        <v>0</v>
      </c>
      <c r="CP88" s="11">
        <f t="shared" si="46"/>
        <v>0</v>
      </c>
      <c r="CQ88" s="11">
        <f t="shared" si="46"/>
        <v>0</v>
      </c>
      <c r="CR88" s="11">
        <f t="shared" si="46"/>
        <v>0</v>
      </c>
      <c r="CS88" s="11">
        <f t="shared" si="46"/>
        <v>0</v>
      </c>
      <c r="CT88" s="11">
        <f t="shared" si="46"/>
        <v>0</v>
      </c>
      <c r="CU88" s="11">
        <f t="shared" si="46"/>
        <v>0</v>
      </c>
      <c r="CV88" s="11">
        <f t="shared" si="46"/>
        <v>0</v>
      </c>
      <c r="CW88" s="11">
        <f t="shared" si="46"/>
        <v>0</v>
      </c>
      <c r="CX88" s="11">
        <f t="shared" si="46"/>
        <v>0</v>
      </c>
      <c r="CY88" s="11">
        <f t="shared" si="46"/>
        <v>0</v>
      </c>
      <c r="CZ88" s="11">
        <f t="shared" si="46"/>
        <v>0</v>
      </c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</row>
    <row r="89" spans="1:122" ht="18" customHeight="1">
      <c r="A89" s="13" t="s">
        <v>63</v>
      </c>
      <c r="B89" s="14">
        <f>IFERROR(VLOOKUP(A89,PRICELIST!$A$3:$D$138,4,0),"-")</f>
        <v>172.53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9">
        <f t="shared" ref="CY89:CZ91" si="47">C89+E89+G89+I89+K89+M89+O89+Q89+S89+U89+W89+Y89+AA89+AC89+AE89+AG89+AI89+AK89+AM89+AO89+AQ89+AS89+AU89+AW89+AY89+BA89+BC89+BE89+BG89+BI89+BK89+BM89+BO89+BQ89+BS89+BU89+BW89+BY89+CA89+CC89+CE89+CG89+CI89+CK89+CM89+CO89+CQ89+CS89+CU89+CW89</f>
        <v>0</v>
      </c>
      <c r="CZ89" s="19">
        <f t="shared" si="47"/>
        <v>0</v>
      </c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</row>
    <row r="90" spans="1:122" ht="18" customHeight="1">
      <c r="A90" s="13" t="s">
        <v>64</v>
      </c>
      <c r="B90" s="14">
        <f>IFERROR(VLOOKUP(A90,PRICELIST!$A$3:$D$138,4,0),"-")</f>
        <v>50.46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9">
        <f t="shared" si="47"/>
        <v>0</v>
      </c>
      <c r="CZ90" s="19">
        <f t="shared" si="47"/>
        <v>0</v>
      </c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</row>
    <row r="91" spans="1:122" ht="18" customHeight="1">
      <c r="A91" s="13" t="s">
        <v>65</v>
      </c>
      <c r="B91" s="14">
        <f>IFERROR(VLOOKUP(A91,PRICELIST!$A$3:$D$138,4,0),"-")</f>
        <v>99.64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9">
        <f t="shared" si="47"/>
        <v>0</v>
      </c>
      <c r="CZ91" s="19">
        <f t="shared" si="47"/>
        <v>0</v>
      </c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</row>
    <row r="92" spans="1:122" ht="18" customHeight="1">
      <c r="A92" s="9" t="s">
        <v>66</v>
      </c>
      <c r="B92" s="10"/>
      <c r="C92" s="11">
        <f>SUMPRODUCT($B89:$B91,C89:C91)</f>
        <v>0</v>
      </c>
      <c r="D92" s="11">
        <f t="shared" ref="D92:BO92" si="48">SUMPRODUCT($B89:$B91,D89:D91)</f>
        <v>0</v>
      </c>
      <c r="E92" s="11">
        <f t="shared" si="48"/>
        <v>0</v>
      </c>
      <c r="F92" s="11">
        <f t="shared" si="48"/>
        <v>0</v>
      </c>
      <c r="G92" s="11">
        <f t="shared" si="48"/>
        <v>0</v>
      </c>
      <c r="H92" s="11">
        <f t="shared" si="48"/>
        <v>0</v>
      </c>
      <c r="I92" s="11">
        <f t="shared" si="48"/>
        <v>0</v>
      </c>
      <c r="J92" s="11">
        <f t="shared" si="48"/>
        <v>0</v>
      </c>
      <c r="K92" s="11">
        <f t="shared" si="48"/>
        <v>0</v>
      </c>
      <c r="L92" s="11">
        <f t="shared" si="48"/>
        <v>0</v>
      </c>
      <c r="M92" s="11">
        <f t="shared" si="48"/>
        <v>0</v>
      </c>
      <c r="N92" s="11">
        <f t="shared" si="48"/>
        <v>0</v>
      </c>
      <c r="O92" s="11">
        <f t="shared" si="48"/>
        <v>0</v>
      </c>
      <c r="P92" s="11">
        <f t="shared" si="48"/>
        <v>0</v>
      </c>
      <c r="Q92" s="11">
        <f t="shared" si="48"/>
        <v>0</v>
      </c>
      <c r="R92" s="11">
        <f t="shared" si="48"/>
        <v>0</v>
      </c>
      <c r="S92" s="11">
        <f t="shared" si="48"/>
        <v>0</v>
      </c>
      <c r="T92" s="11">
        <f t="shared" si="48"/>
        <v>0</v>
      </c>
      <c r="U92" s="11">
        <f t="shared" si="48"/>
        <v>0</v>
      </c>
      <c r="V92" s="11">
        <f t="shared" si="48"/>
        <v>0</v>
      </c>
      <c r="W92" s="11">
        <f t="shared" si="48"/>
        <v>0</v>
      </c>
      <c r="X92" s="11">
        <f t="shared" si="48"/>
        <v>0</v>
      </c>
      <c r="Y92" s="11">
        <f t="shared" si="48"/>
        <v>0</v>
      </c>
      <c r="Z92" s="11">
        <f t="shared" si="48"/>
        <v>0</v>
      </c>
      <c r="AA92" s="11">
        <f t="shared" si="48"/>
        <v>0</v>
      </c>
      <c r="AB92" s="11">
        <f t="shared" si="48"/>
        <v>0</v>
      </c>
      <c r="AC92" s="11">
        <f t="shared" si="48"/>
        <v>0</v>
      </c>
      <c r="AD92" s="11">
        <f t="shared" si="48"/>
        <v>0</v>
      </c>
      <c r="AE92" s="11">
        <f t="shared" si="48"/>
        <v>0</v>
      </c>
      <c r="AF92" s="11">
        <f t="shared" si="48"/>
        <v>0</v>
      </c>
      <c r="AG92" s="11">
        <f t="shared" si="48"/>
        <v>0</v>
      </c>
      <c r="AH92" s="11">
        <f t="shared" si="48"/>
        <v>0</v>
      </c>
      <c r="AI92" s="11">
        <f t="shared" si="48"/>
        <v>0</v>
      </c>
      <c r="AJ92" s="11">
        <f t="shared" si="48"/>
        <v>0</v>
      </c>
      <c r="AK92" s="11">
        <f t="shared" si="48"/>
        <v>0</v>
      </c>
      <c r="AL92" s="11">
        <f t="shared" si="48"/>
        <v>0</v>
      </c>
      <c r="AM92" s="11">
        <f t="shared" si="48"/>
        <v>0</v>
      </c>
      <c r="AN92" s="11">
        <f t="shared" si="48"/>
        <v>0</v>
      </c>
      <c r="AO92" s="11">
        <f t="shared" si="48"/>
        <v>0</v>
      </c>
      <c r="AP92" s="11">
        <f t="shared" si="48"/>
        <v>0</v>
      </c>
      <c r="AQ92" s="11">
        <f t="shared" si="48"/>
        <v>0</v>
      </c>
      <c r="AR92" s="11">
        <f t="shared" si="48"/>
        <v>0</v>
      </c>
      <c r="AS92" s="11">
        <f t="shared" si="48"/>
        <v>0</v>
      </c>
      <c r="AT92" s="11">
        <f t="shared" si="48"/>
        <v>0</v>
      </c>
      <c r="AU92" s="11">
        <f t="shared" si="48"/>
        <v>0</v>
      </c>
      <c r="AV92" s="11">
        <f t="shared" si="48"/>
        <v>0</v>
      </c>
      <c r="AW92" s="11">
        <f t="shared" si="48"/>
        <v>0</v>
      </c>
      <c r="AX92" s="11">
        <f t="shared" si="48"/>
        <v>0</v>
      </c>
      <c r="AY92" s="11">
        <f t="shared" si="48"/>
        <v>0</v>
      </c>
      <c r="AZ92" s="11">
        <f t="shared" si="48"/>
        <v>0</v>
      </c>
      <c r="BA92" s="11">
        <f t="shared" si="48"/>
        <v>0</v>
      </c>
      <c r="BB92" s="11">
        <f t="shared" si="48"/>
        <v>0</v>
      </c>
      <c r="BC92" s="11">
        <f t="shared" si="48"/>
        <v>0</v>
      </c>
      <c r="BD92" s="11">
        <f t="shared" si="48"/>
        <v>0</v>
      </c>
      <c r="BE92" s="11">
        <f t="shared" si="48"/>
        <v>0</v>
      </c>
      <c r="BF92" s="11">
        <f t="shared" si="48"/>
        <v>0</v>
      </c>
      <c r="BG92" s="11">
        <f t="shared" si="48"/>
        <v>0</v>
      </c>
      <c r="BH92" s="11">
        <f t="shared" si="48"/>
        <v>0</v>
      </c>
      <c r="BI92" s="11">
        <f t="shared" si="48"/>
        <v>0</v>
      </c>
      <c r="BJ92" s="11">
        <f t="shared" si="48"/>
        <v>0</v>
      </c>
      <c r="BK92" s="11">
        <f t="shared" si="48"/>
        <v>0</v>
      </c>
      <c r="BL92" s="11">
        <f t="shared" si="48"/>
        <v>0</v>
      </c>
      <c r="BM92" s="11">
        <f t="shared" si="48"/>
        <v>0</v>
      </c>
      <c r="BN92" s="11">
        <f t="shared" si="48"/>
        <v>0</v>
      </c>
      <c r="BO92" s="11">
        <f t="shared" si="48"/>
        <v>0</v>
      </c>
      <c r="BP92" s="11">
        <f t="shared" ref="BP92:CZ92" si="49">SUMPRODUCT($B89:$B91,BP89:BP91)</f>
        <v>0</v>
      </c>
      <c r="BQ92" s="11">
        <f t="shared" si="49"/>
        <v>0</v>
      </c>
      <c r="BR92" s="11">
        <f t="shared" si="49"/>
        <v>0</v>
      </c>
      <c r="BS92" s="11">
        <f t="shared" si="49"/>
        <v>0</v>
      </c>
      <c r="BT92" s="11">
        <f t="shared" si="49"/>
        <v>0</v>
      </c>
      <c r="BU92" s="11">
        <f t="shared" si="49"/>
        <v>0</v>
      </c>
      <c r="BV92" s="11">
        <f t="shared" si="49"/>
        <v>0</v>
      </c>
      <c r="BW92" s="11">
        <f t="shared" si="49"/>
        <v>0</v>
      </c>
      <c r="BX92" s="11">
        <f t="shared" si="49"/>
        <v>0</v>
      </c>
      <c r="BY92" s="11">
        <f t="shared" si="49"/>
        <v>0</v>
      </c>
      <c r="BZ92" s="11">
        <f t="shared" si="49"/>
        <v>0</v>
      </c>
      <c r="CA92" s="11">
        <f t="shared" si="49"/>
        <v>0</v>
      </c>
      <c r="CB92" s="11">
        <f t="shared" si="49"/>
        <v>0</v>
      </c>
      <c r="CC92" s="11">
        <f t="shared" si="49"/>
        <v>0</v>
      </c>
      <c r="CD92" s="11">
        <f t="shared" si="49"/>
        <v>0</v>
      </c>
      <c r="CE92" s="11">
        <f t="shared" si="49"/>
        <v>0</v>
      </c>
      <c r="CF92" s="11">
        <f t="shared" si="49"/>
        <v>0</v>
      </c>
      <c r="CG92" s="11">
        <f t="shared" si="49"/>
        <v>0</v>
      </c>
      <c r="CH92" s="11">
        <f t="shared" si="49"/>
        <v>0</v>
      </c>
      <c r="CI92" s="11">
        <f t="shared" si="49"/>
        <v>0</v>
      </c>
      <c r="CJ92" s="11">
        <f t="shared" si="49"/>
        <v>0</v>
      </c>
      <c r="CK92" s="11">
        <f t="shared" si="49"/>
        <v>0</v>
      </c>
      <c r="CL92" s="11">
        <f t="shared" si="49"/>
        <v>0</v>
      </c>
      <c r="CM92" s="11">
        <f t="shared" si="49"/>
        <v>0</v>
      </c>
      <c r="CN92" s="11">
        <f t="shared" si="49"/>
        <v>0</v>
      </c>
      <c r="CO92" s="11">
        <f t="shared" si="49"/>
        <v>0</v>
      </c>
      <c r="CP92" s="11">
        <f t="shared" si="49"/>
        <v>0</v>
      </c>
      <c r="CQ92" s="11">
        <f t="shared" si="49"/>
        <v>0</v>
      </c>
      <c r="CR92" s="11">
        <f t="shared" si="49"/>
        <v>0</v>
      </c>
      <c r="CS92" s="11">
        <f t="shared" si="49"/>
        <v>0</v>
      </c>
      <c r="CT92" s="11">
        <f t="shared" si="49"/>
        <v>0</v>
      </c>
      <c r="CU92" s="11">
        <f t="shared" si="49"/>
        <v>0</v>
      </c>
      <c r="CV92" s="11">
        <f t="shared" si="49"/>
        <v>0</v>
      </c>
      <c r="CW92" s="11">
        <f t="shared" si="49"/>
        <v>0</v>
      </c>
      <c r="CX92" s="11">
        <f t="shared" si="49"/>
        <v>0</v>
      </c>
      <c r="CY92" s="11">
        <f t="shared" si="49"/>
        <v>0</v>
      </c>
      <c r="CZ92" s="11">
        <f t="shared" si="49"/>
        <v>0</v>
      </c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</row>
    <row r="93" spans="1:122" ht="18" customHeight="1">
      <c r="A93" s="13" t="s">
        <v>67</v>
      </c>
      <c r="B93" s="14">
        <f>IFERROR(VLOOKUP(A93,PRICELIST!$A$3:$D$138,4,0),"-")</f>
        <v>140.13999999999999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9">
        <f t="shared" ref="CY93:CZ94" si="50">C93+E93+G93+I93+K93+M93+O93+Q93+S93+U93+W93+Y93+AA93+AC93+AE93+AG93+AI93+AK93+AM93+AO93+AQ93+AS93+AU93+AW93+AY93+BA93+BC93+BE93+BG93+BI93+BK93+BM93+BO93+BQ93+BS93+BU93+BW93+BY93+CA93+CC93+CE93+CG93+CI93+CK93+CM93+CO93+CQ93+CS93+CU93+CW93</f>
        <v>0</v>
      </c>
      <c r="CZ93" s="19">
        <f t="shared" si="50"/>
        <v>0</v>
      </c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</row>
    <row r="94" spans="1:122" ht="18" customHeight="1">
      <c r="A94" s="13" t="s">
        <v>68</v>
      </c>
      <c r="B94" s="14">
        <f>IFERROR(VLOOKUP(A94,PRICELIST!$A$3:$D$138,4,0),"-")</f>
        <v>203.14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9">
        <f t="shared" si="50"/>
        <v>0</v>
      </c>
      <c r="CZ94" s="19">
        <f t="shared" si="50"/>
        <v>0</v>
      </c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</row>
    <row r="95" spans="1:122" ht="18" customHeight="1">
      <c r="A95" s="9" t="s">
        <v>69</v>
      </c>
      <c r="B95" s="10"/>
      <c r="C95" s="11">
        <f>SUMPRODUCT($B93:$B94,C93:C94)</f>
        <v>0</v>
      </c>
      <c r="D95" s="11">
        <f t="shared" ref="D95:BO95" si="51">SUMPRODUCT($B93:$B94,D93:D94)</f>
        <v>0</v>
      </c>
      <c r="E95" s="11">
        <f t="shared" si="51"/>
        <v>0</v>
      </c>
      <c r="F95" s="11">
        <f t="shared" si="51"/>
        <v>0</v>
      </c>
      <c r="G95" s="11">
        <f t="shared" si="51"/>
        <v>0</v>
      </c>
      <c r="H95" s="11">
        <f t="shared" si="51"/>
        <v>0</v>
      </c>
      <c r="I95" s="11">
        <f t="shared" si="51"/>
        <v>0</v>
      </c>
      <c r="J95" s="11">
        <f t="shared" si="51"/>
        <v>0</v>
      </c>
      <c r="K95" s="11">
        <f t="shared" si="51"/>
        <v>0</v>
      </c>
      <c r="L95" s="11">
        <f t="shared" si="51"/>
        <v>0</v>
      </c>
      <c r="M95" s="11">
        <f t="shared" si="51"/>
        <v>0</v>
      </c>
      <c r="N95" s="11">
        <f t="shared" si="51"/>
        <v>0</v>
      </c>
      <c r="O95" s="11">
        <f t="shared" si="51"/>
        <v>0</v>
      </c>
      <c r="P95" s="11">
        <f t="shared" si="51"/>
        <v>0</v>
      </c>
      <c r="Q95" s="11">
        <f t="shared" si="51"/>
        <v>0</v>
      </c>
      <c r="R95" s="11">
        <f t="shared" si="51"/>
        <v>0</v>
      </c>
      <c r="S95" s="11">
        <f t="shared" si="51"/>
        <v>0</v>
      </c>
      <c r="T95" s="11">
        <f t="shared" si="51"/>
        <v>0</v>
      </c>
      <c r="U95" s="11">
        <f t="shared" si="51"/>
        <v>0</v>
      </c>
      <c r="V95" s="11">
        <f t="shared" si="51"/>
        <v>0</v>
      </c>
      <c r="W95" s="11">
        <f t="shared" si="51"/>
        <v>0</v>
      </c>
      <c r="X95" s="11">
        <f t="shared" si="51"/>
        <v>0</v>
      </c>
      <c r="Y95" s="11">
        <f t="shared" si="51"/>
        <v>0</v>
      </c>
      <c r="Z95" s="11">
        <f t="shared" si="51"/>
        <v>0</v>
      </c>
      <c r="AA95" s="11">
        <f t="shared" si="51"/>
        <v>0</v>
      </c>
      <c r="AB95" s="11">
        <f t="shared" si="51"/>
        <v>0</v>
      </c>
      <c r="AC95" s="11">
        <f t="shared" si="51"/>
        <v>0</v>
      </c>
      <c r="AD95" s="11">
        <f t="shared" si="51"/>
        <v>0</v>
      </c>
      <c r="AE95" s="11">
        <f t="shared" si="51"/>
        <v>0</v>
      </c>
      <c r="AF95" s="11">
        <f t="shared" si="51"/>
        <v>0</v>
      </c>
      <c r="AG95" s="11">
        <f t="shared" si="51"/>
        <v>0</v>
      </c>
      <c r="AH95" s="11">
        <f t="shared" si="51"/>
        <v>0</v>
      </c>
      <c r="AI95" s="11">
        <f t="shared" si="51"/>
        <v>0</v>
      </c>
      <c r="AJ95" s="11">
        <f t="shared" si="51"/>
        <v>0</v>
      </c>
      <c r="AK95" s="11">
        <f t="shared" si="51"/>
        <v>0</v>
      </c>
      <c r="AL95" s="11">
        <f t="shared" si="51"/>
        <v>0</v>
      </c>
      <c r="AM95" s="11">
        <f t="shared" si="51"/>
        <v>0</v>
      </c>
      <c r="AN95" s="11">
        <f t="shared" si="51"/>
        <v>0</v>
      </c>
      <c r="AO95" s="11">
        <f t="shared" si="51"/>
        <v>0</v>
      </c>
      <c r="AP95" s="11">
        <f t="shared" si="51"/>
        <v>0</v>
      </c>
      <c r="AQ95" s="11">
        <f t="shared" si="51"/>
        <v>0</v>
      </c>
      <c r="AR95" s="11">
        <f t="shared" si="51"/>
        <v>0</v>
      </c>
      <c r="AS95" s="11">
        <f t="shared" si="51"/>
        <v>0</v>
      </c>
      <c r="AT95" s="11">
        <f t="shared" si="51"/>
        <v>0</v>
      </c>
      <c r="AU95" s="11">
        <f t="shared" si="51"/>
        <v>0</v>
      </c>
      <c r="AV95" s="11">
        <f t="shared" si="51"/>
        <v>0</v>
      </c>
      <c r="AW95" s="11">
        <f t="shared" si="51"/>
        <v>0</v>
      </c>
      <c r="AX95" s="11">
        <f t="shared" si="51"/>
        <v>0</v>
      </c>
      <c r="AY95" s="11">
        <f t="shared" si="51"/>
        <v>0</v>
      </c>
      <c r="AZ95" s="11">
        <f t="shared" si="51"/>
        <v>0</v>
      </c>
      <c r="BA95" s="11">
        <f t="shared" si="51"/>
        <v>0</v>
      </c>
      <c r="BB95" s="11">
        <f t="shared" si="51"/>
        <v>0</v>
      </c>
      <c r="BC95" s="11">
        <f t="shared" si="51"/>
        <v>0</v>
      </c>
      <c r="BD95" s="11">
        <f t="shared" si="51"/>
        <v>0</v>
      </c>
      <c r="BE95" s="11">
        <f t="shared" si="51"/>
        <v>0</v>
      </c>
      <c r="BF95" s="11">
        <f t="shared" si="51"/>
        <v>0</v>
      </c>
      <c r="BG95" s="11">
        <f t="shared" si="51"/>
        <v>0</v>
      </c>
      <c r="BH95" s="11">
        <f t="shared" si="51"/>
        <v>0</v>
      </c>
      <c r="BI95" s="11">
        <f t="shared" si="51"/>
        <v>0</v>
      </c>
      <c r="BJ95" s="11">
        <f t="shared" si="51"/>
        <v>0</v>
      </c>
      <c r="BK95" s="11">
        <f t="shared" si="51"/>
        <v>0</v>
      </c>
      <c r="BL95" s="11">
        <f t="shared" si="51"/>
        <v>0</v>
      </c>
      <c r="BM95" s="11">
        <f t="shared" si="51"/>
        <v>0</v>
      </c>
      <c r="BN95" s="11">
        <f t="shared" si="51"/>
        <v>0</v>
      </c>
      <c r="BO95" s="11">
        <f t="shared" si="51"/>
        <v>0</v>
      </c>
      <c r="BP95" s="11">
        <f t="shared" ref="BP95:CZ95" si="52">SUMPRODUCT($B93:$B94,BP93:BP94)</f>
        <v>0</v>
      </c>
      <c r="BQ95" s="11">
        <f t="shared" si="52"/>
        <v>0</v>
      </c>
      <c r="BR95" s="11">
        <f t="shared" si="52"/>
        <v>0</v>
      </c>
      <c r="BS95" s="11">
        <f t="shared" si="52"/>
        <v>0</v>
      </c>
      <c r="BT95" s="11">
        <f t="shared" si="52"/>
        <v>0</v>
      </c>
      <c r="BU95" s="11">
        <f t="shared" si="52"/>
        <v>0</v>
      </c>
      <c r="BV95" s="11">
        <f t="shared" si="52"/>
        <v>0</v>
      </c>
      <c r="BW95" s="11">
        <f t="shared" si="52"/>
        <v>0</v>
      </c>
      <c r="BX95" s="11">
        <f t="shared" si="52"/>
        <v>0</v>
      </c>
      <c r="BY95" s="11">
        <f t="shared" si="52"/>
        <v>0</v>
      </c>
      <c r="BZ95" s="11">
        <f t="shared" si="52"/>
        <v>0</v>
      </c>
      <c r="CA95" s="11">
        <f t="shared" si="52"/>
        <v>0</v>
      </c>
      <c r="CB95" s="11">
        <f t="shared" si="52"/>
        <v>0</v>
      </c>
      <c r="CC95" s="11">
        <f t="shared" si="52"/>
        <v>0</v>
      </c>
      <c r="CD95" s="11">
        <f t="shared" si="52"/>
        <v>0</v>
      </c>
      <c r="CE95" s="11">
        <f t="shared" si="52"/>
        <v>0</v>
      </c>
      <c r="CF95" s="11">
        <f t="shared" si="52"/>
        <v>0</v>
      </c>
      <c r="CG95" s="11">
        <f t="shared" si="52"/>
        <v>0</v>
      </c>
      <c r="CH95" s="11">
        <f t="shared" si="52"/>
        <v>0</v>
      </c>
      <c r="CI95" s="11">
        <f t="shared" si="52"/>
        <v>0</v>
      </c>
      <c r="CJ95" s="11">
        <f t="shared" si="52"/>
        <v>0</v>
      </c>
      <c r="CK95" s="11">
        <f t="shared" si="52"/>
        <v>0</v>
      </c>
      <c r="CL95" s="11">
        <f t="shared" si="52"/>
        <v>0</v>
      </c>
      <c r="CM95" s="11">
        <f t="shared" si="52"/>
        <v>0</v>
      </c>
      <c r="CN95" s="11">
        <f t="shared" si="52"/>
        <v>0</v>
      </c>
      <c r="CO95" s="11">
        <f t="shared" si="52"/>
        <v>0</v>
      </c>
      <c r="CP95" s="11">
        <f t="shared" si="52"/>
        <v>0</v>
      </c>
      <c r="CQ95" s="11">
        <f t="shared" si="52"/>
        <v>0</v>
      </c>
      <c r="CR95" s="11">
        <f t="shared" si="52"/>
        <v>0</v>
      </c>
      <c r="CS95" s="11">
        <f t="shared" si="52"/>
        <v>0</v>
      </c>
      <c r="CT95" s="11">
        <f t="shared" si="52"/>
        <v>0</v>
      </c>
      <c r="CU95" s="11">
        <f t="shared" si="52"/>
        <v>0</v>
      </c>
      <c r="CV95" s="11">
        <f t="shared" si="52"/>
        <v>0</v>
      </c>
      <c r="CW95" s="11">
        <f t="shared" si="52"/>
        <v>0</v>
      </c>
      <c r="CX95" s="11">
        <f t="shared" si="52"/>
        <v>0</v>
      </c>
      <c r="CY95" s="11">
        <f t="shared" si="52"/>
        <v>0</v>
      </c>
      <c r="CZ95" s="11">
        <f t="shared" si="52"/>
        <v>0</v>
      </c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</row>
    <row r="96" spans="1:122" ht="18" customHeight="1">
      <c r="A96" s="34" t="s">
        <v>126</v>
      </c>
      <c r="B96" s="14">
        <f>IFERROR(VLOOKUP(A96,PRICELIST!$A$3:$D$138,4,0),"-")</f>
        <v>201.54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9">
        <f t="shared" ref="CY96:CZ98" si="53">C96+E96+G96+I96+K96+M96+O96+Q96+S96+U96+W96+Y96+AA96+AC96+AE96+AG96+AI96+AK96+AM96+AO96+AQ96+AS96+AU96+AW96+AY96+BA96+BC96+BE96+BG96+BI96+BK96+BM96+BO96+BQ96+BS96+BU96+BW96+BY96+CA96+CC96+CE96+CG96+CI96+CK96+CM96+CO96+CQ96+CS96+CU96+CW96</f>
        <v>0</v>
      </c>
      <c r="CZ96" s="19">
        <f t="shared" si="53"/>
        <v>0</v>
      </c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</row>
    <row r="97" spans="1:122" ht="18" customHeight="1">
      <c r="A97" s="13" t="s">
        <v>123</v>
      </c>
      <c r="B97" s="14">
        <f>IFERROR(VLOOKUP(A97,PRICELIST!$A$3:$D$138,4,0),"-")</f>
        <v>225.64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9">
        <f t="shared" si="53"/>
        <v>0</v>
      </c>
      <c r="CZ97" s="19">
        <f t="shared" si="53"/>
        <v>0</v>
      </c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</row>
    <row r="98" spans="1:122" ht="18" customHeight="1">
      <c r="A98" s="13" t="s">
        <v>131</v>
      </c>
      <c r="B98" s="14">
        <f>IFERROR(VLOOKUP(A98,PRICELIST!$A$3:$D$138,4,0),"-")</f>
        <v>198.64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9">
        <f t="shared" si="53"/>
        <v>0</v>
      </c>
      <c r="CZ98" s="19">
        <f t="shared" si="53"/>
        <v>0</v>
      </c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</row>
    <row r="99" spans="1:122" ht="18" customHeight="1">
      <c r="A99" s="9" t="s">
        <v>70</v>
      </c>
      <c r="B99" s="10"/>
      <c r="C99" s="11">
        <f t="shared" ref="C99:BN99" si="54">SUMPRODUCT($B96:$B98,C96:C98)</f>
        <v>0</v>
      </c>
      <c r="D99" s="11">
        <f t="shared" si="54"/>
        <v>0</v>
      </c>
      <c r="E99" s="11">
        <f t="shared" si="54"/>
        <v>0</v>
      </c>
      <c r="F99" s="11">
        <f t="shared" si="54"/>
        <v>0</v>
      </c>
      <c r="G99" s="11">
        <f t="shared" si="54"/>
        <v>0</v>
      </c>
      <c r="H99" s="11">
        <f t="shared" si="54"/>
        <v>0</v>
      </c>
      <c r="I99" s="11">
        <f t="shared" si="54"/>
        <v>0</v>
      </c>
      <c r="J99" s="11">
        <f t="shared" si="54"/>
        <v>0</v>
      </c>
      <c r="K99" s="11">
        <f t="shared" si="54"/>
        <v>0</v>
      </c>
      <c r="L99" s="11">
        <f t="shared" si="54"/>
        <v>0</v>
      </c>
      <c r="M99" s="11">
        <f t="shared" si="54"/>
        <v>0</v>
      </c>
      <c r="N99" s="11">
        <f t="shared" si="54"/>
        <v>0</v>
      </c>
      <c r="O99" s="11">
        <f t="shared" si="54"/>
        <v>0</v>
      </c>
      <c r="P99" s="11">
        <f t="shared" si="54"/>
        <v>0</v>
      </c>
      <c r="Q99" s="11">
        <f t="shared" si="54"/>
        <v>0</v>
      </c>
      <c r="R99" s="11">
        <f t="shared" si="54"/>
        <v>0</v>
      </c>
      <c r="S99" s="11">
        <f t="shared" si="54"/>
        <v>0</v>
      </c>
      <c r="T99" s="11">
        <f t="shared" si="54"/>
        <v>0</v>
      </c>
      <c r="U99" s="11">
        <f t="shared" si="54"/>
        <v>0</v>
      </c>
      <c r="V99" s="11">
        <f t="shared" si="54"/>
        <v>0</v>
      </c>
      <c r="W99" s="11">
        <f t="shared" si="54"/>
        <v>0</v>
      </c>
      <c r="X99" s="11">
        <f t="shared" si="54"/>
        <v>0</v>
      </c>
      <c r="Y99" s="11">
        <f t="shared" si="54"/>
        <v>0</v>
      </c>
      <c r="Z99" s="11">
        <f t="shared" si="54"/>
        <v>0</v>
      </c>
      <c r="AA99" s="11">
        <f t="shared" si="54"/>
        <v>0</v>
      </c>
      <c r="AB99" s="11">
        <f t="shared" si="54"/>
        <v>0</v>
      </c>
      <c r="AC99" s="11">
        <f t="shared" si="54"/>
        <v>0</v>
      </c>
      <c r="AD99" s="11">
        <f t="shared" si="54"/>
        <v>0</v>
      </c>
      <c r="AE99" s="11">
        <f t="shared" si="54"/>
        <v>0</v>
      </c>
      <c r="AF99" s="11">
        <f t="shared" si="54"/>
        <v>0</v>
      </c>
      <c r="AG99" s="11">
        <f t="shared" si="54"/>
        <v>0</v>
      </c>
      <c r="AH99" s="11">
        <f t="shared" si="54"/>
        <v>0</v>
      </c>
      <c r="AI99" s="11">
        <f t="shared" si="54"/>
        <v>0</v>
      </c>
      <c r="AJ99" s="11">
        <f t="shared" si="54"/>
        <v>0</v>
      </c>
      <c r="AK99" s="11">
        <f t="shared" si="54"/>
        <v>0</v>
      </c>
      <c r="AL99" s="11">
        <f t="shared" si="54"/>
        <v>0</v>
      </c>
      <c r="AM99" s="11">
        <f t="shared" si="54"/>
        <v>0</v>
      </c>
      <c r="AN99" s="11">
        <f t="shared" si="54"/>
        <v>0</v>
      </c>
      <c r="AO99" s="11">
        <f t="shared" si="54"/>
        <v>0</v>
      </c>
      <c r="AP99" s="11">
        <f t="shared" si="54"/>
        <v>0</v>
      </c>
      <c r="AQ99" s="11">
        <f t="shared" si="54"/>
        <v>0</v>
      </c>
      <c r="AR99" s="11">
        <f t="shared" si="54"/>
        <v>0</v>
      </c>
      <c r="AS99" s="11">
        <f t="shared" si="54"/>
        <v>0</v>
      </c>
      <c r="AT99" s="11">
        <f t="shared" si="54"/>
        <v>0</v>
      </c>
      <c r="AU99" s="11">
        <f t="shared" si="54"/>
        <v>0</v>
      </c>
      <c r="AV99" s="11">
        <f t="shared" si="54"/>
        <v>0</v>
      </c>
      <c r="AW99" s="11">
        <f t="shared" si="54"/>
        <v>0</v>
      </c>
      <c r="AX99" s="11">
        <f t="shared" si="54"/>
        <v>0</v>
      </c>
      <c r="AY99" s="11">
        <f t="shared" si="54"/>
        <v>0</v>
      </c>
      <c r="AZ99" s="11">
        <f t="shared" si="54"/>
        <v>0</v>
      </c>
      <c r="BA99" s="11">
        <f t="shared" si="54"/>
        <v>0</v>
      </c>
      <c r="BB99" s="11">
        <f t="shared" si="54"/>
        <v>0</v>
      </c>
      <c r="BC99" s="11">
        <f t="shared" si="54"/>
        <v>0</v>
      </c>
      <c r="BD99" s="11">
        <f t="shared" si="54"/>
        <v>0</v>
      </c>
      <c r="BE99" s="11">
        <f t="shared" si="54"/>
        <v>0</v>
      </c>
      <c r="BF99" s="11">
        <f t="shared" si="54"/>
        <v>0</v>
      </c>
      <c r="BG99" s="11">
        <f t="shared" si="54"/>
        <v>0</v>
      </c>
      <c r="BH99" s="11">
        <f t="shared" si="54"/>
        <v>0</v>
      </c>
      <c r="BI99" s="11">
        <f t="shared" si="54"/>
        <v>0</v>
      </c>
      <c r="BJ99" s="11">
        <f t="shared" si="54"/>
        <v>0</v>
      </c>
      <c r="BK99" s="11">
        <f t="shared" si="54"/>
        <v>0</v>
      </c>
      <c r="BL99" s="11">
        <f t="shared" si="54"/>
        <v>0</v>
      </c>
      <c r="BM99" s="11">
        <f t="shared" si="54"/>
        <v>0</v>
      </c>
      <c r="BN99" s="11">
        <f t="shared" si="54"/>
        <v>0</v>
      </c>
      <c r="BO99" s="11">
        <f t="shared" ref="BO99:CZ99" si="55">SUMPRODUCT($B96:$B98,BO96:BO98)</f>
        <v>0</v>
      </c>
      <c r="BP99" s="11">
        <f t="shared" si="55"/>
        <v>0</v>
      </c>
      <c r="BQ99" s="11">
        <f t="shared" si="55"/>
        <v>0</v>
      </c>
      <c r="BR99" s="11">
        <f t="shared" si="55"/>
        <v>0</v>
      </c>
      <c r="BS99" s="11">
        <f t="shared" si="55"/>
        <v>0</v>
      </c>
      <c r="BT99" s="11">
        <f t="shared" si="55"/>
        <v>0</v>
      </c>
      <c r="BU99" s="11">
        <f t="shared" si="55"/>
        <v>0</v>
      </c>
      <c r="BV99" s="11">
        <f t="shared" si="55"/>
        <v>0</v>
      </c>
      <c r="BW99" s="11">
        <f t="shared" si="55"/>
        <v>0</v>
      </c>
      <c r="BX99" s="11">
        <f t="shared" si="55"/>
        <v>0</v>
      </c>
      <c r="BY99" s="11">
        <f t="shared" si="55"/>
        <v>0</v>
      </c>
      <c r="BZ99" s="11">
        <f t="shared" si="55"/>
        <v>0</v>
      </c>
      <c r="CA99" s="11">
        <f t="shared" si="55"/>
        <v>0</v>
      </c>
      <c r="CB99" s="11">
        <f t="shared" si="55"/>
        <v>0</v>
      </c>
      <c r="CC99" s="11">
        <f t="shared" si="55"/>
        <v>0</v>
      </c>
      <c r="CD99" s="11">
        <f t="shared" si="55"/>
        <v>0</v>
      </c>
      <c r="CE99" s="11">
        <f t="shared" si="55"/>
        <v>0</v>
      </c>
      <c r="CF99" s="11">
        <f t="shared" si="55"/>
        <v>0</v>
      </c>
      <c r="CG99" s="11">
        <f t="shared" si="55"/>
        <v>0</v>
      </c>
      <c r="CH99" s="11">
        <f t="shared" si="55"/>
        <v>0</v>
      </c>
      <c r="CI99" s="11">
        <f t="shared" si="55"/>
        <v>0</v>
      </c>
      <c r="CJ99" s="11">
        <f t="shared" si="55"/>
        <v>0</v>
      </c>
      <c r="CK99" s="11">
        <f t="shared" si="55"/>
        <v>0</v>
      </c>
      <c r="CL99" s="11">
        <f t="shared" si="55"/>
        <v>0</v>
      </c>
      <c r="CM99" s="11">
        <f t="shared" si="55"/>
        <v>0</v>
      </c>
      <c r="CN99" s="11">
        <f t="shared" si="55"/>
        <v>0</v>
      </c>
      <c r="CO99" s="11">
        <f t="shared" si="55"/>
        <v>0</v>
      </c>
      <c r="CP99" s="11">
        <f t="shared" si="55"/>
        <v>0</v>
      </c>
      <c r="CQ99" s="11">
        <f t="shared" si="55"/>
        <v>0</v>
      </c>
      <c r="CR99" s="11">
        <f t="shared" si="55"/>
        <v>0</v>
      </c>
      <c r="CS99" s="11">
        <f t="shared" si="55"/>
        <v>0</v>
      </c>
      <c r="CT99" s="11">
        <f t="shared" si="55"/>
        <v>0</v>
      </c>
      <c r="CU99" s="11">
        <f t="shared" si="55"/>
        <v>0</v>
      </c>
      <c r="CV99" s="11">
        <f t="shared" si="55"/>
        <v>0</v>
      </c>
      <c r="CW99" s="11">
        <f t="shared" si="55"/>
        <v>0</v>
      </c>
      <c r="CX99" s="11">
        <f t="shared" si="55"/>
        <v>0</v>
      </c>
      <c r="CY99" s="11">
        <f t="shared" si="55"/>
        <v>0</v>
      </c>
      <c r="CZ99" s="11">
        <f t="shared" si="55"/>
        <v>0</v>
      </c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</row>
    <row r="100" spans="1:122" ht="18" customHeight="1">
      <c r="A100" s="13" t="s">
        <v>134</v>
      </c>
      <c r="B100" s="14">
        <f>IFERROR(VLOOKUP(A100,PRICELIST!$A$3:$D$138,4,0),"-")</f>
        <v>52.46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9">
        <f t="shared" ref="CY100:CZ109" si="56">C100+E100+G100+I100+K100+M100+O100+Q100+S100+U100+W100+Y100+AA100+AC100+AE100+AG100+AI100+AK100+AM100+AO100+AQ100+AS100+AU100+AW100+AY100+BA100+BC100+BE100+BG100+BI100+BK100+BM100+BO100+BQ100+BS100+BU100+BW100+BY100+CA100+CC100+CE100+CG100+CI100+CK100+CM100+CO100+CQ100+CS100+CU100+CW100</f>
        <v>0</v>
      </c>
      <c r="CZ100" s="19">
        <f t="shared" si="56"/>
        <v>0</v>
      </c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</row>
    <row r="101" spans="1:122" ht="18" customHeight="1">
      <c r="A101" s="13" t="s">
        <v>135</v>
      </c>
      <c r="B101" s="14">
        <f>IFERROR(VLOOKUP(A101,PRICELIST!$A$3:$D$138,4,0),"-")</f>
        <v>89.62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9">
        <f t="shared" si="56"/>
        <v>0</v>
      </c>
      <c r="CZ101" s="19">
        <f t="shared" si="56"/>
        <v>0</v>
      </c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</row>
    <row r="102" spans="1:122" ht="18" customHeight="1">
      <c r="A102" s="13" t="s">
        <v>136</v>
      </c>
      <c r="B102" s="14">
        <f>IFERROR(VLOOKUP(A102,PRICELIST!$A$3:$D$138,4,0),"-")</f>
        <v>83.41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9">
        <f t="shared" si="56"/>
        <v>0</v>
      </c>
      <c r="CZ102" s="19">
        <f t="shared" si="56"/>
        <v>0</v>
      </c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</row>
    <row r="103" spans="1:122" ht="18" customHeight="1">
      <c r="A103" s="13" t="s">
        <v>137</v>
      </c>
      <c r="B103" s="14">
        <f>IFERROR(VLOOKUP(A103,PRICELIST!$A$3:$D$138,4,0),"-")</f>
        <v>109.58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9">
        <f t="shared" si="56"/>
        <v>0</v>
      </c>
      <c r="CZ103" s="19">
        <f t="shared" si="56"/>
        <v>0</v>
      </c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</row>
    <row r="104" spans="1:122" ht="18" customHeight="1">
      <c r="A104" s="13" t="s">
        <v>140</v>
      </c>
      <c r="B104" s="14">
        <f>IFERROR(VLOOKUP(A104,PRICELIST!$A$3:$D$138,4,0),"-")</f>
        <v>28.8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9">
        <f>C104+E104+G104+I104+K104+M104+O104+Q104+S104+U104+W104+Y104+AA104+AC104+AE104+AG104+AI104+AK104+AM104+AO104+AQ104+AS104+AU104+AW104+AY104+BA104+BC104+BE104+BG104+BI104+BK104+BM104+BO104+BQ104+BS104+BU104+BW104+BY104+CA104+CC104+CE104+CG104+CI104+CK104+CM104+CO104+CQ104+CS104+CU104+CW104</f>
        <v>0</v>
      </c>
      <c r="CZ104" s="19">
        <f>D104+F104+H104+J104+L104+N104+P104+R104+T104+V104+X104+Z104+AB104+AD104+AF104+AH104+AJ104+AL104+AN104+AP104+AR104+AT104+AV104+AX104+AZ104+BB104+BD104+BF104+BH104+BJ104+BL104+BN104+BP104+BR104+BT104+BV104+BX104+BZ104+CB104+CD104+CF104+CH104+CJ104+CL104+CN104+CP104+CR104+CT104+CV104+CX104</f>
        <v>0</v>
      </c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</row>
    <row r="105" spans="1:122" ht="18" customHeight="1">
      <c r="A105" s="13" t="s">
        <v>141</v>
      </c>
      <c r="B105" s="14">
        <f>IFERROR(VLOOKUP(A105,PRICELIST!$A$3:$D$138,4,0),"-")</f>
        <v>60.43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9">
        <f>C105+E105+G105+I105+K105+M105+O105+Q105+S105+U105+W105+Y105+AA105+AC105+AE105+AG105+AI105+AK105+AM105+AO105+AQ105+AS105+AU105+AW105+AY105+BA105+BC105+BE105+BG105+BI105+BK105+BM105+BO105+BQ105+BS105+BU105+BW105+BY105+CA105+CC105+CE105+CG105+CI105+CK105+CM105+CO105+CQ105+CS105+CU105+CW105</f>
        <v>0</v>
      </c>
      <c r="CZ105" s="19">
        <f>D105+F105+H105+J105+L105+N105+P105+R105+T105+V105+X105+Z105+AB105+AD105+AF105+AH105+AJ105+AL105+AN105+AP105+AR105+AT105+AV105+AX105+AZ105+BB105+BD105+BF105+BH105+BJ105+BL105+BN105+BP105+BR105+BT105+BV105+BX105+BZ105+CB105+CD105+CF105+CH105+CJ105+CL105+CN105+CP105+CR105+CT105+CV105+CX105</f>
        <v>0</v>
      </c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</row>
    <row r="106" spans="1:122" ht="18" customHeight="1">
      <c r="A106" s="13" t="s">
        <v>138</v>
      </c>
      <c r="B106" s="14">
        <f>IFERROR(VLOOKUP(A106,PRICELIST!$A$3:$D$138,4,0),"-")</f>
        <v>96.43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9">
        <f t="shared" si="56"/>
        <v>0</v>
      </c>
      <c r="CZ106" s="19">
        <f t="shared" si="56"/>
        <v>0</v>
      </c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</row>
    <row r="107" spans="1:122" ht="18" customHeight="1">
      <c r="A107" s="13" t="s">
        <v>139</v>
      </c>
      <c r="B107" s="14">
        <f>IFERROR(VLOOKUP(A107,PRICELIST!$A$3:$D$138,4,0),"-")</f>
        <v>123.43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9">
        <f t="shared" si="56"/>
        <v>0</v>
      </c>
      <c r="CZ107" s="19">
        <f t="shared" si="56"/>
        <v>0</v>
      </c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</row>
    <row r="108" spans="1:122" ht="18" customHeight="1">
      <c r="A108" s="13" t="s">
        <v>142</v>
      </c>
      <c r="B108" s="14">
        <f>IFERROR(VLOOKUP(A108,PRICELIST!$A$3:$D$138,4,0),"-")</f>
        <v>121.5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9">
        <f t="shared" si="56"/>
        <v>0</v>
      </c>
      <c r="CZ108" s="19">
        <f t="shared" si="56"/>
        <v>0</v>
      </c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</row>
    <row r="109" spans="1:122" ht="18" customHeight="1">
      <c r="A109" s="13" t="s">
        <v>143</v>
      </c>
      <c r="B109" s="14">
        <f>IFERROR(VLOOKUP(A109,PRICELIST!$A$3:$D$138,4,0),"-")</f>
        <v>109.23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9">
        <f t="shared" si="56"/>
        <v>0</v>
      </c>
      <c r="CZ109" s="19">
        <f t="shared" si="56"/>
        <v>0</v>
      </c>
    </row>
    <row r="110" spans="1:122" ht="18" customHeight="1">
      <c r="A110" s="9" t="s">
        <v>144</v>
      </c>
      <c r="B110" s="10"/>
      <c r="C110" s="11">
        <f t="shared" ref="C110:AH110" si="57">SUMPRODUCT($B100:$B109,C100:C109)</f>
        <v>0</v>
      </c>
      <c r="D110" s="11">
        <f t="shared" si="57"/>
        <v>0</v>
      </c>
      <c r="E110" s="11">
        <f t="shared" si="57"/>
        <v>0</v>
      </c>
      <c r="F110" s="11">
        <f t="shared" si="57"/>
        <v>0</v>
      </c>
      <c r="G110" s="11">
        <f t="shared" si="57"/>
        <v>0</v>
      </c>
      <c r="H110" s="11">
        <f t="shared" si="57"/>
        <v>0</v>
      </c>
      <c r="I110" s="11">
        <f t="shared" si="57"/>
        <v>0</v>
      </c>
      <c r="J110" s="11">
        <f t="shared" si="57"/>
        <v>0</v>
      </c>
      <c r="K110" s="11">
        <f t="shared" si="57"/>
        <v>0</v>
      </c>
      <c r="L110" s="11">
        <f t="shared" si="57"/>
        <v>0</v>
      </c>
      <c r="M110" s="11">
        <f t="shared" si="57"/>
        <v>0</v>
      </c>
      <c r="N110" s="11">
        <f t="shared" si="57"/>
        <v>0</v>
      </c>
      <c r="O110" s="11">
        <f t="shared" si="57"/>
        <v>0</v>
      </c>
      <c r="P110" s="11">
        <f t="shared" si="57"/>
        <v>0</v>
      </c>
      <c r="Q110" s="11">
        <f t="shared" si="57"/>
        <v>0</v>
      </c>
      <c r="R110" s="11">
        <f t="shared" si="57"/>
        <v>0</v>
      </c>
      <c r="S110" s="11">
        <f t="shared" si="57"/>
        <v>0</v>
      </c>
      <c r="T110" s="11">
        <f t="shared" si="57"/>
        <v>0</v>
      </c>
      <c r="U110" s="11">
        <f t="shared" si="57"/>
        <v>0</v>
      </c>
      <c r="V110" s="11">
        <f t="shared" si="57"/>
        <v>0</v>
      </c>
      <c r="W110" s="11">
        <f t="shared" si="57"/>
        <v>0</v>
      </c>
      <c r="X110" s="11">
        <f t="shared" si="57"/>
        <v>0</v>
      </c>
      <c r="Y110" s="11">
        <f t="shared" si="57"/>
        <v>0</v>
      </c>
      <c r="Z110" s="11">
        <f t="shared" si="57"/>
        <v>0</v>
      </c>
      <c r="AA110" s="11">
        <f t="shared" si="57"/>
        <v>0</v>
      </c>
      <c r="AB110" s="11">
        <f t="shared" si="57"/>
        <v>0</v>
      </c>
      <c r="AC110" s="11">
        <f t="shared" si="57"/>
        <v>0</v>
      </c>
      <c r="AD110" s="11">
        <f t="shared" si="57"/>
        <v>0</v>
      </c>
      <c r="AE110" s="11">
        <f t="shared" si="57"/>
        <v>0</v>
      </c>
      <c r="AF110" s="11">
        <f t="shared" si="57"/>
        <v>0</v>
      </c>
      <c r="AG110" s="11">
        <f t="shared" si="57"/>
        <v>0</v>
      </c>
      <c r="AH110" s="11">
        <f t="shared" si="57"/>
        <v>0</v>
      </c>
      <c r="AI110" s="11">
        <f t="shared" ref="AI110:BN110" si="58">SUMPRODUCT($B100:$B109,AI100:AI109)</f>
        <v>0</v>
      </c>
      <c r="AJ110" s="11">
        <f t="shared" si="58"/>
        <v>0</v>
      </c>
      <c r="AK110" s="11">
        <f t="shared" si="58"/>
        <v>0</v>
      </c>
      <c r="AL110" s="11">
        <f t="shared" si="58"/>
        <v>0</v>
      </c>
      <c r="AM110" s="11">
        <f t="shared" si="58"/>
        <v>0</v>
      </c>
      <c r="AN110" s="11">
        <f t="shared" si="58"/>
        <v>0</v>
      </c>
      <c r="AO110" s="11">
        <f t="shared" si="58"/>
        <v>0</v>
      </c>
      <c r="AP110" s="11">
        <f t="shared" si="58"/>
        <v>0</v>
      </c>
      <c r="AQ110" s="11">
        <f t="shared" si="58"/>
        <v>0</v>
      </c>
      <c r="AR110" s="11">
        <f t="shared" si="58"/>
        <v>0</v>
      </c>
      <c r="AS110" s="11">
        <f t="shared" si="58"/>
        <v>0</v>
      </c>
      <c r="AT110" s="11">
        <f t="shared" si="58"/>
        <v>0</v>
      </c>
      <c r="AU110" s="11">
        <f t="shared" si="58"/>
        <v>0</v>
      </c>
      <c r="AV110" s="11">
        <f t="shared" si="58"/>
        <v>0</v>
      </c>
      <c r="AW110" s="11">
        <f t="shared" si="58"/>
        <v>0</v>
      </c>
      <c r="AX110" s="11">
        <f t="shared" si="58"/>
        <v>0</v>
      </c>
      <c r="AY110" s="11">
        <f t="shared" si="58"/>
        <v>0</v>
      </c>
      <c r="AZ110" s="11">
        <f t="shared" si="58"/>
        <v>0</v>
      </c>
      <c r="BA110" s="11">
        <f t="shared" si="58"/>
        <v>0</v>
      </c>
      <c r="BB110" s="11">
        <f t="shared" si="58"/>
        <v>0</v>
      </c>
      <c r="BC110" s="11">
        <f t="shared" si="58"/>
        <v>0</v>
      </c>
      <c r="BD110" s="11">
        <f t="shared" si="58"/>
        <v>0</v>
      </c>
      <c r="BE110" s="11">
        <f t="shared" si="58"/>
        <v>0</v>
      </c>
      <c r="BF110" s="11">
        <f t="shared" si="58"/>
        <v>0</v>
      </c>
      <c r="BG110" s="11">
        <f t="shared" si="58"/>
        <v>0</v>
      </c>
      <c r="BH110" s="11">
        <f t="shared" si="58"/>
        <v>0</v>
      </c>
      <c r="BI110" s="11">
        <f t="shared" si="58"/>
        <v>0</v>
      </c>
      <c r="BJ110" s="11">
        <f t="shared" si="58"/>
        <v>0</v>
      </c>
      <c r="BK110" s="11">
        <f t="shared" si="58"/>
        <v>0</v>
      </c>
      <c r="BL110" s="11">
        <f t="shared" si="58"/>
        <v>0</v>
      </c>
      <c r="BM110" s="11">
        <f t="shared" si="58"/>
        <v>0</v>
      </c>
      <c r="BN110" s="11">
        <f t="shared" si="58"/>
        <v>0</v>
      </c>
      <c r="BO110" s="11">
        <f t="shared" ref="BO110:CT110" si="59">SUMPRODUCT($B100:$B109,BO100:BO109)</f>
        <v>0</v>
      </c>
      <c r="BP110" s="11">
        <f t="shared" si="59"/>
        <v>0</v>
      </c>
      <c r="BQ110" s="11">
        <f t="shared" si="59"/>
        <v>0</v>
      </c>
      <c r="BR110" s="11">
        <f t="shared" si="59"/>
        <v>0</v>
      </c>
      <c r="BS110" s="11">
        <f t="shared" si="59"/>
        <v>0</v>
      </c>
      <c r="BT110" s="11">
        <f t="shared" si="59"/>
        <v>0</v>
      </c>
      <c r="BU110" s="11">
        <f t="shared" si="59"/>
        <v>0</v>
      </c>
      <c r="BV110" s="11">
        <f t="shared" si="59"/>
        <v>0</v>
      </c>
      <c r="BW110" s="11">
        <f t="shared" si="59"/>
        <v>0</v>
      </c>
      <c r="BX110" s="11">
        <f t="shared" si="59"/>
        <v>0</v>
      </c>
      <c r="BY110" s="11">
        <f t="shared" si="59"/>
        <v>0</v>
      </c>
      <c r="BZ110" s="11">
        <f t="shared" si="59"/>
        <v>0</v>
      </c>
      <c r="CA110" s="11">
        <f t="shared" si="59"/>
        <v>0</v>
      </c>
      <c r="CB110" s="11">
        <f t="shared" si="59"/>
        <v>0</v>
      </c>
      <c r="CC110" s="11">
        <f t="shared" si="59"/>
        <v>0</v>
      </c>
      <c r="CD110" s="11">
        <f t="shared" si="59"/>
        <v>0</v>
      </c>
      <c r="CE110" s="11">
        <f t="shared" si="59"/>
        <v>0</v>
      </c>
      <c r="CF110" s="11">
        <f t="shared" si="59"/>
        <v>0</v>
      </c>
      <c r="CG110" s="11">
        <f t="shared" si="59"/>
        <v>0</v>
      </c>
      <c r="CH110" s="11">
        <f t="shared" si="59"/>
        <v>0</v>
      </c>
      <c r="CI110" s="11">
        <f t="shared" si="59"/>
        <v>0</v>
      </c>
      <c r="CJ110" s="11">
        <f t="shared" si="59"/>
        <v>0</v>
      </c>
      <c r="CK110" s="11">
        <f t="shared" si="59"/>
        <v>0</v>
      </c>
      <c r="CL110" s="11">
        <f t="shared" si="59"/>
        <v>0</v>
      </c>
      <c r="CM110" s="11">
        <f t="shared" si="59"/>
        <v>0</v>
      </c>
      <c r="CN110" s="11">
        <f t="shared" si="59"/>
        <v>0</v>
      </c>
      <c r="CO110" s="11">
        <f t="shared" si="59"/>
        <v>0</v>
      </c>
      <c r="CP110" s="11">
        <f t="shared" si="59"/>
        <v>0</v>
      </c>
      <c r="CQ110" s="11">
        <f t="shared" si="59"/>
        <v>0</v>
      </c>
      <c r="CR110" s="11">
        <f t="shared" si="59"/>
        <v>0</v>
      </c>
      <c r="CS110" s="11">
        <f t="shared" si="59"/>
        <v>0</v>
      </c>
      <c r="CT110" s="11">
        <f t="shared" si="59"/>
        <v>0</v>
      </c>
      <c r="CU110" s="11">
        <f t="shared" ref="CU110:CZ110" si="60">SUMPRODUCT($B100:$B109,CU100:CU109)</f>
        <v>0</v>
      </c>
      <c r="CV110" s="11">
        <f t="shared" si="60"/>
        <v>0</v>
      </c>
      <c r="CW110" s="11">
        <f t="shared" si="60"/>
        <v>0</v>
      </c>
      <c r="CX110" s="11">
        <f t="shared" si="60"/>
        <v>0</v>
      </c>
      <c r="CY110" s="11">
        <f t="shared" si="60"/>
        <v>0</v>
      </c>
      <c r="CZ110" s="11">
        <f t="shared" si="60"/>
        <v>0</v>
      </c>
    </row>
    <row r="111" spans="1:122">
      <c r="A111" s="13" t="s">
        <v>146</v>
      </c>
      <c r="B111" s="14">
        <f>IFERROR(VLOOKUP(A111,PRICELIST!$A$3:$D$138,4,0),"-")</f>
        <v>31.29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9">
        <f t="shared" ref="CY111:CZ114" si="61">C111+E111+G111+I111+K111+M111+O111+Q111+S111+U111+W111+Y111+AA111+AC111+AE111+AG111+AI111+AK111+AM111+AO111+AQ111+AS111+AU111+AW111+AY111+BA111+BC111+BE111+BG111+BI111+BK111+BM111+BO111+BQ111+BS111+BU111+BW111+BY111+CA111+CC111+CE111+CG111+CI111+CK111+CM111+CO111+CQ111+CS111+CU111+CW111</f>
        <v>0</v>
      </c>
      <c r="CZ111" s="19">
        <f t="shared" si="61"/>
        <v>0</v>
      </c>
    </row>
    <row r="112" spans="1:122">
      <c r="A112" s="13" t="s">
        <v>147</v>
      </c>
      <c r="B112" s="14">
        <f>IFERROR(VLOOKUP(A112,PRICELIST!$A$3:$D$138,4,0),"-")</f>
        <v>68.36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9">
        <f t="shared" si="61"/>
        <v>0</v>
      </c>
      <c r="CZ112" s="19">
        <f t="shared" si="61"/>
        <v>0</v>
      </c>
    </row>
    <row r="113" spans="1:104">
      <c r="A113" s="13" t="s">
        <v>148</v>
      </c>
      <c r="B113" s="14">
        <f>IFERROR(VLOOKUP(A113,PRICELIST!$A$3:$D$138,4,0),"-")</f>
        <v>210.72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9">
        <f t="shared" si="61"/>
        <v>0</v>
      </c>
      <c r="CZ113" s="19">
        <f t="shared" si="61"/>
        <v>0</v>
      </c>
    </row>
    <row r="114" spans="1:104">
      <c r="A114" s="13" t="s">
        <v>149</v>
      </c>
      <c r="B114" s="14">
        <f>IFERROR(VLOOKUP(A114,PRICELIST!$A$3:$D$138,4,0),"-")</f>
        <v>180.9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9">
        <f t="shared" si="61"/>
        <v>0</v>
      </c>
      <c r="CZ114" s="19">
        <f t="shared" si="61"/>
        <v>0</v>
      </c>
    </row>
    <row r="115" spans="1:104">
      <c r="A115" s="9" t="s">
        <v>145</v>
      </c>
      <c r="B115" s="10"/>
      <c r="C115" s="11">
        <f>SUMPRODUCT($B111:$B114,C111:C114)</f>
        <v>0</v>
      </c>
      <c r="D115" s="11">
        <f t="shared" ref="D115:BO115" si="62">SUMPRODUCT($B111:$B114,D111:D114)</f>
        <v>0</v>
      </c>
      <c r="E115" s="11">
        <f t="shared" si="62"/>
        <v>0</v>
      </c>
      <c r="F115" s="11">
        <f t="shared" si="62"/>
        <v>0</v>
      </c>
      <c r="G115" s="11">
        <f t="shared" si="62"/>
        <v>0</v>
      </c>
      <c r="H115" s="11">
        <f t="shared" si="62"/>
        <v>0</v>
      </c>
      <c r="I115" s="11">
        <f t="shared" si="62"/>
        <v>0</v>
      </c>
      <c r="J115" s="11">
        <f t="shared" si="62"/>
        <v>0</v>
      </c>
      <c r="K115" s="11">
        <f t="shared" si="62"/>
        <v>0</v>
      </c>
      <c r="L115" s="11">
        <f t="shared" si="62"/>
        <v>0</v>
      </c>
      <c r="M115" s="11">
        <f t="shared" si="62"/>
        <v>0</v>
      </c>
      <c r="N115" s="11">
        <f t="shared" si="62"/>
        <v>0</v>
      </c>
      <c r="O115" s="11">
        <f t="shared" si="62"/>
        <v>0</v>
      </c>
      <c r="P115" s="11">
        <f t="shared" si="62"/>
        <v>0</v>
      </c>
      <c r="Q115" s="11">
        <f t="shared" si="62"/>
        <v>0</v>
      </c>
      <c r="R115" s="11">
        <f t="shared" si="62"/>
        <v>0</v>
      </c>
      <c r="S115" s="11">
        <f t="shared" si="62"/>
        <v>0</v>
      </c>
      <c r="T115" s="11">
        <f t="shared" si="62"/>
        <v>0</v>
      </c>
      <c r="U115" s="11">
        <f t="shared" si="62"/>
        <v>0</v>
      </c>
      <c r="V115" s="11">
        <f t="shared" si="62"/>
        <v>0</v>
      </c>
      <c r="W115" s="11">
        <f t="shared" si="62"/>
        <v>0</v>
      </c>
      <c r="X115" s="11">
        <f t="shared" si="62"/>
        <v>0</v>
      </c>
      <c r="Y115" s="11">
        <f t="shared" si="62"/>
        <v>0</v>
      </c>
      <c r="Z115" s="11">
        <f t="shared" si="62"/>
        <v>0</v>
      </c>
      <c r="AA115" s="11">
        <f t="shared" si="62"/>
        <v>0</v>
      </c>
      <c r="AB115" s="11">
        <f t="shared" si="62"/>
        <v>0</v>
      </c>
      <c r="AC115" s="11">
        <f t="shared" si="62"/>
        <v>0</v>
      </c>
      <c r="AD115" s="11">
        <f t="shared" si="62"/>
        <v>0</v>
      </c>
      <c r="AE115" s="11">
        <f t="shared" si="62"/>
        <v>0</v>
      </c>
      <c r="AF115" s="11">
        <f t="shared" si="62"/>
        <v>0</v>
      </c>
      <c r="AG115" s="11">
        <f t="shared" si="62"/>
        <v>0</v>
      </c>
      <c r="AH115" s="11">
        <f t="shared" si="62"/>
        <v>0</v>
      </c>
      <c r="AI115" s="11">
        <f t="shared" si="62"/>
        <v>0</v>
      </c>
      <c r="AJ115" s="11">
        <f t="shared" si="62"/>
        <v>0</v>
      </c>
      <c r="AK115" s="11">
        <f t="shared" si="62"/>
        <v>0</v>
      </c>
      <c r="AL115" s="11">
        <f t="shared" si="62"/>
        <v>0</v>
      </c>
      <c r="AM115" s="11">
        <f t="shared" si="62"/>
        <v>0</v>
      </c>
      <c r="AN115" s="11">
        <f t="shared" si="62"/>
        <v>0</v>
      </c>
      <c r="AO115" s="11">
        <f t="shared" si="62"/>
        <v>0</v>
      </c>
      <c r="AP115" s="11">
        <f t="shared" si="62"/>
        <v>0</v>
      </c>
      <c r="AQ115" s="11">
        <f t="shared" si="62"/>
        <v>0</v>
      </c>
      <c r="AR115" s="11">
        <f t="shared" si="62"/>
        <v>0</v>
      </c>
      <c r="AS115" s="11">
        <f t="shared" si="62"/>
        <v>0</v>
      </c>
      <c r="AT115" s="11">
        <f t="shared" si="62"/>
        <v>0</v>
      </c>
      <c r="AU115" s="11">
        <f t="shared" si="62"/>
        <v>0</v>
      </c>
      <c r="AV115" s="11">
        <f t="shared" si="62"/>
        <v>0</v>
      </c>
      <c r="AW115" s="11">
        <f t="shared" si="62"/>
        <v>0</v>
      </c>
      <c r="AX115" s="11">
        <f t="shared" si="62"/>
        <v>0</v>
      </c>
      <c r="AY115" s="11">
        <f t="shared" si="62"/>
        <v>0</v>
      </c>
      <c r="AZ115" s="11">
        <f t="shared" si="62"/>
        <v>0</v>
      </c>
      <c r="BA115" s="11">
        <f t="shared" si="62"/>
        <v>0</v>
      </c>
      <c r="BB115" s="11">
        <f t="shared" si="62"/>
        <v>0</v>
      </c>
      <c r="BC115" s="11">
        <f t="shared" si="62"/>
        <v>0</v>
      </c>
      <c r="BD115" s="11">
        <f t="shared" si="62"/>
        <v>0</v>
      </c>
      <c r="BE115" s="11">
        <f t="shared" si="62"/>
        <v>0</v>
      </c>
      <c r="BF115" s="11">
        <f t="shared" si="62"/>
        <v>0</v>
      </c>
      <c r="BG115" s="11">
        <f t="shared" si="62"/>
        <v>0</v>
      </c>
      <c r="BH115" s="11">
        <f t="shared" si="62"/>
        <v>0</v>
      </c>
      <c r="BI115" s="11">
        <f t="shared" si="62"/>
        <v>0</v>
      </c>
      <c r="BJ115" s="11">
        <f t="shared" si="62"/>
        <v>0</v>
      </c>
      <c r="BK115" s="11">
        <f t="shared" si="62"/>
        <v>0</v>
      </c>
      <c r="BL115" s="11">
        <f t="shared" si="62"/>
        <v>0</v>
      </c>
      <c r="BM115" s="11">
        <f t="shared" si="62"/>
        <v>0</v>
      </c>
      <c r="BN115" s="11">
        <f t="shared" si="62"/>
        <v>0</v>
      </c>
      <c r="BO115" s="11">
        <f t="shared" si="62"/>
        <v>0</v>
      </c>
      <c r="BP115" s="11">
        <f t="shared" ref="BP115:CZ115" si="63">SUMPRODUCT($B111:$B114,BP111:BP114)</f>
        <v>0</v>
      </c>
      <c r="BQ115" s="11">
        <f t="shared" si="63"/>
        <v>0</v>
      </c>
      <c r="BR115" s="11">
        <f t="shared" si="63"/>
        <v>0</v>
      </c>
      <c r="BS115" s="11">
        <f t="shared" si="63"/>
        <v>0</v>
      </c>
      <c r="BT115" s="11">
        <f t="shared" si="63"/>
        <v>0</v>
      </c>
      <c r="BU115" s="11">
        <f t="shared" si="63"/>
        <v>0</v>
      </c>
      <c r="BV115" s="11">
        <f t="shared" si="63"/>
        <v>0</v>
      </c>
      <c r="BW115" s="11">
        <f t="shared" si="63"/>
        <v>0</v>
      </c>
      <c r="BX115" s="11">
        <f t="shared" si="63"/>
        <v>0</v>
      </c>
      <c r="BY115" s="11">
        <f t="shared" si="63"/>
        <v>0</v>
      </c>
      <c r="BZ115" s="11">
        <f t="shared" si="63"/>
        <v>0</v>
      </c>
      <c r="CA115" s="11">
        <f t="shared" si="63"/>
        <v>0</v>
      </c>
      <c r="CB115" s="11">
        <f t="shared" si="63"/>
        <v>0</v>
      </c>
      <c r="CC115" s="11">
        <f t="shared" si="63"/>
        <v>0</v>
      </c>
      <c r="CD115" s="11">
        <f t="shared" si="63"/>
        <v>0</v>
      </c>
      <c r="CE115" s="11">
        <f t="shared" si="63"/>
        <v>0</v>
      </c>
      <c r="CF115" s="11">
        <f t="shared" si="63"/>
        <v>0</v>
      </c>
      <c r="CG115" s="11">
        <f t="shared" si="63"/>
        <v>0</v>
      </c>
      <c r="CH115" s="11">
        <f t="shared" si="63"/>
        <v>0</v>
      </c>
      <c r="CI115" s="11">
        <f t="shared" si="63"/>
        <v>0</v>
      </c>
      <c r="CJ115" s="11">
        <f t="shared" si="63"/>
        <v>0</v>
      </c>
      <c r="CK115" s="11">
        <f t="shared" si="63"/>
        <v>0</v>
      </c>
      <c r="CL115" s="11">
        <f t="shared" si="63"/>
        <v>0</v>
      </c>
      <c r="CM115" s="11">
        <f t="shared" si="63"/>
        <v>0</v>
      </c>
      <c r="CN115" s="11">
        <f t="shared" si="63"/>
        <v>0</v>
      </c>
      <c r="CO115" s="11">
        <f t="shared" si="63"/>
        <v>0</v>
      </c>
      <c r="CP115" s="11">
        <f t="shared" si="63"/>
        <v>0</v>
      </c>
      <c r="CQ115" s="11">
        <f t="shared" si="63"/>
        <v>0</v>
      </c>
      <c r="CR115" s="11">
        <f t="shared" si="63"/>
        <v>0</v>
      </c>
      <c r="CS115" s="11">
        <f t="shared" si="63"/>
        <v>0</v>
      </c>
      <c r="CT115" s="11">
        <f t="shared" si="63"/>
        <v>0</v>
      </c>
      <c r="CU115" s="11">
        <f t="shared" si="63"/>
        <v>0</v>
      </c>
      <c r="CV115" s="11">
        <f t="shared" si="63"/>
        <v>0</v>
      </c>
      <c r="CW115" s="11">
        <f t="shared" si="63"/>
        <v>0</v>
      </c>
      <c r="CX115" s="11">
        <f t="shared" si="63"/>
        <v>0</v>
      </c>
      <c r="CY115" s="11">
        <f t="shared" si="63"/>
        <v>0</v>
      </c>
      <c r="CZ115" s="11">
        <f t="shared" si="63"/>
        <v>0</v>
      </c>
    </row>
    <row r="116" spans="1:104">
      <c r="A116" s="4"/>
      <c r="B116" s="14" t="str">
        <f>IFERROR(VLOOKUP(A116,PRICELIST!$A$3:$D$138,4,0),"-")</f>
        <v>-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9">
        <f t="shared" ref="CY116:CZ118" si="64">C116+E116+G116+I116+K116+M116+O116+Q116+S116+U116+W116+Y116+AA116+AC116+AE116+AG116+AI116+AK116+AM116+AO116+AQ116+AS116+AU116+AW116+AY116+BA116+BC116+BE116+BG116+BI116+BK116+BM116+BO116+BQ116+BS116+BU116+BW116+BY116+CA116+CC116+CE116+CG116+CI116+CK116+CM116+CO116+CQ116+CS116+CU116+CW116</f>
        <v>0</v>
      </c>
      <c r="CZ116" s="19">
        <f t="shared" si="64"/>
        <v>0</v>
      </c>
    </row>
    <row r="117" spans="1:104">
      <c r="A117" s="4"/>
      <c r="B117" s="14" t="str">
        <f>IFERROR(VLOOKUP(A117,PRICELIST!$A$3:$D$138,4,0),"-")</f>
        <v>-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9">
        <f t="shared" si="64"/>
        <v>0</v>
      </c>
      <c r="CZ117" s="19">
        <f t="shared" si="64"/>
        <v>0</v>
      </c>
    </row>
    <row r="118" spans="1:104">
      <c r="A118" s="4"/>
      <c r="B118" s="14" t="str">
        <f>IFERROR(VLOOKUP(A118,PRICELIST!$A$3:$D$138,4,0),"-")</f>
        <v>-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9">
        <f t="shared" si="64"/>
        <v>0</v>
      </c>
      <c r="CZ118" s="19">
        <f t="shared" si="64"/>
        <v>0</v>
      </c>
    </row>
    <row r="119" spans="1:104">
      <c r="A119" s="9"/>
      <c r="B119" s="15"/>
      <c r="C119" s="5">
        <f>SUMPRODUCT($B116:$B118,C116:C118)</f>
        <v>0</v>
      </c>
      <c r="D119" s="5">
        <f t="shared" ref="D119:BO119" si="65">SUMPRODUCT($B116:$B118,D116:D118)</f>
        <v>0</v>
      </c>
      <c r="E119" s="5">
        <f t="shared" si="65"/>
        <v>0</v>
      </c>
      <c r="F119" s="5">
        <f t="shared" si="65"/>
        <v>0</v>
      </c>
      <c r="G119" s="5">
        <f t="shared" si="65"/>
        <v>0</v>
      </c>
      <c r="H119" s="5">
        <f t="shared" si="65"/>
        <v>0</v>
      </c>
      <c r="I119" s="5">
        <f t="shared" si="65"/>
        <v>0</v>
      </c>
      <c r="J119" s="5">
        <f t="shared" si="65"/>
        <v>0</v>
      </c>
      <c r="K119" s="5">
        <f t="shared" si="65"/>
        <v>0</v>
      </c>
      <c r="L119" s="5">
        <f t="shared" si="65"/>
        <v>0</v>
      </c>
      <c r="M119" s="5">
        <f t="shared" si="65"/>
        <v>0</v>
      </c>
      <c r="N119" s="5">
        <f t="shared" si="65"/>
        <v>0</v>
      </c>
      <c r="O119" s="5">
        <f t="shared" si="65"/>
        <v>0</v>
      </c>
      <c r="P119" s="5">
        <f t="shared" si="65"/>
        <v>0</v>
      </c>
      <c r="Q119" s="5">
        <f t="shared" si="65"/>
        <v>0</v>
      </c>
      <c r="R119" s="5">
        <f t="shared" si="65"/>
        <v>0</v>
      </c>
      <c r="S119" s="5">
        <f t="shared" si="65"/>
        <v>0</v>
      </c>
      <c r="T119" s="5">
        <f t="shared" si="65"/>
        <v>0</v>
      </c>
      <c r="U119" s="5">
        <f t="shared" si="65"/>
        <v>0</v>
      </c>
      <c r="V119" s="5">
        <f t="shared" si="65"/>
        <v>0</v>
      </c>
      <c r="W119" s="5">
        <f t="shared" si="65"/>
        <v>0</v>
      </c>
      <c r="X119" s="5">
        <f t="shared" si="65"/>
        <v>0</v>
      </c>
      <c r="Y119" s="5">
        <f t="shared" si="65"/>
        <v>0</v>
      </c>
      <c r="Z119" s="5">
        <f t="shared" si="65"/>
        <v>0</v>
      </c>
      <c r="AA119" s="5">
        <f t="shared" si="65"/>
        <v>0</v>
      </c>
      <c r="AB119" s="5">
        <f t="shared" si="65"/>
        <v>0</v>
      </c>
      <c r="AC119" s="5">
        <f t="shared" si="65"/>
        <v>0</v>
      </c>
      <c r="AD119" s="5">
        <f t="shared" si="65"/>
        <v>0</v>
      </c>
      <c r="AE119" s="5">
        <f t="shared" si="65"/>
        <v>0</v>
      </c>
      <c r="AF119" s="5">
        <f t="shared" si="65"/>
        <v>0</v>
      </c>
      <c r="AG119" s="5">
        <f t="shared" si="65"/>
        <v>0</v>
      </c>
      <c r="AH119" s="5">
        <f t="shared" si="65"/>
        <v>0</v>
      </c>
      <c r="AI119" s="5">
        <f t="shared" si="65"/>
        <v>0</v>
      </c>
      <c r="AJ119" s="5">
        <f t="shared" si="65"/>
        <v>0</v>
      </c>
      <c r="AK119" s="5">
        <f t="shared" si="65"/>
        <v>0</v>
      </c>
      <c r="AL119" s="5">
        <f t="shared" si="65"/>
        <v>0</v>
      </c>
      <c r="AM119" s="5">
        <f t="shared" si="65"/>
        <v>0</v>
      </c>
      <c r="AN119" s="5">
        <f t="shared" si="65"/>
        <v>0</v>
      </c>
      <c r="AO119" s="5">
        <f t="shared" si="65"/>
        <v>0</v>
      </c>
      <c r="AP119" s="5">
        <f t="shared" si="65"/>
        <v>0</v>
      </c>
      <c r="AQ119" s="5">
        <f t="shared" si="65"/>
        <v>0</v>
      </c>
      <c r="AR119" s="5">
        <f t="shared" si="65"/>
        <v>0</v>
      </c>
      <c r="AS119" s="5">
        <f t="shared" si="65"/>
        <v>0</v>
      </c>
      <c r="AT119" s="5">
        <f t="shared" si="65"/>
        <v>0</v>
      </c>
      <c r="AU119" s="5">
        <f t="shared" si="65"/>
        <v>0</v>
      </c>
      <c r="AV119" s="5">
        <f t="shared" si="65"/>
        <v>0</v>
      </c>
      <c r="AW119" s="5">
        <f t="shared" si="65"/>
        <v>0</v>
      </c>
      <c r="AX119" s="5">
        <f t="shared" si="65"/>
        <v>0</v>
      </c>
      <c r="AY119" s="5">
        <f t="shared" si="65"/>
        <v>0</v>
      </c>
      <c r="AZ119" s="5">
        <f t="shared" si="65"/>
        <v>0</v>
      </c>
      <c r="BA119" s="5">
        <f t="shared" si="65"/>
        <v>0</v>
      </c>
      <c r="BB119" s="5">
        <f t="shared" si="65"/>
        <v>0</v>
      </c>
      <c r="BC119" s="5">
        <f t="shared" si="65"/>
        <v>0</v>
      </c>
      <c r="BD119" s="5">
        <f t="shared" si="65"/>
        <v>0</v>
      </c>
      <c r="BE119" s="5">
        <f t="shared" si="65"/>
        <v>0</v>
      </c>
      <c r="BF119" s="5">
        <f t="shared" si="65"/>
        <v>0</v>
      </c>
      <c r="BG119" s="5">
        <f t="shared" si="65"/>
        <v>0</v>
      </c>
      <c r="BH119" s="5">
        <f t="shared" si="65"/>
        <v>0</v>
      </c>
      <c r="BI119" s="5">
        <f t="shared" si="65"/>
        <v>0</v>
      </c>
      <c r="BJ119" s="5">
        <f t="shared" si="65"/>
        <v>0</v>
      </c>
      <c r="BK119" s="5">
        <f t="shared" si="65"/>
        <v>0</v>
      </c>
      <c r="BL119" s="5">
        <f t="shared" si="65"/>
        <v>0</v>
      </c>
      <c r="BM119" s="5">
        <f t="shared" si="65"/>
        <v>0</v>
      </c>
      <c r="BN119" s="5">
        <f t="shared" si="65"/>
        <v>0</v>
      </c>
      <c r="BO119" s="5">
        <f t="shared" si="65"/>
        <v>0</v>
      </c>
      <c r="BP119" s="5">
        <f t="shared" ref="BP119:CZ119" si="66">SUMPRODUCT($B116:$B118,BP116:BP118)</f>
        <v>0</v>
      </c>
      <c r="BQ119" s="5">
        <f t="shared" si="66"/>
        <v>0</v>
      </c>
      <c r="BR119" s="5">
        <f t="shared" si="66"/>
        <v>0</v>
      </c>
      <c r="BS119" s="5">
        <f t="shared" si="66"/>
        <v>0</v>
      </c>
      <c r="BT119" s="5">
        <f t="shared" si="66"/>
        <v>0</v>
      </c>
      <c r="BU119" s="5">
        <f t="shared" si="66"/>
        <v>0</v>
      </c>
      <c r="BV119" s="5">
        <f t="shared" si="66"/>
        <v>0</v>
      </c>
      <c r="BW119" s="5">
        <f t="shared" si="66"/>
        <v>0</v>
      </c>
      <c r="BX119" s="5">
        <f t="shared" si="66"/>
        <v>0</v>
      </c>
      <c r="BY119" s="5">
        <f t="shared" si="66"/>
        <v>0</v>
      </c>
      <c r="BZ119" s="5">
        <f t="shared" si="66"/>
        <v>0</v>
      </c>
      <c r="CA119" s="5">
        <f t="shared" si="66"/>
        <v>0</v>
      </c>
      <c r="CB119" s="5">
        <f t="shared" si="66"/>
        <v>0</v>
      </c>
      <c r="CC119" s="5">
        <f t="shared" si="66"/>
        <v>0</v>
      </c>
      <c r="CD119" s="5">
        <f t="shared" si="66"/>
        <v>0</v>
      </c>
      <c r="CE119" s="5">
        <f t="shared" si="66"/>
        <v>0</v>
      </c>
      <c r="CF119" s="5">
        <f t="shared" si="66"/>
        <v>0</v>
      </c>
      <c r="CG119" s="5">
        <f t="shared" si="66"/>
        <v>0</v>
      </c>
      <c r="CH119" s="5">
        <f t="shared" si="66"/>
        <v>0</v>
      </c>
      <c r="CI119" s="5">
        <f t="shared" si="66"/>
        <v>0</v>
      </c>
      <c r="CJ119" s="5">
        <f t="shared" si="66"/>
        <v>0</v>
      </c>
      <c r="CK119" s="5">
        <f t="shared" si="66"/>
        <v>0</v>
      </c>
      <c r="CL119" s="5">
        <f t="shared" si="66"/>
        <v>0</v>
      </c>
      <c r="CM119" s="5">
        <f t="shared" si="66"/>
        <v>0</v>
      </c>
      <c r="CN119" s="5">
        <f t="shared" si="66"/>
        <v>0</v>
      </c>
      <c r="CO119" s="5">
        <f t="shared" si="66"/>
        <v>0</v>
      </c>
      <c r="CP119" s="5">
        <f t="shared" si="66"/>
        <v>0</v>
      </c>
      <c r="CQ119" s="5">
        <f t="shared" si="66"/>
        <v>0</v>
      </c>
      <c r="CR119" s="5">
        <f t="shared" si="66"/>
        <v>0</v>
      </c>
      <c r="CS119" s="5">
        <f t="shared" si="66"/>
        <v>0</v>
      </c>
      <c r="CT119" s="5">
        <f t="shared" si="66"/>
        <v>0</v>
      </c>
      <c r="CU119" s="5">
        <f t="shared" si="66"/>
        <v>0</v>
      </c>
      <c r="CV119" s="5">
        <f t="shared" si="66"/>
        <v>0</v>
      </c>
      <c r="CW119" s="5">
        <f t="shared" si="66"/>
        <v>0</v>
      </c>
      <c r="CX119" s="5">
        <f t="shared" si="66"/>
        <v>0</v>
      </c>
      <c r="CY119" s="5">
        <f t="shared" si="66"/>
        <v>0</v>
      </c>
      <c r="CZ119" s="5">
        <f t="shared" si="66"/>
        <v>0</v>
      </c>
    </row>
    <row r="120" spans="1:104" ht="15.5">
      <c r="A120" s="16" t="s">
        <v>71</v>
      </c>
      <c r="B120" s="17"/>
      <c r="C120" s="6">
        <f t="shared" ref="C120:AH120" si="67">SUM(C10,C20,C24,C27,C34,C37,C40,C47,C49,C53,C59,C71,C79,C81,C88,C92,C95,C99,C110,C115,C119)/100000</f>
        <v>0</v>
      </c>
      <c r="D120" s="6">
        <f t="shared" si="67"/>
        <v>0</v>
      </c>
      <c r="E120" s="6">
        <f t="shared" si="67"/>
        <v>0</v>
      </c>
      <c r="F120" s="6">
        <f t="shared" si="67"/>
        <v>0</v>
      </c>
      <c r="G120" s="6">
        <f t="shared" si="67"/>
        <v>0</v>
      </c>
      <c r="H120" s="6">
        <f t="shared" si="67"/>
        <v>0</v>
      </c>
      <c r="I120" s="6">
        <f t="shared" si="67"/>
        <v>0</v>
      </c>
      <c r="J120" s="6">
        <f t="shared" si="67"/>
        <v>0</v>
      </c>
      <c r="K120" s="6">
        <f t="shared" si="67"/>
        <v>0</v>
      </c>
      <c r="L120" s="6">
        <f t="shared" si="67"/>
        <v>0</v>
      </c>
      <c r="M120" s="6">
        <f t="shared" si="67"/>
        <v>0</v>
      </c>
      <c r="N120" s="6">
        <f t="shared" si="67"/>
        <v>0</v>
      </c>
      <c r="O120" s="6">
        <f t="shared" si="67"/>
        <v>0</v>
      </c>
      <c r="P120" s="6">
        <f t="shared" si="67"/>
        <v>0</v>
      </c>
      <c r="Q120" s="6">
        <f t="shared" si="67"/>
        <v>0</v>
      </c>
      <c r="R120" s="6">
        <f t="shared" si="67"/>
        <v>0</v>
      </c>
      <c r="S120" s="6">
        <f t="shared" si="67"/>
        <v>0</v>
      </c>
      <c r="T120" s="6">
        <f t="shared" si="67"/>
        <v>0</v>
      </c>
      <c r="U120" s="6">
        <f t="shared" si="67"/>
        <v>0</v>
      </c>
      <c r="V120" s="6">
        <f t="shared" si="67"/>
        <v>0</v>
      </c>
      <c r="W120" s="6">
        <f t="shared" si="67"/>
        <v>0</v>
      </c>
      <c r="X120" s="6">
        <f t="shared" si="67"/>
        <v>0</v>
      </c>
      <c r="Y120" s="6">
        <f t="shared" si="67"/>
        <v>0</v>
      </c>
      <c r="Z120" s="6">
        <f t="shared" si="67"/>
        <v>0</v>
      </c>
      <c r="AA120" s="6">
        <f t="shared" si="67"/>
        <v>0</v>
      </c>
      <c r="AB120" s="6">
        <f t="shared" si="67"/>
        <v>0</v>
      </c>
      <c r="AC120" s="6">
        <f t="shared" si="67"/>
        <v>0</v>
      </c>
      <c r="AD120" s="6">
        <f t="shared" si="67"/>
        <v>0</v>
      </c>
      <c r="AE120" s="6">
        <f t="shared" si="67"/>
        <v>0</v>
      </c>
      <c r="AF120" s="6">
        <f t="shared" si="67"/>
        <v>0</v>
      </c>
      <c r="AG120" s="6">
        <f t="shared" si="67"/>
        <v>0</v>
      </c>
      <c r="AH120" s="6">
        <f t="shared" si="67"/>
        <v>0</v>
      </c>
      <c r="AI120" s="6">
        <f t="shared" ref="AI120:BN120" si="68">SUM(AI10,AI20,AI24,AI27,AI34,AI37,AI40,AI47,AI49,AI53,AI59,AI71,AI79,AI81,AI88,AI92,AI95,AI99,AI110,AI115,AI119)/100000</f>
        <v>0</v>
      </c>
      <c r="AJ120" s="6">
        <f t="shared" si="68"/>
        <v>0</v>
      </c>
      <c r="AK120" s="6">
        <f t="shared" si="68"/>
        <v>0</v>
      </c>
      <c r="AL120" s="6">
        <f t="shared" si="68"/>
        <v>0</v>
      </c>
      <c r="AM120" s="6">
        <f t="shared" si="68"/>
        <v>0</v>
      </c>
      <c r="AN120" s="6">
        <f t="shared" si="68"/>
        <v>0</v>
      </c>
      <c r="AO120" s="6">
        <f t="shared" si="68"/>
        <v>0</v>
      </c>
      <c r="AP120" s="6">
        <f t="shared" si="68"/>
        <v>0</v>
      </c>
      <c r="AQ120" s="6">
        <f t="shared" si="68"/>
        <v>0</v>
      </c>
      <c r="AR120" s="6">
        <f t="shared" si="68"/>
        <v>0</v>
      </c>
      <c r="AS120" s="6">
        <f t="shared" si="68"/>
        <v>0</v>
      </c>
      <c r="AT120" s="6">
        <f t="shared" si="68"/>
        <v>0</v>
      </c>
      <c r="AU120" s="6">
        <f t="shared" si="68"/>
        <v>0</v>
      </c>
      <c r="AV120" s="6">
        <f t="shared" si="68"/>
        <v>0</v>
      </c>
      <c r="AW120" s="6">
        <f t="shared" si="68"/>
        <v>0</v>
      </c>
      <c r="AX120" s="6">
        <f t="shared" si="68"/>
        <v>0</v>
      </c>
      <c r="AY120" s="6">
        <f t="shared" si="68"/>
        <v>0</v>
      </c>
      <c r="AZ120" s="6">
        <f t="shared" si="68"/>
        <v>0</v>
      </c>
      <c r="BA120" s="6">
        <f t="shared" si="68"/>
        <v>0</v>
      </c>
      <c r="BB120" s="6">
        <f t="shared" si="68"/>
        <v>0</v>
      </c>
      <c r="BC120" s="6">
        <f t="shared" si="68"/>
        <v>0</v>
      </c>
      <c r="BD120" s="6">
        <f t="shared" si="68"/>
        <v>0</v>
      </c>
      <c r="BE120" s="6">
        <f t="shared" si="68"/>
        <v>0</v>
      </c>
      <c r="BF120" s="6">
        <f t="shared" si="68"/>
        <v>0</v>
      </c>
      <c r="BG120" s="6">
        <f t="shared" si="68"/>
        <v>0</v>
      </c>
      <c r="BH120" s="6">
        <f t="shared" si="68"/>
        <v>0</v>
      </c>
      <c r="BI120" s="6">
        <f t="shared" si="68"/>
        <v>0</v>
      </c>
      <c r="BJ120" s="6">
        <f t="shared" si="68"/>
        <v>0</v>
      </c>
      <c r="BK120" s="6">
        <f t="shared" si="68"/>
        <v>0</v>
      </c>
      <c r="BL120" s="6">
        <f t="shared" si="68"/>
        <v>0</v>
      </c>
      <c r="BM120" s="6">
        <f t="shared" si="68"/>
        <v>0</v>
      </c>
      <c r="BN120" s="6">
        <f t="shared" si="68"/>
        <v>0</v>
      </c>
      <c r="BO120" s="6">
        <f t="shared" ref="BO120:CT120" si="69">SUM(BO10,BO20,BO24,BO27,BO34,BO37,BO40,BO47,BO49,BO53,BO59,BO71,BO79,BO81,BO88,BO92,BO95,BO99,BO110,BO115,BO119)/100000</f>
        <v>0</v>
      </c>
      <c r="BP120" s="6">
        <f t="shared" si="69"/>
        <v>0</v>
      </c>
      <c r="BQ120" s="6">
        <f t="shared" si="69"/>
        <v>0</v>
      </c>
      <c r="BR120" s="6">
        <f t="shared" si="69"/>
        <v>0</v>
      </c>
      <c r="BS120" s="6">
        <f t="shared" si="69"/>
        <v>0</v>
      </c>
      <c r="BT120" s="6">
        <f t="shared" si="69"/>
        <v>0</v>
      </c>
      <c r="BU120" s="6">
        <f t="shared" si="69"/>
        <v>0</v>
      </c>
      <c r="BV120" s="6">
        <f t="shared" si="69"/>
        <v>0</v>
      </c>
      <c r="BW120" s="6">
        <f t="shared" si="69"/>
        <v>0</v>
      </c>
      <c r="BX120" s="6">
        <f t="shared" si="69"/>
        <v>0</v>
      </c>
      <c r="BY120" s="6">
        <f t="shared" si="69"/>
        <v>0</v>
      </c>
      <c r="BZ120" s="6">
        <f t="shared" si="69"/>
        <v>0</v>
      </c>
      <c r="CA120" s="6">
        <f t="shared" si="69"/>
        <v>0</v>
      </c>
      <c r="CB120" s="6">
        <f t="shared" si="69"/>
        <v>0</v>
      </c>
      <c r="CC120" s="6">
        <f t="shared" si="69"/>
        <v>0</v>
      </c>
      <c r="CD120" s="6">
        <f t="shared" si="69"/>
        <v>0</v>
      </c>
      <c r="CE120" s="6">
        <f t="shared" si="69"/>
        <v>0</v>
      </c>
      <c r="CF120" s="6">
        <f t="shared" si="69"/>
        <v>0</v>
      </c>
      <c r="CG120" s="6">
        <f t="shared" si="69"/>
        <v>0</v>
      </c>
      <c r="CH120" s="6">
        <f t="shared" si="69"/>
        <v>0</v>
      </c>
      <c r="CI120" s="6">
        <f t="shared" si="69"/>
        <v>0</v>
      </c>
      <c r="CJ120" s="6">
        <f t="shared" si="69"/>
        <v>0</v>
      </c>
      <c r="CK120" s="6">
        <f t="shared" si="69"/>
        <v>0</v>
      </c>
      <c r="CL120" s="6">
        <f t="shared" si="69"/>
        <v>0</v>
      </c>
      <c r="CM120" s="6">
        <f t="shared" si="69"/>
        <v>0</v>
      </c>
      <c r="CN120" s="6">
        <f t="shared" si="69"/>
        <v>0</v>
      </c>
      <c r="CO120" s="6">
        <f t="shared" si="69"/>
        <v>0</v>
      </c>
      <c r="CP120" s="6">
        <f t="shared" si="69"/>
        <v>0</v>
      </c>
      <c r="CQ120" s="6">
        <f t="shared" si="69"/>
        <v>0</v>
      </c>
      <c r="CR120" s="6">
        <f t="shared" si="69"/>
        <v>0</v>
      </c>
      <c r="CS120" s="6">
        <f t="shared" si="69"/>
        <v>0</v>
      </c>
      <c r="CT120" s="6">
        <f t="shared" si="69"/>
        <v>0</v>
      </c>
      <c r="CU120" s="6">
        <f t="shared" ref="CU120:CZ120" si="70">SUM(CU10,CU20,CU24,CU27,CU34,CU37,CU40,CU47,CU49,CU53,CU59,CU71,CU79,CU81,CU88,CU92,CU95,CU99,CU110,CU115,CU119)/100000</f>
        <v>0</v>
      </c>
      <c r="CV120" s="6">
        <f t="shared" si="70"/>
        <v>0</v>
      </c>
      <c r="CW120" s="6">
        <f t="shared" si="70"/>
        <v>0</v>
      </c>
      <c r="CX120" s="6">
        <f t="shared" si="70"/>
        <v>0</v>
      </c>
      <c r="CY120" s="6">
        <f t="shared" si="70"/>
        <v>0</v>
      </c>
      <c r="CZ120" s="6">
        <f t="shared" si="70"/>
        <v>0</v>
      </c>
    </row>
  </sheetData>
  <sheetProtection formatCells="0" selectLockedCells="1" autoFilter="0"/>
  <autoFilter ref="A2:CZ110" xr:uid="{00000000-0009-0000-0000-000007000000}"/>
  <mergeCells count="52">
    <mergeCell ref="CS1:CT1"/>
    <mergeCell ref="CU1:CV1"/>
    <mergeCell ref="CW1:CX1"/>
    <mergeCell ref="CY1:CZ1"/>
    <mergeCell ref="CG1:CH1"/>
    <mergeCell ref="CI1:CJ1"/>
    <mergeCell ref="CK1:CL1"/>
    <mergeCell ref="CM1:CN1"/>
    <mergeCell ref="CO1:CP1"/>
    <mergeCell ref="CQ1:CR1"/>
    <mergeCell ref="CE1:CF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BG1:BH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AI1:AJ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K1:L1"/>
    <mergeCell ref="A1:A2"/>
    <mergeCell ref="C1:D1"/>
    <mergeCell ref="E1:F1"/>
    <mergeCell ref="G1:H1"/>
    <mergeCell ref="I1:J1"/>
  </mergeCells>
  <pageMargins left="0.69930555555555596" right="0.69930555555555596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12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:CZ121"/>
    </sheetView>
  </sheetViews>
  <sheetFormatPr defaultColWidth="9.1796875" defaultRowHeight="14.5"/>
  <cols>
    <col min="1" max="1" width="31.54296875" style="2" customWidth="1"/>
    <col min="2" max="2" width="8.81640625" style="3" customWidth="1"/>
    <col min="3" max="3" width="10" style="3" bestFit="1" customWidth="1"/>
    <col min="4" max="41" width="9.1796875" style="3"/>
    <col min="42" max="42" width="8.54296875" style="3" customWidth="1"/>
    <col min="43" max="43" width="7.54296875" style="3" customWidth="1"/>
    <col min="44" max="44" width="8.54296875" style="3" customWidth="1"/>
    <col min="45" max="45" width="7.54296875" style="3" customWidth="1"/>
    <col min="46" max="46" width="8.54296875" style="3" customWidth="1"/>
    <col min="47" max="47" width="7.54296875" style="3" customWidth="1"/>
    <col min="48" max="48" width="8.54296875" style="3" customWidth="1"/>
    <col min="49" max="49" width="7.54296875" style="3" customWidth="1"/>
    <col min="50" max="50" width="8.54296875" style="3" customWidth="1"/>
    <col min="51" max="51" width="7.54296875" style="3" customWidth="1"/>
    <col min="52" max="52" width="8.54296875" style="3" customWidth="1"/>
    <col min="53" max="53" width="7.54296875" style="3" customWidth="1"/>
    <col min="54" max="54" width="8.54296875" style="3" customWidth="1"/>
    <col min="55" max="55" width="7.54296875" style="3" customWidth="1"/>
    <col min="56" max="56" width="8.54296875" style="3" customWidth="1"/>
    <col min="57" max="57" width="7.54296875" style="3" customWidth="1"/>
    <col min="58" max="58" width="8.54296875" style="3" customWidth="1"/>
    <col min="59" max="59" width="7.54296875" style="3" customWidth="1"/>
    <col min="60" max="60" width="8.54296875" style="3" customWidth="1"/>
    <col min="61" max="61" width="7.54296875" style="3" customWidth="1"/>
    <col min="62" max="62" width="8.54296875" style="3" customWidth="1"/>
    <col min="63" max="63" width="7.54296875" style="3" customWidth="1"/>
    <col min="64" max="64" width="8.54296875" style="3" customWidth="1"/>
    <col min="65" max="65" width="7.54296875" style="3" customWidth="1"/>
    <col min="66" max="66" width="8.54296875" style="3" customWidth="1"/>
    <col min="67" max="67" width="7.54296875" style="3" customWidth="1"/>
    <col min="68" max="68" width="8.54296875" style="3" customWidth="1"/>
    <col min="69" max="69" width="7.54296875" style="3" customWidth="1"/>
    <col min="70" max="70" width="8.54296875" style="3" customWidth="1"/>
    <col min="71" max="71" width="7.54296875" style="3" customWidth="1"/>
    <col min="72" max="72" width="8.54296875" style="3" customWidth="1"/>
    <col min="73" max="73" width="7.54296875" style="3" customWidth="1"/>
    <col min="74" max="74" width="8.54296875" style="3" customWidth="1"/>
    <col min="75" max="75" width="7.54296875" style="3" customWidth="1"/>
    <col min="76" max="76" width="8.54296875" style="3" customWidth="1"/>
    <col min="77" max="77" width="7.54296875" style="3" customWidth="1"/>
    <col min="78" max="78" width="8.54296875" style="3" customWidth="1"/>
    <col min="79" max="79" width="7.54296875" style="3" customWidth="1"/>
    <col min="80" max="80" width="8.54296875" style="3" customWidth="1"/>
    <col min="81" max="81" width="7.54296875" style="3" customWidth="1"/>
    <col min="82" max="82" width="8.54296875" style="3" customWidth="1"/>
    <col min="83" max="83" width="7.54296875" style="3" customWidth="1"/>
    <col min="84" max="84" width="8.54296875" style="3" customWidth="1"/>
    <col min="85" max="85" width="7.54296875" style="3" customWidth="1"/>
    <col min="86" max="86" width="8.54296875" style="3" customWidth="1"/>
    <col min="87" max="87" width="7.54296875" style="3" customWidth="1"/>
    <col min="88" max="88" width="8.54296875" style="3" customWidth="1"/>
    <col min="89" max="89" width="7.54296875" style="3" customWidth="1"/>
    <col min="90" max="90" width="8.54296875" style="3" customWidth="1"/>
    <col min="91" max="91" width="7.54296875" style="3" customWidth="1"/>
    <col min="92" max="92" width="8.54296875" style="3" customWidth="1"/>
    <col min="93" max="93" width="7.54296875" style="3" customWidth="1"/>
    <col min="94" max="94" width="8.54296875" style="3" customWidth="1"/>
    <col min="95" max="95" width="7.54296875" style="3" customWidth="1"/>
    <col min="96" max="96" width="8.54296875" style="3" customWidth="1"/>
    <col min="97" max="97" width="7.54296875" style="3" customWidth="1"/>
    <col min="98" max="98" width="8.54296875" style="3" customWidth="1"/>
    <col min="99" max="99" width="7.54296875" style="3" customWidth="1"/>
    <col min="100" max="100" width="8.54296875" style="3" customWidth="1"/>
    <col min="101" max="101" width="7.54296875" style="3" customWidth="1"/>
    <col min="102" max="102" width="8.54296875" style="3" customWidth="1"/>
    <col min="103" max="103" width="11.81640625" style="3" customWidth="1"/>
    <col min="104" max="104" width="12.453125" style="3" customWidth="1"/>
    <col min="105" max="107" width="9.1796875" style="2"/>
    <col min="108" max="108" width="8" style="2" customWidth="1"/>
    <col min="109" max="16384" width="9.1796875" style="2"/>
  </cols>
  <sheetData>
    <row r="1" spans="1:122" s="37" customFormat="1" ht="19.5" customHeight="1">
      <c r="A1" s="44" t="s">
        <v>0</v>
      </c>
      <c r="B1" s="12"/>
      <c r="C1" s="46" t="str">
        <f>APRIL!C1</f>
        <v>VASU PHARMA DRUGS PVT LTD</v>
      </c>
      <c r="D1" s="46"/>
      <c r="E1" s="46" t="str">
        <f>APRIL!E1</f>
        <v>PRAKASH PHARMA DISTRIBUTORS</v>
      </c>
      <c r="F1" s="46"/>
      <c r="G1" s="46" t="str">
        <f>APRIL!G1</f>
        <v>Divya Pharma</v>
      </c>
      <c r="H1" s="46"/>
      <c r="I1" s="46" t="str">
        <f>APRIL!I1</f>
        <v>KEIMED PRIVATE LIMITED</v>
      </c>
      <c r="J1" s="46"/>
      <c r="K1" s="46" t="str">
        <f>APRIL!K1</f>
        <v>SAI SRIDHAR PHARMA PVT LTD</v>
      </c>
      <c r="L1" s="46"/>
      <c r="M1" s="46" t="str">
        <f>APRIL!M1</f>
        <v>SRI VENKATARAGHAVA AGENCIES</v>
      </c>
      <c r="N1" s="46"/>
      <c r="O1" s="46" t="str">
        <f>APRIL!O1</f>
        <v>SHREEJI DIST PVT LTD</v>
      </c>
      <c r="P1" s="46"/>
      <c r="Q1" s="46" t="str">
        <f>APRIL!Q1</f>
        <v>SVS PHARMA</v>
      </c>
      <c r="R1" s="46"/>
      <c r="S1" s="46" t="str">
        <f>APRIL!S1</f>
        <v>PHARMA DISTRIBUTORS</v>
      </c>
      <c r="T1" s="46"/>
      <c r="U1" s="46" t="str">
        <f>APRIL!U1</f>
        <v>SAI PHARMA DISTRIBUTERS PVT LTD</v>
      </c>
      <c r="V1" s="46"/>
      <c r="W1" s="46" t="str">
        <f>APRIL!W1</f>
        <v>ALANKRITA AGENCIES</v>
      </c>
      <c r="X1" s="46"/>
      <c r="Y1" s="46" t="str">
        <f>APRIL!Y1</f>
        <v>JAYA SURG &amp; PHARMA PVT LTD</v>
      </c>
      <c r="Z1" s="46"/>
      <c r="AA1" s="46" t="str">
        <f>APRIL!AA1</f>
        <v>MANASA MEDICAL AGENCIES</v>
      </c>
      <c r="AB1" s="46"/>
      <c r="AC1" s="46" t="str">
        <f>APRIL!AC1</f>
        <v>KARTHICK AGENCIES</v>
      </c>
      <c r="AD1" s="46"/>
      <c r="AE1" s="46" t="str">
        <f>APRIL!AE1</f>
        <v>NIRMALA AGENCIES</v>
      </c>
      <c r="AF1" s="46"/>
      <c r="AG1" s="46" t="str">
        <f>APRIL!AG1</f>
        <v>HIMALAYA MEDICAL AGENCIES</v>
      </c>
      <c r="AH1" s="46"/>
      <c r="AI1" s="46" t="str">
        <f>APRIL!AI1</f>
        <v xml:space="preserve">Maruthi </v>
      </c>
      <c r="AJ1" s="46"/>
      <c r="AK1" s="46" t="str">
        <f>APRIL!AK1</f>
        <v>LAXMI SAI MEDICAL AGENCIES</v>
      </c>
      <c r="AL1" s="46"/>
      <c r="AM1" s="46" t="str">
        <f>APRIL!AM1</f>
        <v>Patwari Pharma</v>
      </c>
      <c r="AN1" s="46"/>
      <c r="AO1" s="46" t="str">
        <f>APRIL!AO1</f>
        <v>Vishnu &amp; Co</v>
      </c>
      <c r="AP1" s="46"/>
      <c r="AQ1" s="46" t="str">
        <f>APRIL!AQ1</f>
        <v>SUMAN AGENCIES HYD PVT LTD</v>
      </c>
      <c r="AR1" s="46"/>
      <c r="AS1" s="46" t="str">
        <f>APRIL!AS1</f>
        <v>Sri Nirmala</v>
      </c>
      <c r="AT1" s="46"/>
      <c r="AU1" s="46" t="str">
        <f>APRIL!AU1</f>
        <v>SHREE SHARADA PHARMA</v>
      </c>
      <c r="AV1" s="46"/>
      <c r="AW1" s="46" t="str">
        <f>APRIL!AW1</f>
        <v>ALLIED PHARMA</v>
      </c>
      <c r="AX1" s="46"/>
      <c r="AY1" s="46" t="str">
        <f>APRIL!AY1</f>
        <v>GOEL DISTRIBUTER</v>
      </c>
      <c r="AZ1" s="46"/>
      <c r="BA1" s="46" t="str">
        <f>APRIL!BA1</f>
        <v>KAMALESH PHARMA</v>
      </c>
      <c r="BB1" s="46"/>
      <c r="BC1" s="46" t="str">
        <f>APRIL!BC1</f>
        <v>ARVIND PHARMA DISTRIBUTER</v>
      </c>
      <c r="BD1" s="46"/>
      <c r="BE1" s="46" t="str">
        <f>APRIL!BE1</f>
        <v>GOEL PHARMA</v>
      </c>
      <c r="BF1" s="46"/>
      <c r="BG1" s="46" t="str">
        <f>APRIL!BG1</f>
        <v>KRISHNA  PHARMACEUTICALS</v>
      </c>
      <c r="BH1" s="46"/>
      <c r="BI1" s="46" t="str">
        <f>APRIL!BI1</f>
        <v>AP DRUGS</v>
      </c>
      <c r="BJ1" s="46"/>
      <c r="BK1" s="46" t="str">
        <f>APRIL!BK1</f>
        <v>MAWA PHARMACEUTICALS</v>
      </c>
      <c r="BL1" s="46"/>
      <c r="BM1" s="46" t="str">
        <f>APRIL!BM1</f>
        <v>TIRUMALA AGENCIES</v>
      </c>
      <c r="BN1" s="46"/>
      <c r="BO1" s="46" t="str">
        <f>APRIL!BO1</f>
        <v>SREE HARI MEDICALS</v>
      </c>
      <c r="BP1" s="46"/>
      <c r="BQ1" s="46" t="str">
        <f>APRIL!BQ1</f>
        <v>SREE VENKATESHWARA MEDISOLUTIONS</v>
      </c>
      <c r="BR1" s="46"/>
      <c r="BS1" s="46" t="str">
        <f>APRIL!BS1</f>
        <v>SRI BALAJI DRUGS</v>
      </c>
      <c r="BT1" s="46"/>
      <c r="BU1" s="46" t="str">
        <f>APRIL!BU1</f>
        <v>VISHNU MEDICAL HALL</v>
      </c>
      <c r="BV1" s="46"/>
      <c r="BW1" s="46" t="str">
        <f>APRIL!BW1</f>
        <v>HYDERABAD SPECIALITY DRUGS</v>
      </c>
      <c r="BX1" s="46"/>
      <c r="BY1" s="46" t="str">
        <f>APRIL!BY1</f>
        <v>LORVEN PHARMA &amp; SURGICALS (CORP)</v>
      </c>
      <c r="BZ1" s="46"/>
      <c r="CA1" s="46" t="str">
        <f>APRIL!CA1</f>
        <v>AK PHARMA</v>
      </c>
      <c r="CB1" s="46"/>
      <c r="CC1" s="46" t="str">
        <f>APRIL!CC1</f>
        <v>OPTIVAL HEALTHSOLUTIONS</v>
      </c>
      <c r="CD1" s="46"/>
      <c r="CE1" s="46" t="str">
        <f>APRIL!CE1</f>
        <v>BALAJI MEDICAL AGENCIES</v>
      </c>
      <c r="CF1" s="46"/>
      <c r="CG1" s="46" t="str">
        <f>APRIL!CG1</f>
        <v>S42</v>
      </c>
      <c r="CH1" s="46"/>
      <c r="CI1" s="46" t="str">
        <f>APRIL!CI1</f>
        <v>S43</v>
      </c>
      <c r="CJ1" s="46"/>
      <c r="CK1" s="46" t="str">
        <f>APRIL!CK1</f>
        <v>S44</v>
      </c>
      <c r="CL1" s="46"/>
      <c r="CM1" s="46" t="str">
        <f>APRIL!CM1</f>
        <v>S45</v>
      </c>
      <c r="CN1" s="46"/>
      <c r="CO1" s="46" t="str">
        <f>APRIL!CO1</f>
        <v>S46</v>
      </c>
      <c r="CP1" s="46"/>
      <c r="CQ1" s="46" t="str">
        <f>APRIL!CQ1</f>
        <v>S47</v>
      </c>
      <c r="CR1" s="46"/>
      <c r="CS1" s="46" t="str">
        <f>APRIL!CS1</f>
        <v>S48</v>
      </c>
      <c r="CT1" s="46"/>
      <c r="CU1" s="46" t="str">
        <f>APRIL!CU1</f>
        <v>S49</v>
      </c>
      <c r="CV1" s="46"/>
      <c r="CW1" s="46" t="str">
        <f>APRIL!CW1</f>
        <v>S50</v>
      </c>
      <c r="CX1" s="46"/>
      <c r="CY1" s="43" t="s">
        <v>1</v>
      </c>
      <c r="CZ1" s="43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</row>
    <row r="2" spans="1:122" ht="43.5">
      <c r="A2" s="44"/>
      <c r="B2" s="12" t="s">
        <v>2</v>
      </c>
      <c r="C2" s="7" t="s">
        <v>90</v>
      </c>
      <c r="D2" s="7" t="s">
        <v>91</v>
      </c>
      <c r="E2" s="7" t="s">
        <v>90</v>
      </c>
      <c r="F2" s="7" t="s">
        <v>91</v>
      </c>
      <c r="G2" s="7" t="s">
        <v>90</v>
      </c>
      <c r="H2" s="7" t="s">
        <v>91</v>
      </c>
      <c r="I2" s="7" t="s">
        <v>90</v>
      </c>
      <c r="J2" s="7" t="s">
        <v>91</v>
      </c>
      <c r="K2" s="7" t="s">
        <v>90</v>
      </c>
      <c r="L2" s="7" t="s">
        <v>91</v>
      </c>
      <c r="M2" s="7" t="s">
        <v>90</v>
      </c>
      <c r="N2" s="7" t="s">
        <v>91</v>
      </c>
      <c r="O2" s="7" t="s">
        <v>90</v>
      </c>
      <c r="P2" s="7" t="s">
        <v>91</v>
      </c>
      <c r="Q2" s="7" t="s">
        <v>90</v>
      </c>
      <c r="R2" s="7" t="s">
        <v>91</v>
      </c>
      <c r="S2" s="7" t="s">
        <v>90</v>
      </c>
      <c r="T2" s="7" t="s">
        <v>91</v>
      </c>
      <c r="U2" s="7" t="s">
        <v>90</v>
      </c>
      <c r="V2" s="7" t="s">
        <v>91</v>
      </c>
      <c r="W2" s="7" t="s">
        <v>90</v>
      </c>
      <c r="X2" s="7" t="s">
        <v>91</v>
      </c>
      <c r="Y2" s="7" t="s">
        <v>90</v>
      </c>
      <c r="Z2" s="7" t="s">
        <v>91</v>
      </c>
      <c r="AA2" s="7" t="s">
        <v>90</v>
      </c>
      <c r="AB2" s="7" t="s">
        <v>91</v>
      </c>
      <c r="AC2" s="7" t="s">
        <v>90</v>
      </c>
      <c r="AD2" s="7" t="s">
        <v>91</v>
      </c>
      <c r="AE2" s="7" t="s">
        <v>90</v>
      </c>
      <c r="AF2" s="7" t="s">
        <v>91</v>
      </c>
      <c r="AG2" s="7" t="s">
        <v>90</v>
      </c>
      <c r="AH2" s="7" t="s">
        <v>91</v>
      </c>
      <c r="AI2" s="7" t="s">
        <v>90</v>
      </c>
      <c r="AJ2" s="7" t="s">
        <v>91</v>
      </c>
      <c r="AK2" s="7" t="s">
        <v>90</v>
      </c>
      <c r="AL2" s="7" t="s">
        <v>91</v>
      </c>
      <c r="AM2" s="7" t="s">
        <v>90</v>
      </c>
      <c r="AN2" s="7" t="s">
        <v>91</v>
      </c>
      <c r="AO2" s="7" t="s">
        <v>90</v>
      </c>
      <c r="AP2" s="7" t="s">
        <v>91</v>
      </c>
      <c r="AQ2" s="7" t="s">
        <v>90</v>
      </c>
      <c r="AR2" s="7" t="s">
        <v>91</v>
      </c>
      <c r="AS2" s="7" t="s">
        <v>90</v>
      </c>
      <c r="AT2" s="7" t="s">
        <v>91</v>
      </c>
      <c r="AU2" s="7" t="s">
        <v>90</v>
      </c>
      <c r="AV2" s="7" t="s">
        <v>91</v>
      </c>
      <c r="AW2" s="7" t="s">
        <v>90</v>
      </c>
      <c r="AX2" s="7" t="s">
        <v>91</v>
      </c>
      <c r="AY2" s="7" t="s">
        <v>90</v>
      </c>
      <c r="AZ2" s="7" t="s">
        <v>91</v>
      </c>
      <c r="BA2" s="7" t="s">
        <v>90</v>
      </c>
      <c r="BB2" s="7" t="s">
        <v>91</v>
      </c>
      <c r="BC2" s="7" t="s">
        <v>90</v>
      </c>
      <c r="BD2" s="7" t="s">
        <v>91</v>
      </c>
      <c r="BE2" s="7" t="s">
        <v>90</v>
      </c>
      <c r="BF2" s="7" t="s">
        <v>91</v>
      </c>
      <c r="BG2" s="7" t="s">
        <v>90</v>
      </c>
      <c r="BH2" s="7" t="s">
        <v>91</v>
      </c>
      <c r="BI2" s="7" t="s">
        <v>90</v>
      </c>
      <c r="BJ2" s="7" t="s">
        <v>91</v>
      </c>
      <c r="BK2" s="7" t="s">
        <v>90</v>
      </c>
      <c r="BL2" s="7" t="s">
        <v>91</v>
      </c>
      <c r="BM2" s="7" t="s">
        <v>90</v>
      </c>
      <c r="BN2" s="7" t="s">
        <v>91</v>
      </c>
      <c r="BO2" s="7" t="s">
        <v>90</v>
      </c>
      <c r="BP2" s="7" t="s">
        <v>91</v>
      </c>
      <c r="BQ2" s="7" t="s">
        <v>90</v>
      </c>
      <c r="BR2" s="7" t="s">
        <v>91</v>
      </c>
      <c r="BS2" s="7" t="s">
        <v>90</v>
      </c>
      <c r="BT2" s="7" t="s">
        <v>91</v>
      </c>
      <c r="BU2" s="7" t="s">
        <v>90</v>
      </c>
      <c r="BV2" s="7" t="s">
        <v>91</v>
      </c>
      <c r="BW2" s="7" t="s">
        <v>90</v>
      </c>
      <c r="BX2" s="7" t="s">
        <v>91</v>
      </c>
      <c r="BY2" s="7" t="s">
        <v>90</v>
      </c>
      <c r="BZ2" s="7" t="s">
        <v>91</v>
      </c>
      <c r="CA2" s="7" t="s">
        <v>90</v>
      </c>
      <c r="CB2" s="7" t="s">
        <v>91</v>
      </c>
      <c r="CC2" s="7" t="s">
        <v>90</v>
      </c>
      <c r="CD2" s="7" t="s">
        <v>91</v>
      </c>
      <c r="CE2" s="7" t="s">
        <v>90</v>
      </c>
      <c r="CF2" s="7" t="s">
        <v>91</v>
      </c>
      <c r="CG2" s="7" t="s">
        <v>90</v>
      </c>
      <c r="CH2" s="7" t="s">
        <v>91</v>
      </c>
      <c r="CI2" s="7" t="s">
        <v>90</v>
      </c>
      <c r="CJ2" s="7" t="s">
        <v>91</v>
      </c>
      <c r="CK2" s="7" t="s">
        <v>90</v>
      </c>
      <c r="CL2" s="7" t="s">
        <v>91</v>
      </c>
      <c r="CM2" s="7" t="s">
        <v>90</v>
      </c>
      <c r="CN2" s="7" t="s">
        <v>91</v>
      </c>
      <c r="CO2" s="7" t="s">
        <v>90</v>
      </c>
      <c r="CP2" s="7" t="s">
        <v>91</v>
      </c>
      <c r="CQ2" s="7" t="s">
        <v>90</v>
      </c>
      <c r="CR2" s="7" t="s">
        <v>91</v>
      </c>
      <c r="CS2" s="7" t="s">
        <v>90</v>
      </c>
      <c r="CT2" s="7" t="s">
        <v>91</v>
      </c>
      <c r="CU2" s="7" t="s">
        <v>90</v>
      </c>
      <c r="CV2" s="7" t="s">
        <v>91</v>
      </c>
      <c r="CW2" s="7" t="s">
        <v>90</v>
      </c>
      <c r="CX2" s="7" t="s">
        <v>91</v>
      </c>
      <c r="CY2" s="7" t="s">
        <v>90</v>
      </c>
      <c r="CZ2" s="7" t="s">
        <v>91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</row>
    <row r="3" spans="1:122" ht="18" customHeight="1">
      <c r="A3" s="13" t="s">
        <v>3</v>
      </c>
      <c r="B3" s="14">
        <f>IFERROR(VLOOKUP(A3,PRICELIST!$A$3:$D$138,4,0),"-")</f>
        <v>167.79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9">
        <f>C3+E3+G3+I3+K3+M3+O3+Q3+S3+U3+W3+Y3+AA3+AC3+AE3+AG3+AI3+AK3+AM3+AO3+AQ3+AS3+AU3+AW3+AY3+BA3+BC3+BE3+BG3+BI3+BK3+BM3+BO3+BQ3+BS3+BU3+BW3+BY3+CA3+CC3+CE3+CG3+CI3+CK3+CM3+CO3+CQ3+CS3+CU3+CW3</f>
        <v>0</v>
      </c>
      <c r="CZ3" s="19">
        <f>D3+F3+H3+J3+L3+N3+P3+R3+T3+V3+X3+Z3+AB3+AD3+AF3+AH3+AJ3+AL3+AN3+AP3+AR3+AT3+AV3+AX3+AZ3+BB3+BD3+BF3+BH3+BJ3+BL3+BN3+BP3+BR3+BT3+BV3+BX3+BZ3+CB3+CD3+CF3+CH3+CJ3+CL3+CN3+CP3+CR3+CT3+CV3+CX3</f>
        <v>0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</row>
    <row r="4" spans="1:122" ht="18" customHeight="1">
      <c r="A4" s="13" t="s">
        <v>4</v>
      </c>
      <c r="B4" s="14">
        <f>IFERROR(VLOOKUP(A4,PRICELIST!$A$3:$D$138,4,0),"-")</f>
        <v>112.5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9">
        <f t="shared" ref="CY4:CZ9" si="0">C4+E4+G4+I4+K4+M4+O4+Q4+S4+U4+W4+Y4+AA4+AC4+AE4+AG4+AI4+AK4+AM4+AO4+AQ4+AS4+AU4+AW4+AY4+BA4+BC4+BE4+BG4+BI4+BK4+BM4+BO4+BQ4+BS4+BU4+BW4+BY4+CA4+CC4+CE4+CG4+CI4+CK4+CM4+CO4+CQ4+CS4+CU4+CW4</f>
        <v>0</v>
      </c>
      <c r="CZ4" s="19">
        <f t="shared" si="0"/>
        <v>0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</row>
    <row r="5" spans="1:122" ht="18" customHeight="1">
      <c r="A5" s="13" t="s">
        <v>5</v>
      </c>
      <c r="B5" s="14">
        <f>IFERROR(VLOOKUP(A5,PRICELIST!$A$3:$D$138,4,0),"-")</f>
        <v>127.87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9">
        <f t="shared" si="0"/>
        <v>0</v>
      </c>
      <c r="CZ5" s="19">
        <f t="shared" si="0"/>
        <v>0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</row>
    <row r="6" spans="1:122" ht="18" customHeight="1">
      <c r="A6" s="13" t="s">
        <v>6</v>
      </c>
      <c r="B6" s="14">
        <f>IFERROR(VLOOKUP(A6,PRICELIST!$A$3:$D$138,4,0),"-")</f>
        <v>88.7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9">
        <f t="shared" si="0"/>
        <v>0</v>
      </c>
      <c r="CZ6" s="19">
        <f t="shared" si="0"/>
        <v>0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</row>
    <row r="7" spans="1:122" ht="18" customHeight="1">
      <c r="A7" s="13" t="s">
        <v>78</v>
      </c>
      <c r="B7" s="14">
        <f>IFERROR(VLOOKUP(A7,PRICELIST!$A$3:$D$138,4,0),"-")</f>
        <v>171.64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9">
        <f t="shared" si="0"/>
        <v>0</v>
      </c>
      <c r="CZ7" s="19">
        <f t="shared" si="0"/>
        <v>0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</row>
    <row r="8" spans="1:122" ht="18" customHeight="1">
      <c r="A8" s="13" t="s">
        <v>7</v>
      </c>
      <c r="B8" s="14">
        <f>IFERROR(VLOOKUP(A8,PRICELIST!$A$3:$D$138,4,0),"-")</f>
        <v>216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9">
        <f t="shared" si="0"/>
        <v>0</v>
      </c>
      <c r="CZ8" s="19">
        <f t="shared" si="0"/>
        <v>0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</row>
    <row r="9" spans="1:122" ht="18" customHeight="1">
      <c r="A9" s="13" t="s">
        <v>8</v>
      </c>
      <c r="B9" s="14">
        <f>IFERROR(VLOOKUP(A9,PRICELIST!$A$3:$D$138,4,0),"-")</f>
        <v>163.93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9">
        <f t="shared" si="0"/>
        <v>0</v>
      </c>
      <c r="CZ9" s="19">
        <f t="shared" si="0"/>
        <v>0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</row>
    <row r="10" spans="1:122" ht="18" customHeight="1">
      <c r="A10" s="9" t="s">
        <v>9</v>
      </c>
      <c r="B10" s="10"/>
      <c r="C10" s="11">
        <f>SUMPRODUCT($B3:$B9,C3:C9)</f>
        <v>0</v>
      </c>
      <c r="D10" s="11">
        <f t="shared" ref="D10:BO10" si="1">SUMPRODUCT($B3:$B9,D3:D9)</f>
        <v>0</v>
      </c>
      <c r="E10" s="11">
        <f t="shared" si="1"/>
        <v>0</v>
      </c>
      <c r="F10" s="11">
        <f t="shared" si="1"/>
        <v>0</v>
      </c>
      <c r="G10" s="11">
        <f t="shared" si="1"/>
        <v>0</v>
      </c>
      <c r="H10" s="11">
        <f t="shared" si="1"/>
        <v>0</v>
      </c>
      <c r="I10" s="11">
        <f t="shared" si="1"/>
        <v>0</v>
      </c>
      <c r="J10" s="11">
        <f t="shared" si="1"/>
        <v>0</v>
      </c>
      <c r="K10" s="11">
        <f t="shared" si="1"/>
        <v>0</v>
      </c>
      <c r="L10" s="11">
        <f t="shared" si="1"/>
        <v>0</v>
      </c>
      <c r="M10" s="11">
        <f t="shared" si="1"/>
        <v>0</v>
      </c>
      <c r="N10" s="11">
        <f t="shared" si="1"/>
        <v>0</v>
      </c>
      <c r="O10" s="11">
        <f t="shared" si="1"/>
        <v>0</v>
      </c>
      <c r="P10" s="11">
        <f t="shared" si="1"/>
        <v>0</v>
      </c>
      <c r="Q10" s="11">
        <f t="shared" si="1"/>
        <v>0</v>
      </c>
      <c r="R10" s="11">
        <f t="shared" si="1"/>
        <v>0</v>
      </c>
      <c r="S10" s="11">
        <f t="shared" si="1"/>
        <v>0</v>
      </c>
      <c r="T10" s="11">
        <f t="shared" si="1"/>
        <v>0</v>
      </c>
      <c r="U10" s="11">
        <f t="shared" si="1"/>
        <v>0</v>
      </c>
      <c r="V10" s="11">
        <f t="shared" si="1"/>
        <v>0</v>
      </c>
      <c r="W10" s="11">
        <f t="shared" si="1"/>
        <v>0</v>
      </c>
      <c r="X10" s="11">
        <f t="shared" si="1"/>
        <v>0</v>
      </c>
      <c r="Y10" s="11">
        <f t="shared" si="1"/>
        <v>0</v>
      </c>
      <c r="Z10" s="11">
        <f t="shared" si="1"/>
        <v>0</v>
      </c>
      <c r="AA10" s="11">
        <f t="shared" si="1"/>
        <v>0</v>
      </c>
      <c r="AB10" s="11">
        <f t="shared" si="1"/>
        <v>0</v>
      </c>
      <c r="AC10" s="11">
        <f t="shared" si="1"/>
        <v>0</v>
      </c>
      <c r="AD10" s="11">
        <f t="shared" si="1"/>
        <v>0</v>
      </c>
      <c r="AE10" s="11">
        <f t="shared" si="1"/>
        <v>0</v>
      </c>
      <c r="AF10" s="11">
        <f t="shared" si="1"/>
        <v>0</v>
      </c>
      <c r="AG10" s="11">
        <f t="shared" si="1"/>
        <v>0</v>
      </c>
      <c r="AH10" s="11">
        <f t="shared" si="1"/>
        <v>0</v>
      </c>
      <c r="AI10" s="11">
        <f t="shared" si="1"/>
        <v>0</v>
      </c>
      <c r="AJ10" s="11">
        <f t="shared" si="1"/>
        <v>0</v>
      </c>
      <c r="AK10" s="11">
        <f t="shared" si="1"/>
        <v>0</v>
      </c>
      <c r="AL10" s="11">
        <f t="shared" si="1"/>
        <v>0</v>
      </c>
      <c r="AM10" s="11">
        <f t="shared" si="1"/>
        <v>0</v>
      </c>
      <c r="AN10" s="11">
        <f t="shared" si="1"/>
        <v>0</v>
      </c>
      <c r="AO10" s="11">
        <f t="shared" si="1"/>
        <v>0</v>
      </c>
      <c r="AP10" s="11">
        <f t="shared" si="1"/>
        <v>0</v>
      </c>
      <c r="AQ10" s="11">
        <f t="shared" si="1"/>
        <v>0</v>
      </c>
      <c r="AR10" s="11">
        <f t="shared" si="1"/>
        <v>0</v>
      </c>
      <c r="AS10" s="11">
        <f t="shared" si="1"/>
        <v>0</v>
      </c>
      <c r="AT10" s="11">
        <f t="shared" si="1"/>
        <v>0</v>
      </c>
      <c r="AU10" s="11">
        <f t="shared" si="1"/>
        <v>0</v>
      </c>
      <c r="AV10" s="11">
        <f t="shared" si="1"/>
        <v>0</v>
      </c>
      <c r="AW10" s="11">
        <f t="shared" si="1"/>
        <v>0</v>
      </c>
      <c r="AX10" s="11">
        <f t="shared" si="1"/>
        <v>0</v>
      </c>
      <c r="AY10" s="11">
        <f t="shared" si="1"/>
        <v>0</v>
      </c>
      <c r="AZ10" s="11">
        <f t="shared" si="1"/>
        <v>0</v>
      </c>
      <c r="BA10" s="11">
        <f t="shared" si="1"/>
        <v>0</v>
      </c>
      <c r="BB10" s="11">
        <f t="shared" si="1"/>
        <v>0</v>
      </c>
      <c r="BC10" s="11">
        <f t="shared" si="1"/>
        <v>0</v>
      </c>
      <c r="BD10" s="11">
        <f t="shared" si="1"/>
        <v>0</v>
      </c>
      <c r="BE10" s="11">
        <f t="shared" si="1"/>
        <v>0</v>
      </c>
      <c r="BF10" s="11">
        <f t="shared" si="1"/>
        <v>0</v>
      </c>
      <c r="BG10" s="11">
        <f t="shared" si="1"/>
        <v>0</v>
      </c>
      <c r="BH10" s="11">
        <f t="shared" si="1"/>
        <v>0</v>
      </c>
      <c r="BI10" s="11">
        <f t="shared" si="1"/>
        <v>0</v>
      </c>
      <c r="BJ10" s="11">
        <f t="shared" si="1"/>
        <v>0</v>
      </c>
      <c r="BK10" s="11">
        <f t="shared" si="1"/>
        <v>0</v>
      </c>
      <c r="BL10" s="11">
        <f t="shared" si="1"/>
        <v>0</v>
      </c>
      <c r="BM10" s="11">
        <f t="shared" si="1"/>
        <v>0</v>
      </c>
      <c r="BN10" s="11">
        <f t="shared" si="1"/>
        <v>0</v>
      </c>
      <c r="BO10" s="11">
        <f t="shared" si="1"/>
        <v>0</v>
      </c>
      <c r="BP10" s="11">
        <f t="shared" ref="BP10:CZ10" si="2">SUMPRODUCT($B3:$B9,BP3:BP9)</f>
        <v>0</v>
      </c>
      <c r="BQ10" s="11">
        <f t="shared" si="2"/>
        <v>0</v>
      </c>
      <c r="BR10" s="11">
        <f t="shared" si="2"/>
        <v>0</v>
      </c>
      <c r="BS10" s="11">
        <f t="shared" si="2"/>
        <v>0</v>
      </c>
      <c r="BT10" s="11">
        <f t="shared" si="2"/>
        <v>0</v>
      </c>
      <c r="BU10" s="11">
        <f t="shared" si="2"/>
        <v>0</v>
      </c>
      <c r="BV10" s="11">
        <f t="shared" si="2"/>
        <v>0</v>
      </c>
      <c r="BW10" s="11">
        <f t="shared" si="2"/>
        <v>0</v>
      </c>
      <c r="BX10" s="11">
        <f t="shared" si="2"/>
        <v>0</v>
      </c>
      <c r="BY10" s="11">
        <f t="shared" si="2"/>
        <v>0</v>
      </c>
      <c r="BZ10" s="11">
        <f t="shared" si="2"/>
        <v>0</v>
      </c>
      <c r="CA10" s="11">
        <f t="shared" si="2"/>
        <v>0</v>
      </c>
      <c r="CB10" s="11">
        <f t="shared" si="2"/>
        <v>0</v>
      </c>
      <c r="CC10" s="11">
        <f t="shared" si="2"/>
        <v>0</v>
      </c>
      <c r="CD10" s="11">
        <f t="shared" si="2"/>
        <v>0</v>
      </c>
      <c r="CE10" s="11">
        <f t="shared" si="2"/>
        <v>0</v>
      </c>
      <c r="CF10" s="11">
        <f t="shared" si="2"/>
        <v>0</v>
      </c>
      <c r="CG10" s="11">
        <f t="shared" si="2"/>
        <v>0</v>
      </c>
      <c r="CH10" s="11">
        <f t="shared" si="2"/>
        <v>0</v>
      </c>
      <c r="CI10" s="11">
        <f t="shared" si="2"/>
        <v>0</v>
      </c>
      <c r="CJ10" s="11">
        <f t="shared" si="2"/>
        <v>0</v>
      </c>
      <c r="CK10" s="11">
        <f t="shared" si="2"/>
        <v>0</v>
      </c>
      <c r="CL10" s="11">
        <f t="shared" si="2"/>
        <v>0</v>
      </c>
      <c r="CM10" s="11">
        <f t="shared" si="2"/>
        <v>0</v>
      </c>
      <c r="CN10" s="11">
        <f t="shared" si="2"/>
        <v>0</v>
      </c>
      <c r="CO10" s="11">
        <f t="shared" si="2"/>
        <v>0</v>
      </c>
      <c r="CP10" s="11">
        <f t="shared" si="2"/>
        <v>0</v>
      </c>
      <c r="CQ10" s="11">
        <f t="shared" si="2"/>
        <v>0</v>
      </c>
      <c r="CR10" s="11">
        <f t="shared" si="2"/>
        <v>0</v>
      </c>
      <c r="CS10" s="11">
        <f t="shared" si="2"/>
        <v>0</v>
      </c>
      <c r="CT10" s="11">
        <f t="shared" si="2"/>
        <v>0</v>
      </c>
      <c r="CU10" s="11">
        <f t="shared" si="2"/>
        <v>0</v>
      </c>
      <c r="CV10" s="11">
        <f t="shared" si="2"/>
        <v>0</v>
      </c>
      <c r="CW10" s="11">
        <f t="shared" si="2"/>
        <v>0</v>
      </c>
      <c r="CX10" s="11">
        <f t="shared" si="2"/>
        <v>0</v>
      </c>
      <c r="CY10" s="11">
        <f t="shared" si="2"/>
        <v>0</v>
      </c>
      <c r="CZ10" s="11">
        <f t="shared" si="2"/>
        <v>0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</row>
    <row r="11" spans="1:122" ht="18" customHeight="1">
      <c r="A11" s="4" t="s">
        <v>127</v>
      </c>
      <c r="B11" s="14">
        <f>IFERROR(VLOOKUP(A11,PRICELIST!$A$3:$D$138,4,0),"-")</f>
        <v>432.21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9">
        <f t="shared" ref="CY11:CZ19" si="3">C11+E11+G11+I11+K11+M11+O11+Q11+S11+U11+W11+Y11+AA11+AC11+AE11+AG11+AI11+AK11+AM11+AO11+AQ11+AS11+AU11+AW11+AY11+BA11+BC11+BE11+BG11+BI11+BK11+BM11+BO11+BQ11+BS11+BU11+BW11+BY11+CA11+CC11+CE11+CG11+CI11+CK11+CM11+CO11+CQ11+CS11+CU11+CW11</f>
        <v>0</v>
      </c>
      <c r="CZ11" s="19">
        <f t="shared" si="3"/>
        <v>0</v>
      </c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</row>
    <row r="12" spans="1:122" ht="18" customHeight="1">
      <c r="A12" s="4" t="s">
        <v>128</v>
      </c>
      <c r="B12" s="14">
        <f>IFERROR(VLOOKUP(A12,PRICELIST!$A$3:$D$138,4,0),"-")</f>
        <v>107.11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9">
        <f t="shared" si="3"/>
        <v>0</v>
      </c>
      <c r="CZ12" s="19">
        <f t="shared" si="3"/>
        <v>0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</row>
    <row r="13" spans="1:122" ht="18" customHeight="1">
      <c r="A13" s="4" t="s">
        <v>129</v>
      </c>
      <c r="B13" s="14">
        <f>IFERROR(VLOOKUP(A13,PRICELIST!$A$3:$D$138,4,0),"-")</f>
        <v>205.07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9">
        <f t="shared" si="3"/>
        <v>0</v>
      </c>
      <c r="CZ13" s="19">
        <f t="shared" si="3"/>
        <v>0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</row>
    <row r="14" spans="1:122" ht="18" customHeight="1">
      <c r="A14" s="4" t="s">
        <v>130</v>
      </c>
      <c r="B14" s="14">
        <f>IFERROR(VLOOKUP(A14,PRICELIST!$A$3:$D$138,4,0),"-")</f>
        <v>322.70999999999998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9">
        <f t="shared" si="3"/>
        <v>0</v>
      </c>
      <c r="CZ14" s="19">
        <f t="shared" si="3"/>
        <v>0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</row>
    <row r="15" spans="1:122" ht="18" customHeight="1">
      <c r="A15" s="4" t="s">
        <v>118</v>
      </c>
      <c r="B15" s="14">
        <f>IFERROR(VLOOKUP(A15,PRICELIST!$A$3:$D$138,4,0),"-")</f>
        <v>272.23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9">
        <f t="shared" si="3"/>
        <v>0</v>
      </c>
      <c r="CZ15" s="19">
        <f t="shared" si="3"/>
        <v>0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</row>
    <row r="16" spans="1:122" ht="18" customHeight="1">
      <c r="A16" s="4" t="s">
        <v>119</v>
      </c>
      <c r="B16" s="14">
        <f>IFERROR(VLOOKUP(A16,PRICELIST!$A$3:$D$138,4,0),"-")</f>
        <v>352.76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9">
        <f t="shared" si="3"/>
        <v>0</v>
      </c>
      <c r="CZ16" s="19">
        <f t="shared" si="3"/>
        <v>0</v>
      </c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</row>
    <row r="17" spans="1:122" ht="18" customHeight="1">
      <c r="A17" s="4" t="s">
        <v>120</v>
      </c>
      <c r="B17" s="14">
        <f>IFERROR(VLOOKUP(A17,PRICELIST!$A$3:$D$138,4,0),"-")</f>
        <v>137.57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9">
        <f t="shared" si="3"/>
        <v>0</v>
      </c>
      <c r="CZ17" s="19">
        <f t="shared" si="3"/>
        <v>0</v>
      </c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</row>
    <row r="18" spans="1:122" ht="18" customHeight="1">
      <c r="A18" s="32" t="s">
        <v>124</v>
      </c>
      <c r="B18" s="14">
        <f>IFERROR(VLOOKUP(A18,PRICELIST!$A$3:$D$138,4,0),"-")</f>
        <v>647.36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9">
        <f t="shared" si="3"/>
        <v>0</v>
      </c>
      <c r="CZ18" s="19">
        <f t="shared" si="3"/>
        <v>0</v>
      </c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</row>
    <row r="19" spans="1:122" ht="18" customHeight="1">
      <c r="A19" s="4" t="s">
        <v>79</v>
      </c>
      <c r="B19" s="14">
        <f>IFERROR(VLOOKUP(A19,PRICELIST!$A$3:$D$138,4,0),"-")</f>
        <v>110.25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9">
        <f t="shared" si="3"/>
        <v>0</v>
      </c>
      <c r="CZ19" s="19">
        <f t="shared" si="3"/>
        <v>0</v>
      </c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</row>
    <row r="20" spans="1:122" ht="18" customHeight="1">
      <c r="A20" s="33" t="s">
        <v>125</v>
      </c>
      <c r="B20" s="15"/>
      <c r="C20" s="11">
        <f t="shared" ref="C20:BN20" si="4">SUMPRODUCT($B11:$B19,C11:C19)</f>
        <v>0</v>
      </c>
      <c r="D20" s="11">
        <f t="shared" si="4"/>
        <v>0</v>
      </c>
      <c r="E20" s="11">
        <f t="shared" si="4"/>
        <v>0</v>
      </c>
      <c r="F20" s="11">
        <f t="shared" si="4"/>
        <v>0</v>
      </c>
      <c r="G20" s="11">
        <f t="shared" si="4"/>
        <v>0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0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0</v>
      </c>
      <c r="X20" s="11">
        <f t="shared" si="4"/>
        <v>0</v>
      </c>
      <c r="Y20" s="11">
        <f t="shared" si="4"/>
        <v>0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  <c r="AI20" s="11">
        <f t="shared" si="4"/>
        <v>0</v>
      </c>
      <c r="AJ20" s="11">
        <f t="shared" si="4"/>
        <v>0</v>
      </c>
      <c r="AK20" s="11">
        <f t="shared" si="4"/>
        <v>0</v>
      </c>
      <c r="AL20" s="11">
        <f t="shared" si="4"/>
        <v>0</v>
      </c>
      <c r="AM20" s="11">
        <f t="shared" si="4"/>
        <v>0</v>
      </c>
      <c r="AN20" s="11">
        <f t="shared" si="4"/>
        <v>0</v>
      </c>
      <c r="AO20" s="11">
        <f t="shared" si="4"/>
        <v>0</v>
      </c>
      <c r="AP20" s="11">
        <f t="shared" si="4"/>
        <v>0</v>
      </c>
      <c r="AQ20" s="11">
        <f t="shared" si="4"/>
        <v>0</v>
      </c>
      <c r="AR20" s="11">
        <f t="shared" si="4"/>
        <v>0</v>
      </c>
      <c r="AS20" s="11">
        <f t="shared" si="4"/>
        <v>0</v>
      </c>
      <c r="AT20" s="11">
        <f t="shared" si="4"/>
        <v>0</v>
      </c>
      <c r="AU20" s="11">
        <f t="shared" si="4"/>
        <v>0</v>
      </c>
      <c r="AV20" s="11">
        <f t="shared" si="4"/>
        <v>0</v>
      </c>
      <c r="AW20" s="11">
        <f t="shared" si="4"/>
        <v>0</v>
      </c>
      <c r="AX20" s="11">
        <f t="shared" si="4"/>
        <v>0</v>
      </c>
      <c r="AY20" s="11">
        <f t="shared" si="4"/>
        <v>0</v>
      </c>
      <c r="AZ20" s="11">
        <f t="shared" si="4"/>
        <v>0</v>
      </c>
      <c r="BA20" s="11">
        <f t="shared" si="4"/>
        <v>0</v>
      </c>
      <c r="BB20" s="11">
        <f t="shared" si="4"/>
        <v>0</v>
      </c>
      <c r="BC20" s="11">
        <f t="shared" si="4"/>
        <v>0</v>
      </c>
      <c r="BD20" s="11">
        <f t="shared" si="4"/>
        <v>0</v>
      </c>
      <c r="BE20" s="11">
        <f t="shared" si="4"/>
        <v>0</v>
      </c>
      <c r="BF20" s="11">
        <f t="shared" si="4"/>
        <v>0</v>
      </c>
      <c r="BG20" s="11">
        <f t="shared" si="4"/>
        <v>0</v>
      </c>
      <c r="BH20" s="11">
        <f t="shared" si="4"/>
        <v>0</v>
      </c>
      <c r="BI20" s="11">
        <f t="shared" si="4"/>
        <v>0</v>
      </c>
      <c r="BJ20" s="11">
        <f t="shared" si="4"/>
        <v>0</v>
      </c>
      <c r="BK20" s="11">
        <f t="shared" si="4"/>
        <v>0</v>
      </c>
      <c r="BL20" s="11">
        <f t="shared" si="4"/>
        <v>0</v>
      </c>
      <c r="BM20" s="11">
        <f t="shared" si="4"/>
        <v>0</v>
      </c>
      <c r="BN20" s="11">
        <f t="shared" si="4"/>
        <v>0</v>
      </c>
      <c r="BO20" s="11">
        <f t="shared" ref="BO20:CZ20" si="5">SUMPRODUCT($B11:$B19,BO11:BO19)</f>
        <v>0</v>
      </c>
      <c r="BP20" s="11">
        <f t="shared" si="5"/>
        <v>0</v>
      </c>
      <c r="BQ20" s="11">
        <f t="shared" si="5"/>
        <v>0</v>
      </c>
      <c r="BR20" s="11">
        <f t="shared" si="5"/>
        <v>0</v>
      </c>
      <c r="BS20" s="11">
        <f t="shared" si="5"/>
        <v>0</v>
      </c>
      <c r="BT20" s="11">
        <f t="shared" si="5"/>
        <v>0</v>
      </c>
      <c r="BU20" s="11">
        <f t="shared" si="5"/>
        <v>0</v>
      </c>
      <c r="BV20" s="11">
        <f t="shared" si="5"/>
        <v>0</v>
      </c>
      <c r="BW20" s="11">
        <f t="shared" si="5"/>
        <v>0</v>
      </c>
      <c r="BX20" s="11">
        <f t="shared" si="5"/>
        <v>0</v>
      </c>
      <c r="BY20" s="11">
        <f t="shared" si="5"/>
        <v>0</v>
      </c>
      <c r="BZ20" s="11">
        <f t="shared" si="5"/>
        <v>0</v>
      </c>
      <c r="CA20" s="11">
        <f t="shared" si="5"/>
        <v>0</v>
      </c>
      <c r="CB20" s="11">
        <f t="shared" si="5"/>
        <v>0</v>
      </c>
      <c r="CC20" s="11">
        <f t="shared" si="5"/>
        <v>0</v>
      </c>
      <c r="CD20" s="11">
        <f t="shared" si="5"/>
        <v>0</v>
      </c>
      <c r="CE20" s="11">
        <f t="shared" si="5"/>
        <v>0</v>
      </c>
      <c r="CF20" s="11">
        <f t="shared" si="5"/>
        <v>0</v>
      </c>
      <c r="CG20" s="11">
        <f t="shared" si="5"/>
        <v>0</v>
      </c>
      <c r="CH20" s="11">
        <f t="shared" si="5"/>
        <v>0</v>
      </c>
      <c r="CI20" s="11">
        <f t="shared" si="5"/>
        <v>0</v>
      </c>
      <c r="CJ20" s="11">
        <f t="shared" si="5"/>
        <v>0</v>
      </c>
      <c r="CK20" s="11">
        <f t="shared" si="5"/>
        <v>0</v>
      </c>
      <c r="CL20" s="11">
        <f t="shared" si="5"/>
        <v>0</v>
      </c>
      <c r="CM20" s="11">
        <f t="shared" si="5"/>
        <v>0</v>
      </c>
      <c r="CN20" s="11">
        <f t="shared" si="5"/>
        <v>0</v>
      </c>
      <c r="CO20" s="11">
        <f t="shared" si="5"/>
        <v>0</v>
      </c>
      <c r="CP20" s="11">
        <f t="shared" si="5"/>
        <v>0</v>
      </c>
      <c r="CQ20" s="11">
        <f t="shared" si="5"/>
        <v>0</v>
      </c>
      <c r="CR20" s="11">
        <f t="shared" si="5"/>
        <v>0</v>
      </c>
      <c r="CS20" s="11">
        <f t="shared" si="5"/>
        <v>0</v>
      </c>
      <c r="CT20" s="11">
        <f t="shared" si="5"/>
        <v>0</v>
      </c>
      <c r="CU20" s="11">
        <f t="shared" si="5"/>
        <v>0</v>
      </c>
      <c r="CV20" s="11">
        <f t="shared" si="5"/>
        <v>0</v>
      </c>
      <c r="CW20" s="11">
        <f t="shared" si="5"/>
        <v>0</v>
      </c>
      <c r="CX20" s="11">
        <f t="shared" si="5"/>
        <v>0</v>
      </c>
      <c r="CY20" s="11">
        <f t="shared" si="5"/>
        <v>0</v>
      </c>
      <c r="CZ20" s="11">
        <f t="shared" si="5"/>
        <v>0</v>
      </c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</row>
    <row r="21" spans="1:122" ht="18" customHeight="1">
      <c r="A21" s="13" t="s">
        <v>80</v>
      </c>
      <c r="B21" s="14">
        <f>IFERROR(VLOOKUP(A21,PRICELIST!$A$3:$D$138,4,0),"-")</f>
        <v>128.88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9">
        <f t="shared" ref="CY21:CZ23" si="6">C21+E21+G21+I21+K21+M21+O21+Q21+S21+U21+W21+Y21+AA21+AC21+AE21+AG21+AI21+AK21+AM21+AO21+AQ21+AS21+AU21+AW21+AY21+BA21+BC21+BE21+BG21+BI21+BK21+BM21+BO21+BQ21+BS21+BU21+BW21+BY21+CA21+CC21+CE21+CG21+CI21+CK21+CM21+CO21+CQ21+CS21+CU21+CW21</f>
        <v>0</v>
      </c>
      <c r="CZ21" s="19">
        <f t="shared" si="6"/>
        <v>0</v>
      </c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</row>
    <row r="22" spans="1:122" ht="18" customHeight="1">
      <c r="A22" s="13" t="s">
        <v>10</v>
      </c>
      <c r="B22" s="14">
        <f>IFERROR(VLOOKUP(A22,PRICELIST!$A$3:$D$138,4,0),"-")</f>
        <v>120.53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9">
        <f t="shared" si="6"/>
        <v>0</v>
      </c>
      <c r="CZ22" s="19">
        <f t="shared" si="6"/>
        <v>0</v>
      </c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</row>
    <row r="23" spans="1:122" ht="18" customHeight="1">
      <c r="A23" s="13" t="s">
        <v>11</v>
      </c>
      <c r="B23" s="14">
        <f>IFERROR(VLOOKUP(A23,PRICELIST!$A$3:$D$138,4,0),"-")</f>
        <v>144.29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9">
        <f t="shared" si="6"/>
        <v>0</v>
      </c>
      <c r="CZ23" s="19">
        <f t="shared" si="6"/>
        <v>0</v>
      </c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</row>
    <row r="24" spans="1:122" ht="18" customHeight="1">
      <c r="A24" s="9" t="s">
        <v>12</v>
      </c>
      <c r="B24" s="10"/>
      <c r="C24" s="11">
        <f>SUMPRODUCT($B21:$B23,C21:C23)</f>
        <v>0</v>
      </c>
      <c r="D24" s="11">
        <f t="shared" ref="D24:BO24" si="7">SUMPRODUCT($B21:$B23,D21:D23)</f>
        <v>0</v>
      </c>
      <c r="E24" s="11">
        <f t="shared" si="7"/>
        <v>0</v>
      </c>
      <c r="F24" s="11">
        <f t="shared" si="7"/>
        <v>0</v>
      </c>
      <c r="G24" s="11">
        <f t="shared" si="7"/>
        <v>0</v>
      </c>
      <c r="H24" s="11">
        <f t="shared" si="7"/>
        <v>0</v>
      </c>
      <c r="I24" s="11">
        <f t="shared" si="7"/>
        <v>0</v>
      </c>
      <c r="J24" s="11">
        <f t="shared" si="7"/>
        <v>0</v>
      </c>
      <c r="K24" s="11">
        <f t="shared" si="7"/>
        <v>0</v>
      </c>
      <c r="L24" s="11">
        <f t="shared" si="7"/>
        <v>0</v>
      </c>
      <c r="M24" s="11">
        <f t="shared" si="7"/>
        <v>0</v>
      </c>
      <c r="N24" s="11">
        <f t="shared" si="7"/>
        <v>0</v>
      </c>
      <c r="O24" s="11">
        <f t="shared" si="7"/>
        <v>0</v>
      </c>
      <c r="P24" s="11">
        <f t="shared" si="7"/>
        <v>0</v>
      </c>
      <c r="Q24" s="11">
        <f t="shared" si="7"/>
        <v>0</v>
      </c>
      <c r="R24" s="11">
        <f t="shared" si="7"/>
        <v>0</v>
      </c>
      <c r="S24" s="11">
        <f t="shared" si="7"/>
        <v>0</v>
      </c>
      <c r="T24" s="11">
        <f t="shared" si="7"/>
        <v>0</v>
      </c>
      <c r="U24" s="11">
        <f t="shared" si="7"/>
        <v>0</v>
      </c>
      <c r="V24" s="11">
        <f t="shared" si="7"/>
        <v>0</v>
      </c>
      <c r="W24" s="11">
        <f t="shared" si="7"/>
        <v>0</v>
      </c>
      <c r="X24" s="11">
        <f t="shared" si="7"/>
        <v>0</v>
      </c>
      <c r="Y24" s="11">
        <f t="shared" si="7"/>
        <v>0</v>
      </c>
      <c r="Z24" s="11">
        <f t="shared" si="7"/>
        <v>0</v>
      </c>
      <c r="AA24" s="11">
        <f t="shared" si="7"/>
        <v>0</v>
      </c>
      <c r="AB24" s="11">
        <f t="shared" si="7"/>
        <v>0</v>
      </c>
      <c r="AC24" s="11">
        <f t="shared" si="7"/>
        <v>0</v>
      </c>
      <c r="AD24" s="11">
        <f t="shared" si="7"/>
        <v>0</v>
      </c>
      <c r="AE24" s="11">
        <f t="shared" si="7"/>
        <v>0</v>
      </c>
      <c r="AF24" s="11">
        <f t="shared" si="7"/>
        <v>0</v>
      </c>
      <c r="AG24" s="11">
        <f t="shared" si="7"/>
        <v>0</v>
      </c>
      <c r="AH24" s="11">
        <f t="shared" si="7"/>
        <v>0</v>
      </c>
      <c r="AI24" s="11">
        <f t="shared" si="7"/>
        <v>0</v>
      </c>
      <c r="AJ24" s="11">
        <f t="shared" si="7"/>
        <v>0</v>
      </c>
      <c r="AK24" s="11">
        <f t="shared" si="7"/>
        <v>0</v>
      </c>
      <c r="AL24" s="11">
        <f t="shared" si="7"/>
        <v>0</v>
      </c>
      <c r="AM24" s="11">
        <f t="shared" si="7"/>
        <v>0</v>
      </c>
      <c r="AN24" s="11">
        <f t="shared" si="7"/>
        <v>0</v>
      </c>
      <c r="AO24" s="11">
        <f t="shared" si="7"/>
        <v>0</v>
      </c>
      <c r="AP24" s="11">
        <f t="shared" si="7"/>
        <v>0</v>
      </c>
      <c r="AQ24" s="11">
        <f t="shared" si="7"/>
        <v>0</v>
      </c>
      <c r="AR24" s="11">
        <f t="shared" si="7"/>
        <v>0</v>
      </c>
      <c r="AS24" s="11">
        <f t="shared" si="7"/>
        <v>0</v>
      </c>
      <c r="AT24" s="11">
        <f t="shared" si="7"/>
        <v>0</v>
      </c>
      <c r="AU24" s="11">
        <f t="shared" si="7"/>
        <v>0</v>
      </c>
      <c r="AV24" s="11">
        <f t="shared" si="7"/>
        <v>0</v>
      </c>
      <c r="AW24" s="11">
        <f t="shared" si="7"/>
        <v>0</v>
      </c>
      <c r="AX24" s="11">
        <f t="shared" si="7"/>
        <v>0</v>
      </c>
      <c r="AY24" s="11">
        <f t="shared" si="7"/>
        <v>0</v>
      </c>
      <c r="AZ24" s="11">
        <f t="shared" si="7"/>
        <v>0</v>
      </c>
      <c r="BA24" s="11">
        <f t="shared" si="7"/>
        <v>0</v>
      </c>
      <c r="BB24" s="11">
        <f t="shared" si="7"/>
        <v>0</v>
      </c>
      <c r="BC24" s="11">
        <f t="shared" si="7"/>
        <v>0</v>
      </c>
      <c r="BD24" s="11">
        <f t="shared" si="7"/>
        <v>0</v>
      </c>
      <c r="BE24" s="11">
        <f t="shared" si="7"/>
        <v>0</v>
      </c>
      <c r="BF24" s="11">
        <f t="shared" si="7"/>
        <v>0</v>
      </c>
      <c r="BG24" s="11">
        <f t="shared" si="7"/>
        <v>0</v>
      </c>
      <c r="BH24" s="11">
        <f t="shared" si="7"/>
        <v>0</v>
      </c>
      <c r="BI24" s="11">
        <f t="shared" si="7"/>
        <v>0</v>
      </c>
      <c r="BJ24" s="11">
        <f t="shared" si="7"/>
        <v>0</v>
      </c>
      <c r="BK24" s="11">
        <f t="shared" si="7"/>
        <v>0</v>
      </c>
      <c r="BL24" s="11">
        <f t="shared" si="7"/>
        <v>0</v>
      </c>
      <c r="BM24" s="11">
        <f t="shared" si="7"/>
        <v>0</v>
      </c>
      <c r="BN24" s="11">
        <f t="shared" si="7"/>
        <v>0</v>
      </c>
      <c r="BO24" s="11">
        <f t="shared" si="7"/>
        <v>0</v>
      </c>
      <c r="BP24" s="11">
        <f t="shared" ref="BP24:CZ24" si="8">SUMPRODUCT($B21:$B23,BP21:BP23)</f>
        <v>0</v>
      </c>
      <c r="BQ24" s="11">
        <f t="shared" si="8"/>
        <v>0</v>
      </c>
      <c r="BR24" s="11">
        <f t="shared" si="8"/>
        <v>0</v>
      </c>
      <c r="BS24" s="11">
        <f t="shared" si="8"/>
        <v>0</v>
      </c>
      <c r="BT24" s="11">
        <f t="shared" si="8"/>
        <v>0</v>
      </c>
      <c r="BU24" s="11">
        <f t="shared" si="8"/>
        <v>0</v>
      </c>
      <c r="BV24" s="11">
        <f t="shared" si="8"/>
        <v>0</v>
      </c>
      <c r="BW24" s="11">
        <f t="shared" si="8"/>
        <v>0</v>
      </c>
      <c r="BX24" s="11">
        <f t="shared" si="8"/>
        <v>0</v>
      </c>
      <c r="BY24" s="11">
        <f t="shared" si="8"/>
        <v>0</v>
      </c>
      <c r="BZ24" s="11">
        <f t="shared" si="8"/>
        <v>0</v>
      </c>
      <c r="CA24" s="11">
        <f t="shared" si="8"/>
        <v>0</v>
      </c>
      <c r="CB24" s="11">
        <f t="shared" si="8"/>
        <v>0</v>
      </c>
      <c r="CC24" s="11">
        <f t="shared" si="8"/>
        <v>0</v>
      </c>
      <c r="CD24" s="11">
        <f t="shared" si="8"/>
        <v>0</v>
      </c>
      <c r="CE24" s="11">
        <f t="shared" si="8"/>
        <v>0</v>
      </c>
      <c r="CF24" s="11">
        <f t="shared" si="8"/>
        <v>0</v>
      </c>
      <c r="CG24" s="11">
        <f t="shared" si="8"/>
        <v>0</v>
      </c>
      <c r="CH24" s="11">
        <f t="shared" si="8"/>
        <v>0</v>
      </c>
      <c r="CI24" s="11">
        <f t="shared" si="8"/>
        <v>0</v>
      </c>
      <c r="CJ24" s="11">
        <f t="shared" si="8"/>
        <v>0</v>
      </c>
      <c r="CK24" s="11">
        <f t="shared" si="8"/>
        <v>0</v>
      </c>
      <c r="CL24" s="11">
        <f t="shared" si="8"/>
        <v>0</v>
      </c>
      <c r="CM24" s="11">
        <f t="shared" si="8"/>
        <v>0</v>
      </c>
      <c r="CN24" s="11">
        <f t="shared" si="8"/>
        <v>0</v>
      </c>
      <c r="CO24" s="11">
        <f t="shared" si="8"/>
        <v>0</v>
      </c>
      <c r="CP24" s="11">
        <f t="shared" si="8"/>
        <v>0</v>
      </c>
      <c r="CQ24" s="11">
        <f t="shared" si="8"/>
        <v>0</v>
      </c>
      <c r="CR24" s="11">
        <f t="shared" si="8"/>
        <v>0</v>
      </c>
      <c r="CS24" s="11">
        <f t="shared" si="8"/>
        <v>0</v>
      </c>
      <c r="CT24" s="11">
        <f t="shared" si="8"/>
        <v>0</v>
      </c>
      <c r="CU24" s="11">
        <f t="shared" si="8"/>
        <v>0</v>
      </c>
      <c r="CV24" s="11">
        <f t="shared" si="8"/>
        <v>0</v>
      </c>
      <c r="CW24" s="11">
        <f t="shared" si="8"/>
        <v>0</v>
      </c>
      <c r="CX24" s="11">
        <f t="shared" si="8"/>
        <v>0</v>
      </c>
      <c r="CY24" s="11">
        <f t="shared" si="8"/>
        <v>0</v>
      </c>
      <c r="CZ24" s="11">
        <f t="shared" si="8"/>
        <v>0</v>
      </c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</row>
    <row r="25" spans="1:122" ht="18" customHeight="1">
      <c r="A25" s="13" t="s">
        <v>13</v>
      </c>
      <c r="B25" s="14">
        <f>IFERROR(VLOOKUP(A25,PRICELIST!$A$3:$D$138,4,0),"-")</f>
        <v>110.57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9">
        <f t="shared" ref="CY25:CZ26" si="9">C25+E25+G25+I25+K25+M25+O25+Q25+S25+U25+W25+Y25+AA25+AC25+AE25+AG25+AI25+AK25+AM25+AO25+AQ25+AS25+AU25+AW25+AY25+BA25+BC25+BE25+BG25+BI25+BK25+BM25+BO25+BQ25+BS25+BU25+BW25+BY25+CA25+CC25+CE25+CG25+CI25+CK25+CM25+CO25+CQ25+CS25+CU25+CW25</f>
        <v>0</v>
      </c>
      <c r="CZ25" s="19">
        <f t="shared" si="9"/>
        <v>0</v>
      </c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</row>
    <row r="26" spans="1:122" ht="18" customHeight="1">
      <c r="A26" s="13" t="s">
        <v>14</v>
      </c>
      <c r="B26" s="14">
        <f>IFERROR(VLOOKUP(A26,PRICELIST!$A$3:$D$138,4,0),"-")</f>
        <v>184.82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9">
        <f t="shared" si="9"/>
        <v>0</v>
      </c>
      <c r="CZ26" s="19">
        <f t="shared" si="9"/>
        <v>0</v>
      </c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</row>
    <row r="27" spans="1:122" ht="18" customHeight="1">
      <c r="A27" s="9" t="s">
        <v>15</v>
      </c>
      <c r="B27" s="10"/>
      <c r="C27" s="11">
        <f>SUMPRODUCT($B25:$B26,C25:C26)</f>
        <v>0</v>
      </c>
      <c r="D27" s="11">
        <f t="shared" ref="D27:BO27" si="10">SUMPRODUCT($B25:$B26,D25:D26)</f>
        <v>0</v>
      </c>
      <c r="E27" s="11">
        <f t="shared" si="10"/>
        <v>0</v>
      </c>
      <c r="F27" s="11">
        <f t="shared" si="10"/>
        <v>0</v>
      </c>
      <c r="G27" s="11">
        <f t="shared" si="10"/>
        <v>0</v>
      </c>
      <c r="H27" s="11">
        <f t="shared" si="10"/>
        <v>0</v>
      </c>
      <c r="I27" s="11">
        <f t="shared" si="10"/>
        <v>0</v>
      </c>
      <c r="J27" s="11">
        <f t="shared" si="10"/>
        <v>0</v>
      </c>
      <c r="K27" s="11">
        <f t="shared" si="10"/>
        <v>0</v>
      </c>
      <c r="L27" s="11">
        <f t="shared" si="10"/>
        <v>0</v>
      </c>
      <c r="M27" s="11">
        <f t="shared" si="10"/>
        <v>0</v>
      </c>
      <c r="N27" s="11">
        <f t="shared" si="10"/>
        <v>0</v>
      </c>
      <c r="O27" s="11">
        <f t="shared" si="10"/>
        <v>0</v>
      </c>
      <c r="P27" s="11">
        <f t="shared" si="10"/>
        <v>0</v>
      </c>
      <c r="Q27" s="11">
        <f t="shared" si="10"/>
        <v>0</v>
      </c>
      <c r="R27" s="11">
        <f t="shared" si="10"/>
        <v>0</v>
      </c>
      <c r="S27" s="11">
        <f t="shared" si="10"/>
        <v>0</v>
      </c>
      <c r="T27" s="11">
        <f t="shared" si="10"/>
        <v>0</v>
      </c>
      <c r="U27" s="11">
        <f t="shared" si="10"/>
        <v>0</v>
      </c>
      <c r="V27" s="11">
        <f t="shared" si="10"/>
        <v>0</v>
      </c>
      <c r="W27" s="11">
        <f t="shared" si="10"/>
        <v>0</v>
      </c>
      <c r="X27" s="11">
        <f t="shared" si="10"/>
        <v>0</v>
      </c>
      <c r="Y27" s="11">
        <f t="shared" si="10"/>
        <v>0</v>
      </c>
      <c r="Z27" s="11">
        <f t="shared" si="10"/>
        <v>0</v>
      </c>
      <c r="AA27" s="11">
        <f t="shared" si="10"/>
        <v>0</v>
      </c>
      <c r="AB27" s="11">
        <f t="shared" si="10"/>
        <v>0</v>
      </c>
      <c r="AC27" s="11">
        <f t="shared" si="10"/>
        <v>0</v>
      </c>
      <c r="AD27" s="11">
        <f t="shared" si="10"/>
        <v>0</v>
      </c>
      <c r="AE27" s="11">
        <f t="shared" si="10"/>
        <v>0</v>
      </c>
      <c r="AF27" s="11">
        <f t="shared" si="10"/>
        <v>0</v>
      </c>
      <c r="AG27" s="11">
        <f t="shared" si="10"/>
        <v>0</v>
      </c>
      <c r="AH27" s="11">
        <f t="shared" si="10"/>
        <v>0</v>
      </c>
      <c r="AI27" s="11">
        <f t="shared" si="10"/>
        <v>0</v>
      </c>
      <c r="AJ27" s="11">
        <f t="shared" si="10"/>
        <v>0</v>
      </c>
      <c r="AK27" s="11">
        <f t="shared" si="10"/>
        <v>0</v>
      </c>
      <c r="AL27" s="11">
        <f t="shared" si="10"/>
        <v>0</v>
      </c>
      <c r="AM27" s="11">
        <f t="shared" si="10"/>
        <v>0</v>
      </c>
      <c r="AN27" s="11">
        <f t="shared" si="10"/>
        <v>0</v>
      </c>
      <c r="AO27" s="11">
        <f t="shared" si="10"/>
        <v>0</v>
      </c>
      <c r="AP27" s="11">
        <f t="shared" si="10"/>
        <v>0</v>
      </c>
      <c r="AQ27" s="11">
        <f t="shared" si="10"/>
        <v>0</v>
      </c>
      <c r="AR27" s="11">
        <f t="shared" si="10"/>
        <v>0</v>
      </c>
      <c r="AS27" s="11">
        <f t="shared" si="10"/>
        <v>0</v>
      </c>
      <c r="AT27" s="11">
        <f t="shared" si="10"/>
        <v>0</v>
      </c>
      <c r="AU27" s="11">
        <f t="shared" si="10"/>
        <v>0</v>
      </c>
      <c r="AV27" s="11">
        <f t="shared" si="10"/>
        <v>0</v>
      </c>
      <c r="AW27" s="11">
        <f t="shared" si="10"/>
        <v>0</v>
      </c>
      <c r="AX27" s="11">
        <f t="shared" si="10"/>
        <v>0</v>
      </c>
      <c r="AY27" s="11">
        <f t="shared" si="10"/>
        <v>0</v>
      </c>
      <c r="AZ27" s="11">
        <f t="shared" si="10"/>
        <v>0</v>
      </c>
      <c r="BA27" s="11">
        <f t="shared" si="10"/>
        <v>0</v>
      </c>
      <c r="BB27" s="11">
        <f t="shared" si="10"/>
        <v>0</v>
      </c>
      <c r="BC27" s="11">
        <f t="shared" si="10"/>
        <v>0</v>
      </c>
      <c r="BD27" s="11">
        <f t="shared" si="10"/>
        <v>0</v>
      </c>
      <c r="BE27" s="11">
        <f t="shared" si="10"/>
        <v>0</v>
      </c>
      <c r="BF27" s="11">
        <f t="shared" si="10"/>
        <v>0</v>
      </c>
      <c r="BG27" s="11">
        <f t="shared" si="10"/>
        <v>0</v>
      </c>
      <c r="BH27" s="11">
        <f t="shared" si="10"/>
        <v>0</v>
      </c>
      <c r="BI27" s="11">
        <f t="shared" si="10"/>
        <v>0</v>
      </c>
      <c r="BJ27" s="11">
        <f t="shared" si="10"/>
        <v>0</v>
      </c>
      <c r="BK27" s="11">
        <f t="shared" si="10"/>
        <v>0</v>
      </c>
      <c r="BL27" s="11">
        <f t="shared" si="10"/>
        <v>0</v>
      </c>
      <c r="BM27" s="11">
        <f t="shared" si="10"/>
        <v>0</v>
      </c>
      <c r="BN27" s="11">
        <f t="shared" si="10"/>
        <v>0</v>
      </c>
      <c r="BO27" s="11">
        <f t="shared" si="10"/>
        <v>0</v>
      </c>
      <c r="BP27" s="11">
        <f t="shared" ref="BP27:CZ27" si="11">SUMPRODUCT($B25:$B26,BP25:BP26)</f>
        <v>0</v>
      </c>
      <c r="BQ27" s="11">
        <f t="shared" si="11"/>
        <v>0</v>
      </c>
      <c r="BR27" s="11">
        <f t="shared" si="11"/>
        <v>0</v>
      </c>
      <c r="BS27" s="11">
        <f t="shared" si="11"/>
        <v>0</v>
      </c>
      <c r="BT27" s="11">
        <f t="shared" si="11"/>
        <v>0</v>
      </c>
      <c r="BU27" s="11">
        <f t="shared" si="11"/>
        <v>0</v>
      </c>
      <c r="BV27" s="11">
        <f t="shared" si="11"/>
        <v>0</v>
      </c>
      <c r="BW27" s="11">
        <f t="shared" si="11"/>
        <v>0</v>
      </c>
      <c r="BX27" s="11">
        <f t="shared" si="11"/>
        <v>0</v>
      </c>
      <c r="BY27" s="11">
        <f t="shared" si="11"/>
        <v>0</v>
      </c>
      <c r="BZ27" s="11">
        <f t="shared" si="11"/>
        <v>0</v>
      </c>
      <c r="CA27" s="11">
        <f t="shared" si="11"/>
        <v>0</v>
      </c>
      <c r="CB27" s="11">
        <f t="shared" si="11"/>
        <v>0</v>
      </c>
      <c r="CC27" s="11">
        <f t="shared" si="11"/>
        <v>0</v>
      </c>
      <c r="CD27" s="11">
        <f t="shared" si="11"/>
        <v>0</v>
      </c>
      <c r="CE27" s="11">
        <f t="shared" si="11"/>
        <v>0</v>
      </c>
      <c r="CF27" s="11">
        <f t="shared" si="11"/>
        <v>0</v>
      </c>
      <c r="CG27" s="11">
        <f t="shared" si="11"/>
        <v>0</v>
      </c>
      <c r="CH27" s="11">
        <f t="shared" si="11"/>
        <v>0</v>
      </c>
      <c r="CI27" s="11">
        <f t="shared" si="11"/>
        <v>0</v>
      </c>
      <c r="CJ27" s="11">
        <f t="shared" si="11"/>
        <v>0</v>
      </c>
      <c r="CK27" s="11">
        <f t="shared" si="11"/>
        <v>0</v>
      </c>
      <c r="CL27" s="11">
        <f t="shared" si="11"/>
        <v>0</v>
      </c>
      <c r="CM27" s="11">
        <f t="shared" si="11"/>
        <v>0</v>
      </c>
      <c r="CN27" s="11">
        <f t="shared" si="11"/>
        <v>0</v>
      </c>
      <c r="CO27" s="11">
        <f t="shared" si="11"/>
        <v>0</v>
      </c>
      <c r="CP27" s="11">
        <f t="shared" si="11"/>
        <v>0</v>
      </c>
      <c r="CQ27" s="11">
        <f t="shared" si="11"/>
        <v>0</v>
      </c>
      <c r="CR27" s="11">
        <f t="shared" si="11"/>
        <v>0</v>
      </c>
      <c r="CS27" s="11">
        <f t="shared" si="11"/>
        <v>0</v>
      </c>
      <c r="CT27" s="11">
        <f t="shared" si="11"/>
        <v>0</v>
      </c>
      <c r="CU27" s="11">
        <f t="shared" si="11"/>
        <v>0</v>
      </c>
      <c r="CV27" s="11">
        <f t="shared" si="11"/>
        <v>0</v>
      </c>
      <c r="CW27" s="11">
        <f t="shared" si="11"/>
        <v>0</v>
      </c>
      <c r="CX27" s="11">
        <f t="shared" si="11"/>
        <v>0</v>
      </c>
      <c r="CY27" s="11">
        <f t="shared" si="11"/>
        <v>0</v>
      </c>
      <c r="CZ27" s="11">
        <f t="shared" si="11"/>
        <v>0</v>
      </c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</row>
    <row r="28" spans="1:122" ht="18" customHeight="1">
      <c r="A28" s="13" t="s">
        <v>16</v>
      </c>
      <c r="B28" s="14">
        <f>IFERROR(VLOOKUP(A28,PRICELIST!$A$3:$D$138,4,0),"-")</f>
        <v>113.79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9">
        <f t="shared" ref="CY28:CZ33" si="12">C28+E28+G28+I28+K28+M28+O28+Q28+S28+U28+W28+Y28+AA28+AC28+AE28+AG28+AI28+AK28+AM28+AO28+AQ28+AS28+AU28+AW28+AY28+BA28+BC28+BE28+BG28+BI28+BK28+BM28+BO28+BQ28+BS28+BU28+BW28+BY28+CA28+CC28+CE28+CG28+CI28+CK28+CM28+CO28+CQ28+CS28+CU28+CW28</f>
        <v>0</v>
      </c>
      <c r="CZ28" s="19">
        <f t="shared" si="12"/>
        <v>0</v>
      </c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</row>
    <row r="29" spans="1:122" ht="18" customHeight="1">
      <c r="A29" s="13" t="s">
        <v>17</v>
      </c>
      <c r="B29" s="14">
        <f>IFERROR(VLOOKUP(A29,PRICELIST!$A$3:$D$138,4,0),"-")</f>
        <v>188.04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9">
        <f t="shared" si="12"/>
        <v>0</v>
      </c>
      <c r="CZ29" s="19">
        <f t="shared" si="12"/>
        <v>0</v>
      </c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</row>
    <row r="30" spans="1:122" ht="18" customHeight="1">
      <c r="A30" s="13" t="s">
        <v>18</v>
      </c>
      <c r="B30" s="14">
        <f>IFERROR(VLOOKUP(A30,PRICELIST!$A$3:$D$138,4,0),"-")</f>
        <v>68.16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9">
        <f t="shared" si="12"/>
        <v>0</v>
      </c>
      <c r="CZ30" s="19">
        <f t="shared" si="12"/>
        <v>0</v>
      </c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</row>
    <row r="31" spans="1:122" ht="18" customHeight="1">
      <c r="A31" s="13" t="s">
        <v>19</v>
      </c>
      <c r="B31" s="14">
        <f>IFERROR(VLOOKUP(A31,PRICELIST!$A$3:$D$138,4,0),"-")</f>
        <v>101.57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9">
        <f t="shared" si="12"/>
        <v>0</v>
      </c>
      <c r="CZ31" s="19">
        <f t="shared" si="12"/>
        <v>0</v>
      </c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</row>
    <row r="32" spans="1:122" ht="18" customHeight="1">
      <c r="A32" s="13" t="s">
        <v>20</v>
      </c>
      <c r="B32" s="14">
        <f>IFERROR(VLOOKUP(A32,PRICELIST!$A$3:$D$138,4,0),"-")</f>
        <v>164.73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9">
        <f t="shared" si="12"/>
        <v>0</v>
      </c>
      <c r="CZ32" s="19">
        <f t="shared" si="12"/>
        <v>0</v>
      </c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</row>
    <row r="33" spans="1:122" ht="18" customHeight="1">
      <c r="A33" s="13" t="s">
        <v>21</v>
      </c>
      <c r="B33" s="14">
        <f>IFERROR(VLOOKUP(A33,PRICELIST!$A$3:$D$138,4,0),"-")</f>
        <v>78.099999999999994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9">
        <f t="shared" si="12"/>
        <v>0</v>
      </c>
      <c r="CZ33" s="19">
        <f t="shared" si="12"/>
        <v>0</v>
      </c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</row>
    <row r="34" spans="1:122" ht="18" customHeight="1">
      <c r="A34" s="9" t="s">
        <v>22</v>
      </c>
      <c r="B34" s="10"/>
      <c r="C34" s="11">
        <f>SUMPRODUCT($B28:$B33,C28:C33)</f>
        <v>0</v>
      </c>
      <c r="D34" s="11">
        <f t="shared" ref="D34:BO34" si="13">SUMPRODUCT($B28:$B33,D28:D33)</f>
        <v>0</v>
      </c>
      <c r="E34" s="11">
        <f t="shared" si="13"/>
        <v>0</v>
      </c>
      <c r="F34" s="11">
        <f t="shared" si="13"/>
        <v>0</v>
      </c>
      <c r="G34" s="11">
        <f t="shared" si="13"/>
        <v>0</v>
      </c>
      <c r="H34" s="11">
        <f t="shared" si="13"/>
        <v>0</v>
      </c>
      <c r="I34" s="11">
        <f t="shared" si="13"/>
        <v>0</v>
      </c>
      <c r="J34" s="11">
        <f t="shared" si="13"/>
        <v>0</v>
      </c>
      <c r="K34" s="11">
        <f t="shared" si="13"/>
        <v>0</v>
      </c>
      <c r="L34" s="11">
        <f t="shared" si="13"/>
        <v>0</v>
      </c>
      <c r="M34" s="11">
        <f t="shared" si="13"/>
        <v>0</v>
      </c>
      <c r="N34" s="11">
        <f t="shared" si="13"/>
        <v>0</v>
      </c>
      <c r="O34" s="11">
        <f t="shared" si="13"/>
        <v>0</v>
      </c>
      <c r="P34" s="11">
        <f t="shared" si="13"/>
        <v>0</v>
      </c>
      <c r="Q34" s="11">
        <f t="shared" si="13"/>
        <v>0</v>
      </c>
      <c r="R34" s="11">
        <f t="shared" si="13"/>
        <v>0</v>
      </c>
      <c r="S34" s="11">
        <f t="shared" si="13"/>
        <v>0</v>
      </c>
      <c r="T34" s="11">
        <f t="shared" si="13"/>
        <v>0</v>
      </c>
      <c r="U34" s="11">
        <f t="shared" si="13"/>
        <v>0</v>
      </c>
      <c r="V34" s="11">
        <f t="shared" si="13"/>
        <v>0</v>
      </c>
      <c r="W34" s="11">
        <f t="shared" si="13"/>
        <v>0</v>
      </c>
      <c r="X34" s="11">
        <f t="shared" si="13"/>
        <v>0</v>
      </c>
      <c r="Y34" s="11">
        <f t="shared" si="13"/>
        <v>0</v>
      </c>
      <c r="Z34" s="11">
        <f t="shared" si="13"/>
        <v>0</v>
      </c>
      <c r="AA34" s="11">
        <f t="shared" si="13"/>
        <v>0</v>
      </c>
      <c r="AB34" s="11">
        <f t="shared" si="13"/>
        <v>0</v>
      </c>
      <c r="AC34" s="11">
        <f t="shared" si="13"/>
        <v>0</v>
      </c>
      <c r="AD34" s="11">
        <f t="shared" si="13"/>
        <v>0</v>
      </c>
      <c r="AE34" s="11">
        <f t="shared" si="13"/>
        <v>0</v>
      </c>
      <c r="AF34" s="11">
        <f t="shared" si="13"/>
        <v>0</v>
      </c>
      <c r="AG34" s="11">
        <f t="shared" si="13"/>
        <v>0</v>
      </c>
      <c r="AH34" s="11">
        <f t="shared" si="13"/>
        <v>0</v>
      </c>
      <c r="AI34" s="11">
        <f t="shared" si="13"/>
        <v>0</v>
      </c>
      <c r="AJ34" s="11">
        <f t="shared" si="13"/>
        <v>0</v>
      </c>
      <c r="AK34" s="11">
        <f t="shared" si="13"/>
        <v>0</v>
      </c>
      <c r="AL34" s="11">
        <f t="shared" si="13"/>
        <v>0</v>
      </c>
      <c r="AM34" s="11">
        <f t="shared" si="13"/>
        <v>0</v>
      </c>
      <c r="AN34" s="11">
        <f t="shared" si="13"/>
        <v>0</v>
      </c>
      <c r="AO34" s="11">
        <f t="shared" si="13"/>
        <v>0</v>
      </c>
      <c r="AP34" s="11">
        <f t="shared" si="13"/>
        <v>0</v>
      </c>
      <c r="AQ34" s="11">
        <f t="shared" si="13"/>
        <v>0</v>
      </c>
      <c r="AR34" s="11">
        <f t="shared" si="13"/>
        <v>0</v>
      </c>
      <c r="AS34" s="11">
        <f t="shared" si="13"/>
        <v>0</v>
      </c>
      <c r="AT34" s="11">
        <f t="shared" si="13"/>
        <v>0</v>
      </c>
      <c r="AU34" s="11">
        <f t="shared" si="13"/>
        <v>0</v>
      </c>
      <c r="AV34" s="11">
        <f t="shared" si="13"/>
        <v>0</v>
      </c>
      <c r="AW34" s="11">
        <f t="shared" si="13"/>
        <v>0</v>
      </c>
      <c r="AX34" s="11">
        <f t="shared" si="13"/>
        <v>0</v>
      </c>
      <c r="AY34" s="11">
        <f t="shared" si="13"/>
        <v>0</v>
      </c>
      <c r="AZ34" s="11">
        <f t="shared" si="13"/>
        <v>0</v>
      </c>
      <c r="BA34" s="11">
        <f t="shared" si="13"/>
        <v>0</v>
      </c>
      <c r="BB34" s="11">
        <f t="shared" si="13"/>
        <v>0</v>
      </c>
      <c r="BC34" s="11">
        <f t="shared" si="13"/>
        <v>0</v>
      </c>
      <c r="BD34" s="11">
        <f t="shared" si="13"/>
        <v>0</v>
      </c>
      <c r="BE34" s="11">
        <f t="shared" si="13"/>
        <v>0</v>
      </c>
      <c r="BF34" s="11">
        <f t="shared" si="13"/>
        <v>0</v>
      </c>
      <c r="BG34" s="11">
        <f t="shared" si="13"/>
        <v>0</v>
      </c>
      <c r="BH34" s="11">
        <f t="shared" si="13"/>
        <v>0</v>
      </c>
      <c r="BI34" s="11">
        <f t="shared" si="13"/>
        <v>0</v>
      </c>
      <c r="BJ34" s="11">
        <f t="shared" si="13"/>
        <v>0</v>
      </c>
      <c r="BK34" s="11">
        <f t="shared" si="13"/>
        <v>0</v>
      </c>
      <c r="BL34" s="11">
        <f t="shared" si="13"/>
        <v>0</v>
      </c>
      <c r="BM34" s="11">
        <f t="shared" si="13"/>
        <v>0</v>
      </c>
      <c r="BN34" s="11">
        <f t="shared" si="13"/>
        <v>0</v>
      </c>
      <c r="BO34" s="11">
        <f t="shared" si="13"/>
        <v>0</v>
      </c>
      <c r="BP34" s="11">
        <f t="shared" ref="BP34:CZ34" si="14">SUMPRODUCT($B28:$B33,BP28:BP33)</f>
        <v>0</v>
      </c>
      <c r="BQ34" s="11">
        <f t="shared" si="14"/>
        <v>0</v>
      </c>
      <c r="BR34" s="11">
        <f t="shared" si="14"/>
        <v>0</v>
      </c>
      <c r="BS34" s="11">
        <f t="shared" si="14"/>
        <v>0</v>
      </c>
      <c r="BT34" s="11">
        <f t="shared" si="14"/>
        <v>0</v>
      </c>
      <c r="BU34" s="11">
        <f t="shared" si="14"/>
        <v>0</v>
      </c>
      <c r="BV34" s="11">
        <f t="shared" si="14"/>
        <v>0</v>
      </c>
      <c r="BW34" s="11">
        <f t="shared" si="14"/>
        <v>0</v>
      </c>
      <c r="BX34" s="11">
        <f t="shared" si="14"/>
        <v>0</v>
      </c>
      <c r="BY34" s="11">
        <f t="shared" si="14"/>
        <v>0</v>
      </c>
      <c r="BZ34" s="11">
        <f t="shared" si="14"/>
        <v>0</v>
      </c>
      <c r="CA34" s="11">
        <f t="shared" si="14"/>
        <v>0</v>
      </c>
      <c r="CB34" s="11">
        <f t="shared" si="14"/>
        <v>0</v>
      </c>
      <c r="CC34" s="11">
        <f t="shared" si="14"/>
        <v>0</v>
      </c>
      <c r="CD34" s="11">
        <f t="shared" si="14"/>
        <v>0</v>
      </c>
      <c r="CE34" s="11">
        <f t="shared" si="14"/>
        <v>0</v>
      </c>
      <c r="CF34" s="11">
        <f t="shared" si="14"/>
        <v>0</v>
      </c>
      <c r="CG34" s="11">
        <f t="shared" si="14"/>
        <v>0</v>
      </c>
      <c r="CH34" s="11">
        <f t="shared" si="14"/>
        <v>0</v>
      </c>
      <c r="CI34" s="11">
        <f t="shared" si="14"/>
        <v>0</v>
      </c>
      <c r="CJ34" s="11">
        <f t="shared" si="14"/>
        <v>0</v>
      </c>
      <c r="CK34" s="11">
        <f t="shared" si="14"/>
        <v>0</v>
      </c>
      <c r="CL34" s="11">
        <f t="shared" si="14"/>
        <v>0</v>
      </c>
      <c r="CM34" s="11">
        <f t="shared" si="14"/>
        <v>0</v>
      </c>
      <c r="CN34" s="11">
        <f t="shared" si="14"/>
        <v>0</v>
      </c>
      <c r="CO34" s="11">
        <f t="shared" si="14"/>
        <v>0</v>
      </c>
      <c r="CP34" s="11">
        <f t="shared" si="14"/>
        <v>0</v>
      </c>
      <c r="CQ34" s="11">
        <f t="shared" si="14"/>
        <v>0</v>
      </c>
      <c r="CR34" s="11">
        <f t="shared" si="14"/>
        <v>0</v>
      </c>
      <c r="CS34" s="11">
        <f t="shared" si="14"/>
        <v>0</v>
      </c>
      <c r="CT34" s="11">
        <f t="shared" si="14"/>
        <v>0</v>
      </c>
      <c r="CU34" s="11">
        <f t="shared" si="14"/>
        <v>0</v>
      </c>
      <c r="CV34" s="11">
        <f t="shared" si="14"/>
        <v>0</v>
      </c>
      <c r="CW34" s="11">
        <f t="shared" si="14"/>
        <v>0</v>
      </c>
      <c r="CX34" s="11">
        <f t="shared" si="14"/>
        <v>0</v>
      </c>
      <c r="CY34" s="11">
        <f t="shared" si="14"/>
        <v>0</v>
      </c>
      <c r="CZ34" s="11">
        <f t="shared" si="14"/>
        <v>0</v>
      </c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</row>
    <row r="35" spans="1:122" ht="18" customHeight="1">
      <c r="A35" s="13" t="s">
        <v>23</v>
      </c>
      <c r="B35" s="14">
        <f>IFERROR(VLOOKUP(A35,PRICELIST!$A$3:$D$138,4,0),"-")</f>
        <v>60.11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9">
        <f t="shared" ref="CY35:CZ36" si="15">C35+E35+G35+I35+K35+M35+O35+Q35+S35+U35+W35+Y35+AA35+AC35+AE35+AG35+AI35+AK35+AM35+AO35+AQ35+AS35+AU35+AW35+AY35+BA35+BC35+BE35+BG35+BI35+BK35+BM35+BO35+BQ35+BS35+BU35+BW35+BY35+CA35+CC35+CE35+CG35+CI35+CK35+CM35+CO35+CQ35+CS35+CU35+CW35</f>
        <v>0</v>
      </c>
      <c r="CZ35" s="19">
        <f t="shared" si="15"/>
        <v>0</v>
      </c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</row>
    <row r="36" spans="1:122" ht="18" customHeight="1">
      <c r="A36" s="13" t="s">
        <v>24</v>
      </c>
      <c r="B36" s="14">
        <f>IFERROR(VLOOKUP(A36,PRICELIST!$A$3:$D$138,4,0),"-")</f>
        <v>91.2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9">
        <f t="shared" si="15"/>
        <v>0</v>
      </c>
      <c r="CZ36" s="19">
        <f t="shared" si="15"/>
        <v>0</v>
      </c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</row>
    <row r="37" spans="1:122" ht="18" customHeight="1">
      <c r="A37" s="9" t="s">
        <v>25</v>
      </c>
      <c r="B37" s="10"/>
      <c r="C37" s="11">
        <f>SUMPRODUCT($B35:$B36,C35:C36)</f>
        <v>0</v>
      </c>
      <c r="D37" s="11">
        <f t="shared" ref="D37:BO37" si="16">SUMPRODUCT($B35:$B36,D35:D36)</f>
        <v>0</v>
      </c>
      <c r="E37" s="11">
        <f t="shared" si="16"/>
        <v>0</v>
      </c>
      <c r="F37" s="11">
        <f t="shared" si="16"/>
        <v>0</v>
      </c>
      <c r="G37" s="11">
        <f t="shared" si="16"/>
        <v>0</v>
      </c>
      <c r="H37" s="11">
        <f t="shared" si="16"/>
        <v>0</v>
      </c>
      <c r="I37" s="11">
        <f t="shared" si="16"/>
        <v>0</v>
      </c>
      <c r="J37" s="11">
        <f t="shared" si="16"/>
        <v>0</v>
      </c>
      <c r="K37" s="11">
        <f t="shared" si="16"/>
        <v>0</v>
      </c>
      <c r="L37" s="11">
        <f t="shared" si="16"/>
        <v>0</v>
      </c>
      <c r="M37" s="11">
        <f t="shared" si="16"/>
        <v>0</v>
      </c>
      <c r="N37" s="11">
        <f t="shared" si="16"/>
        <v>0</v>
      </c>
      <c r="O37" s="11">
        <f t="shared" si="16"/>
        <v>0</v>
      </c>
      <c r="P37" s="11">
        <f t="shared" si="16"/>
        <v>0</v>
      </c>
      <c r="Q37" s="11">
        <f t="shared" si="16"/>
        <v>0</v>
      </c>
      <c r="R37" s="11">
        <f t="shared" si="16"/>
        <v>0</v>
      </c>
      <c r="S37" s="11">
        <f t="shared" si="16"/>
        <v>0</v>
      </c>
      <c r="T37" s="11">
        <f t="shared" si="16"/>
        <v>0</v>
      </c>
      <c r="U37" s="11">
        <f t="shared" si="16"/>
        <v>0</v>
      </c>
      <c r="V37" s="11">
        <f t="shared" si="16"/>
        <v>0</v>
      </c>
      <c r="W37" s="11">
        <f t="shared" si="16"/>
        <v>0</v>
      </c>
      <c r="X37" s="11">
        <f t="shared" si="16"/>
        <v>0</v>
      </c>
      <c r="Y37" s="11">
        <f t="shared" si="16"/>
        <v>0</v>
      </c>
      <c r="Z37" s="11">
        <f t="shared" si="16"/>
        <v>0</v>
      </c>
      <c r="AA37" s="11">
        <f t="shared" si="16"/>
        <v>0</v>
      </c>
      <c r="AB37" s="11">
        <f t="shared" si="16"/>
        <v>0</v>
      </c>
      <c r="AC37" s="11">
        <f t="shared" si="16"/>
        <v>0</v>
      </c>
      <c r="AD37" s="11">
        <f t="shared" si="16"/>
        <v>0</v>
      </c>
      <c r="AE37" s="11">
        <f t="shared" si="16"/>
        <v>0</v>
      </c>
      <c r="AF37" s="11">
        <f t="shared" si="16"/>
        <v>0</v>
      </c>
      <c r="AG37" s="11">
        <f t="shared" si="16"/>
        <v>0</v>
      </c>
      <c r="AH37" s="11">
        <f t="shared" si="16"/>
        <v>0</v>
      </c>
      <c r="AI37" s="11">
        <f t="shared" si="16"/>
        <v>0</v>
      </c>
      <c r="AJ37" s="11">
        <f t="shared" si="16"/>
        <v>0</v>
      </c>
      <c r="AK37" s="11">
        <f t="shared" si="16"/>
        <v>0</v>
      </c>
      <c r="AL37" s="11">
        <f t="shared" si="16"/>
        <v>0</v>
      </c>
      <c r="AM37" s="11">
        <f t="shared" si="16"/>
        <v>0</v>
      </c>
      <c r="AN37" s="11">
        <f t="shared" si="16"/>
        <v>0</v>
      </c>
      <c r="AO37" s="11">
        <f t="shared" si="16"/>
        <v>0</v>
      </c>
      <c r="AP37" s="11">
        <f t="shared" si="16"/>
        <v>0</v>
      </c>
      <c r="AQ37" s="11">
        <f t="shared" si="16"/>
        <v>0</v>
      </c>
      <c r="AR37" s="11">
        <f t="shared" si="16"/>
        <v>0</v>
      </c>
      <c r="AS37" s="11">
        <f t="shared" si="16"/>
        <v>0</v>
      </c>
      <c r="AT37" s="11">
        <f t="shared" si="16"/>
        <v>0</v>
      </c>
      <c r="AU37" s="11">
        <f t="shared" si="16"/>
        <v>0</v>
      </c>
      <c r="AV37" s="11">
        <f t="shared" si="16"/>
        <v>0</v>
      </c>
      <c r="AW37" s="11">
        <f t="shared" si="16"/>
        <v>0</v>
      </c>
      <c r="AX37" s="11">
        <f t="shared" si="16"/>
        <v>0</v>
      </c>
      <c r="AY37" s="11">
        <f t="shared" si="16"/>
        <v>0</v>
      </c>
      <c r="AZ37" s="11">
        <f t="shared" si="16"/>
        <v>0</v>
      </c>
      <c r="BA37" s="11">
        <f t="shared" si="16"/>
        <v>0</v>
      </c>
      <c r="BB37" s="11">
        <f t="shared" si="16"/>
        <v>0</v>
      </c>
      <c r="BC37" s="11">
        <f t="shared" si="16"/>
        <v>0</v>
      </c>
      <c r="BD37" s="11">
        <f t="shared" si="16"/>
        <v>0</v>
      </c>
      <c r="BE37" s="11">
        <f t="shared" si="16"/>
        <v>0</v>
      </c>
      <c r="BF37" s="11">
        <f t="shared" si="16"/>
        <v>0</v>
      </c>
      <c r="BG37" s="11">
        <f t="shared" si="16"/>
        <v>0</v>
      </c>
      <c r="BH37" s="11">
        <f t="shared" si="16"/>
        <v>0</v>
      </c>
      <c r="BI37" s="11">
        <f t="shared" si="16"/>
        <v>0</v>
      </c>
      <c r="BJ37" s="11">
        <f t="shared" si="16"/>
        <v>0</v>
      </c>
      <c r="BK37" s="11">
        <f t="shared" si="16"/>
        <v>0</v>
      </c>
      <c r="BL37" s="11">
        <f t="shared" si="16"/>
        <v>0</v>
      </c>
      <c r="BM37" s="11">
        <f t="shared" si="16"/>
        <v>0</v>
      </c>
      <c r="BN37" s="11">
        <f t="shared" si="16"/>
        <v>0</v>
      </c>
      <c r="BO37" s="11">
        <f t="shared" si="16"/>
        <v>0</v>
      </c>
      <c r="BP37" s="11">
        <f t="shared" ref="BP37:CZ37" si="17">SUMPRODUCT($B35:$B36,BP35:BP36)</f>
        <v>0</v>
      </c>
      <c r="BQ37" s="11">
        <f t="shared" si="17"/>
        <v>0</v>
      </c>
      <c r="BR37" s="11">
        <f t="shared" si="17"/>
        <v>0</v>
      </c>
      <c r="BS37" s="11">
        <f t="shared" si="17"/>
        <v>0</v>
      </c>
      <c r="BT37" s="11">
        <f t="shared" si="17"/>
        <v>0</v>
      </c>
      <c r="BU37" s="11">
        <f t="shared" si="17"/>
        <v>0</v>
      </c>
      <c r="BV37" s="11">
        <f t="shared" si="17"/>
        <v>0</v>
      </c>
      <c r="BW37" s="11">
        <f t="shared" si="17"/>
        <v>0</v>
      </c>
      <c r="BX37" s="11">
        <f t="shared" si="17"/>
        <v>0</v>
      </c>
      <c r="BY37" s="11">
        <f t="shared" si="17"/>
        <v>0</v>
      </c>
      <c r="BZ37" s="11">
        <f t="shared" si="17"/>
        <v>0</v>
      </c>
      <c r="CA37" s="11">
        <f t="shared" si="17"/>
        <v>0</v>
      </c>
      <c r="CB37" s="11">
        <f t="shared" si="17"/>
        <v>0</v>
      </c>
      <c r="CC37" s="11">
        <f t="shared" si="17"/>
        <v>0</v>
      </c>
      <c r="CD37" s="11">
        <f t="shared" si="17"/>
        <v>0</v>
      </c>
      <c r="CE37" s="11">
        <f t="shared" si="17"/>
        <v>0</v>
      </c>
      <c r="CF37" s="11">
        <f t="shared" si="17"/>
        <v>0</v>
      </c>
      <c r="CG37" s="11">
        <f t="shared" si="17"/>
        <v>0</v>
      </c>
      <c r="CH37" s="11">
        <f t="shared" si="17"/>
        <v>0</v>
      </c>
      <c r="CI37" s="11">
        <f t="shared" si="17"/>
        <v>0</v>
      </c>
      <c r="CJ37" s="11">
        <f t="shared" si="17"/>
        <v>0</v>
      </c>
      <c r="CK37" s="11">
        <f t="shared" si="17"/>
        <v>0</v>
      </c>
      <c r="CL37" s="11">
        <f t="shared" si="17"/>
        <v>0</v>
      </c>
      <c r="CM37" s="11">
        <f t="shared" si="17"/>
        <v>0</v>
      </c>
      <c r="CN37" s="11">
        <f t="shared" si="17"/>
        <v>0</v>
      </c>
      <c r="CO37" s="11">
        <f t="shared" si="17"/>
        <v>0</v>
      </c>
      <c r="CP37" s="11">
        <f t="shared" si="17"/>
        <v>0</v>
      </c>
      <c r="CQ37" s="11">
        <f t="shared" si="17"/>
        <v>0</v>
      </c>
      <c r="CR37" s="11">
        <f t="shared" si="17"/>
        <v>0</v>
      </c>
      <c r="CS37" s="11">
        <f t="shared" si="17"/>
        <v>0</v>
      </c>
      <c r="CT37" s="11">
        <f t="shared" si="17"/>
        <v>0</v>
      </c>
      <c r="CU37" s="11">
        <f t="shared" si="17"/>
        <v>0</v>
      </c>
      <c r="CV37" s="11">
        <f t="shared" si="17"/>
        <v>0</v>
      </c>
      <c r="CW37" s="11">
        <f t="shared" si="17"/>
        <v>0</v>
      </c>
      <c r="CX37" s="11">
        <f t="shared" si="17"/>
        <v>0</v>
      </c>
      <c r="CY37" s="11">
        <f t="shared" si="17"/>
        <v>0</v>
      </c>
      <c r="CZ37" s="11">
        <f t="shared" si="17"/>
        <v>0</v>
      </c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</row>
    <row r="38" spans="1:122" ht="18" customHeight="1">
      <c r="A38" s="13" t="s">
        <v>26</v>
      </c>
      <c r="B38" s="14">
        <f>IFERROR(VLOOKUP(A38,PRICELIST!$A$3:$D$138,4,0),"-")</f>
        <v>159.75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9">
        <f t="shared" ref="CY38:CZ39" si="18">C38+E38+G38+I38+K38+M38+O38+Q38+S38+U38+W38+Y38+AA38+AC38+AE38+AG38+AI38+AK38+AM38+AO38+AQ38+AS38+AU38+AW38+AY38+BA38+BC38+BE38+BG38+BI38+BK38+BM38+BO38+BQ38+BS38+BU38+BW38+BY38+CA38+CC38+CE38+CG38+CI38+CK38+CM38+CO38+CQ38+CS38+CU38+CW38</f>
        <v>0</v>
      </c>
      <c r="CZ38" s="19">
        <f t="shared" si="18"/>
        <v>0</v>
      </c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</row>
    <row r="39" spans="1:122" ht="18" customHeight="1">
      <c r="A39" s="13" t="s">
        <v>27</v>
      </c>
      <c r="B39" s="14">
        <f>IFERROR(VLOOKUP(A39,PRICELIST!$A$3:$D$138,4,0),"-")</f>
        <v>83.59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9">
        <f t="shared" si="18"/>
        <v>0</v>
      </c>
      <c r="CZ39" s="19">
        <f t="shared" si="18"/>
        <v>0</v>
      </c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</row>
    <row r="40" spans="1:122" ht="18" customHeight="1">
      <c r="A40" s="9" t="s">
        <v>28</v>
      </c>
      <c r="B40" s="10"/>
      <c r="C40" s="11">
        <f>SUMPRODUCT($B38:$B39,C38:C39)</f>
        <v>0</v>
      </c>
      <c r="D40" s="11">
        <f t="shared" ref="D40:BO40" si="19">SUMPRODUCT($B38:$B39,D38:D39)</f>
        <v>0</v>
      </c>
      <c r="E40" s="11">
        <f t="shared" si="19"/>
        <v>0</v>
      </c>
      <c r="F40" s="11">
        <f t="shared" si="19"/>
        <v>0</v>
      </c>
      <c r="G40" s="11">
        <f t="shared" si="19"/>
        <v>0</v>
      </c>
      <c r="H40" s="11">
        <f t="shared" si="19"/>
        <v>0</v>
      </c>
      <c r="I40" s="11">
        <f t="shared" si="19"/>
        <v>0</v>
      </c>
      <c r="J40" s="11">
        <f t="shared" si="19"/>
        <v>0</v>
      </c>
      <c r="K40" s="11">
        <f t="shared" si="19"/>
        <v>0</v>
      </c>
      <c r="L40" s="11">
        <f t="shared" si="19"/>
        <v>0</v>
      </c>
      <c r="M40" s="11">
        <f t="shared" si="19"/>
        <v>0</v>
      </c>
      <c r="N40" s="11">
        <f t="shared" si="19"/>
        <v>0</v>
      </c>
      <c r="O40" s="11">
        <f t="shared" si="19"/>
        <v>0</v>
      </c>
      <c r="P40" s="11">
        <f t="shared" si="19"/>
        <v>0</v>
      </c>
      <c r="Q40" s="11">
        <f t="shared" si="19"/>
        <v>0</v>
      </c>
      <c r="R40" s="11">
        <f t="shared" si="19"/>
        <v>0</v>
      </c>
      <c r="S40" s="11">
        <f t="shared" si="19"/>
        <v>0</v>
      </c>
      <c r="T40" s="11">
        <f t="shared" si="19"/>
        <v>0</v>
      </c>
      <c r="U40" s="11">
        <f t="shared" si="19"/>
        <v>0</v>
      </c>
      <c r="V40" s="11">
        <f t="shared" si="19"/>
        <v>0</v>
      </c>
      <c r="W40" s="11">
        <f t="shared" si="19"/>
        <v>0</v>
      </c>
      <c r="X40" s="11">
        <f t="shared" si="19"/>
        <v>0</v>
      </c>
      <c r="Y40" s="11">
        <f t="shared" si="19"/>
        <v>0</v>
      </c>
      <c r="Z40" s="11">
        <f t="shared" si="19"/>
        <v>0</v>
      </c>
      <c r="AA40" s="11">
        <f t="shared" si="19"/>
        <v>0</v>
      </c>
      <c r="AB40" s="11">
        <f t="shared" si="19"/>
        <v>0</v>
      </c>
      <c r="AC40" s="11">
        <f t="shared" si="19"/>
        <v>0</v>
      </c>
      <c r="AD40" s="11">
        <f t="shared" si="19"/>
        <v>0</v>
      </c>
      <c r="AE40" s="11">
        <f t="shared" si="19"/>
        <v>0</v>
      </c>
      <c r="AF40" s="11">
        <f t="shared" si="19"/>
        <v>0</v>
      </c>
      <c r="AG40" s="11">
        <f t="shared" si="19"/>
        <v>0</v>
      </c>
      <c r="AH40" s="11">
        <f t="shared" si="19"/>
        <v>0</v>
      </c>
      <c r="AI40" s="11">
        <f t="shared" si="19"/>
        <v>0</v>
      </c>
      <c r="AJ40" s="11">
        <f t="shared" si="19"/>
        <v>0</v>
      </c>
      <c r="AK40" s="11">
        <f t="shared" si="19"/>
        <v>0</v>
      </c>
      <c r="AL40" s="11">
        <f t="shared" si="19"/>
        <v>0</v>
      </c>
      <c r="AM40" s="11">
        <f t="shared" si="19"/>
        <v>0</v>
      </c>
      <c r="AN40" s="11">
        <f t="shared" si="19"/>
        <v>0</v>
      </c>
      <c r="AO40" s="11">
        <f t="shared" si="19"/>
        <v>0</v>
      </c>
      <c r="AP40" s="11">
        <f t="shared" si="19"/>
        <v>0</v>
      </c>
      <c r="AQ40" s="11">
        <f t="shared" si="19"/>
        <v>0</v>
      </c>
      <c r="AR40" s="11">
        <f t="shared" si="19"/>
        <v>0</v>
      </c>
      <c r="AS40" s="11">
        <f t="shared" si="19"/>
        <v>0</v>
      </c>
      <c r="AT40" s="11">
        <f t="shared" si="19"/>
        <v>0</v>
      </c>
      <c r="AU40" s="11">
        <f t="shared" si="19"/>
        <v>0</v>
      </c>
      <c r="AV40" s="11">
        <f t="shared" si="19"/>
        <v>0</v>
      </c>
      <c r="AW40" s="11">
        <f t="shared" si="19"/>
        <v>0</v>
      </c>
      <c r="AX40" s="11">
        <f t="shared" si="19"/>
        <v>0</v>
      </c>
      <c r="AY40" s="11">
        <f t="shared" si="19"/>
        <v>0</v>
      </c>
      <c r="AZ40" s="11">
        <f t="shared" si="19"/>
        <v>0</v>
      </c>
      <c r="BA40" s="11">
        <f t="shared" si="19"/>
        <v>0</v>
      </c>
      <c r="BB40" s="11">
        <f t="shared" si="19"/>
        <v>0</v>
      </c>
      <c r="BC40" s="11">
        <f t="shared" si="19"/>
        <v>0</v>
      </c>
      <c r="BD40" s="11">
        <f t="shared" si="19"/>
        <v>0</v>
      </c>
      <c r="BE40" s="11">
        <f t="shared" si="19"/>
        <v>0</v>
      </c>
      <c r="BF40" s="11">
        <f t="shared" si="19"/>
        <v>0</v>
      </c>
      <c r="BG40" s="11">
        <f t="shared" si="19"/>
        <v>0</v>
      </c>
      <c r="BH40" s="11">
        <f t="shared" si="19"/>
        <v>0</v>
      </c>
      <c r="BI40" s="11">
        <f t="shared" si="19"/>
        <v>0</v>
      </c>
      <c r="BJ40" s="11">
        <f t="shared" si="19"/>
        <v>0</v>
      </c>
      <c r="BK40" s="11">
        <f t="shared" si="19"/>
        <v>0</v>
      </c>
      <c r="BL40" s="11">
        <f t="shared" si="19"/>
        <v>0</v>
      </c>
      <c r="BM40" s="11">
        <f t="shared" si="19"/>
        <v>0</v>
      </c>
      <c r="BN40" s="11">
        <f t="shared" si="19"/>
        <v>0</v>
      </c>
      <c r="BO40" s="11">
        <f t="shared" si="19"/>
        <v>0</v>
      </c>
      <c r="BP40" s="11">
        <f t="shared" ref="BP40:CZ40" si="20">SUMPRODUCT($B38:$B39,BP38:BP39)</f>
        <v>0</v>
      </c>
      <c r="BQ40" s="11">
        <f t="shared" si="20"/>
        <v>0</v>
      </c>
      <c r="BR40" s="11">
        <f t="shared" si="20"/>
        <v>0</v>
      </c>
      <c r="BS40" s="11">
        <f t="shared" si="20"/>
        <v>0</v>
      </c>
      <c r="BT40" s="11">
        <f t="shared" si="20"/>
        <v>0</v>
      </c>
      <c r="BU40" s="11">
        <f t="shared" si="20"/>
        <v>0</v>
      </c>
      <c r="BV40" s="11">
        <f t="shared" si="20"/>
        <v>0</v>
      </c>
      <c r="BW40" s="11">
        <f t="shared" si="20"/>
        <v>0</v>
      </c>
      <c r="BX40" s="11">
        <f t="shared" si="20"/>
        <v>0</v>
      </c>
      <c r="BY40" s="11">
        <f t="shared" si="20"/>
        <v>0</v>
      </c>
      <c r="BZ40" s="11">
        <f t="shared" si="20"/>
        <v>0</v>
      </c>
      <c r="CA40" s="11">
        <f t="shared" si="20"/>
        <v>0</v>
      </c>
      <c r="CB40" s="11">
        <f t="shared" si="20"/>
        <v>0</v>
      </c>
      <c r="CC40" s="11">
        <f t="shared" si="20"/>
        <v>0</v>
      </c>
      <c r="CD40" s="11">
        <f t="shared" si="20"/>
        <v>0</v>
      </c>
      <c r="CE40" s="11">
        <f t="shared" si="20"/>
        <v>0</v>
      </c>
      <c r="CF40" s="11">
        <f t="shared" si="20"/>
        <v>0</v>
      </c>
      <c r="CG40" s="11">
        <f t="shared" si="20"/>
        <v>0</v>
      </c>
      <c r="CH40" s="11">
        <f t="shared" si="20"/>
        <v>0</v>
      </c>
      <c r="CI40" s="11">
        <f t="shared" si="20"/>
        <v>0</v>
      </c>
      <c r="CJ40" s="11">
        <f t="shared" si="20"/>
        <v>0</v>
      </c>
      <c r="CK40" s="11">
        <f t="shared" si="20"/>
        <v>0</v>
      </c>
      <c r="CL40" s="11">
        <f t="shared" si="20"/>
        <v>0</v>
      </c>
      <c r="CM40" s="11">
        <f t="shared" si="20"/>
        <v>0</v>
      </c>
      <c r="CN40" s="11">
        <f t="shared" si="20"/>
        <v>0</v>
      </c>
      <c r="CO40" s="11">
        <f t="shared" si="20"/>
        <v>0</v>
      </c>
      <c r="CP40" s="11">
        <f t="shared" si="20"/>
        <v>0</v>
      </c>
      <c r="CQ40" s="11">
        <f t="shared" si="20"/>
        <v>0</v>
      </c>
      <c r="CR40" s="11">
        <f t="shared" si="20"/>
        <v>0</v>
      </c>
      <c r="CS40" s="11">
        <f t="shared" si="20"/>
        <v>0</v>
      </c>
      <c r="CT40" s="11">
        <f t="shared" si="20"/>
        <v>0</v>
      </c>
      <c r="CU40" s="11">
        <f t="shared" si="20"/>
        <v>0</v>
      </c>
      <c r="CV40" s="11">
        <f t="shared" si="20"/>
        <v>0</v>
      </c>
      <c r="CW40" s="11">
        <f t="shared" si="20"/>
        <v>0</v>
      </c>
      <c r="CX40" s="11">
        <f t="shared" si="20"/>
        <v>0</v>
      </c>
      <c r="CY40" s="11">
        <f t="shared" si="20"/>
        <v>0</v>
      </c>
      <c r="CZ40" s="11">
        <f t="shared" si="20"/>
        <v>0</v>
      </c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</row>
    <row r="41" spans="1:122" ht="18" customHeight="1">
      <c r="A41" s="13" t="s">
        <v>29</v>
      </c>
      <c r="B41" s="14">
        <f>IFERROR(VLOOKUP(A41,PRICELIST!$A$3:$D$138,4,0),"-")</f>
        <v>78.790000000000006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9">
        <f t="shared" ref="CY41:CZ46" si="21">C41+E41+G41+I41+K41+M41+O41+Q41+S41+U41+W41+Y41+AA41+AC41+AE41+AG41+AI41+AK41+AM41+AO41+AQ41+AS41+AU41+AW41+AY41+BA41+BC41+BE41+BG41+BI41+BK41+BM41+BO41+BQ41+BS41+BU41+BW41+BY41+CA41+CC41+CE41+CG41+CI41+CK41+CM41+CO41+CQ41+CS41+CU41+CW41</f>
        <v>0</v>
      </c>
      <c r="CZ41" s="19">
        <f t="shared" si="21"/>
        <v>0</v>
      </c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</row>
    <row r="42" spans="1:122" ht="18" customHeight="1">
      <c r="A42" s="13" t="s">
        <v>30</v>
      </c>
      <c r="B42" s="14">
        <f>IFERROR(VLOOKUP(A42,PRICELIST!$A$3:$D$138,4,0),"-")</f>
        <v>142.29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9">
        <f t="shared" si="21"/>
        <v>0</v>
      </c>
      <c r="CZ42" s="19">
        <f t="shared" si="21"/>
        <v>0</v>
      </c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</row>
    <row r="43" spans="1:122" ht="18" customHeight="1">
      <c r="A43" s="13" t="s">
        <v>31</v>
      </c>
      <c r="B43" s="14">
        <f>IFERROR(VLOOKUP(A43,PRICELIST!$A$3:$D$138,4,0),"-")</f>
        <v>35.36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9">
        <f t="shared" si="21"/>
        <v>0</v>
      </c>
      <c r="CZ43" s="19">
        <f t="shared" si="21"/>
        <v>0</v>
      </c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</row>
    <row r="44" spans="1:122" ht="18" customHeight="1">
      <c r="A44" s="13" t="s">
        <v>32</v>
      </c>
      <c r="B44" s="14">
        <f>IFERROR(VLOOKUP(A44,PRICELIST!$A$3:$D$138,4,0),"-")</f>
        <v>175.18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9">
        <f t="shared" si="21"/>
        <v>0</v>
      </c>
      <c r="CZ44" s="19">
        <f t="shared" si="21"/>
        <v>0</v>
      </c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</row>
    <row r="45" spans="1:122" ht="18" customHeight="1">
      <c r="A45" s="13" t="s">
        <v>33</v>
      </c>
      <c r="B45" s="14">
        <f>IFERROR(VLOOKUP(A45,PRICELIST!$A$3:$D$138,4,0),"-")</f>
        <v>42.72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9">
        <f t="shared" si="21"/>
        <v>0</v>
      </c>
      <c r="CZ45" s="19">
        <f t="shared" si="21"/>
        <v>0</v>
      </c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</row>
    <row r="46" spans="1:122" ht="18" customHeight="1">
      <c r="A46" s="13" t="s">
        <v>34</v>
      </c>
      <c r="B46" s="14">
        <f>IFERROR(VLOOKUP(A46,PRICELIST!$A$3:$D$138,4,0),"-")</f>
        <v>84.28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9">
        <f t="shared" si="21"/>
        <v>0</v>
      </c>
      <c r="CZ46" s="19">
        <f t="shared" si="21"/>
        <v>0</v>
      </c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</row>
    <row r="47" spans="1:122" ht="18" customHeight="1">
      <c r="A47" s="9" t="s">
        <v>35</v>
      </c>
      <c r="B47" s="10"/>
      <c r="C47" s="11">
        <f>SUMPRODUCT($B41:$B46,C41:C46)</f>
        <v>0</v>
      </c>
      <c r="D47" s="11">
        <f t="shared" ref="D47:BO47" si="22">SUMPRODUCT($B41:$B46,D41:D46)</f>
        <v>0</v>
      </c>
      <c r="E47" s="11">
        <f t="shared" si="22"/>
        <v>0</v>
      </c>
      <c r="F47" s="11">
        <f t="shared" si="22"/>
        <v>0</v>
      </c>
      <c r="G47" s="11">
        <f t="shared" si="22"/>
        <v>0</v>
      </c>
      <c r="H47" s="11">
        <f t="shared" si="22"/>
        <v>0</v>
      </c>
      <c r="I47" s="11">
        <f t="shared" si="22"/>
        <v>0</v>
      </c>
      <c r="J47" s="11">
        <f t="shared" si="22"/>
        <v>0</v>
      </c>
      <c r="K47" s="11">
        <f t="shared" si="22"/>
        <v>0</v>
      </c>
      <c r="L47" s="11">
        <f t="shared" si="22"/>
        <v>0</v>
      </c>
      <c r="M47" s="11">
        <f t="shared" si="22"/>
        <v>0</v>
      </c>
      <c r="N47" s="11">
        <f t="shared" si="22"/>
        <v>0</v>
      </c>
      <c r="O47" s="11">
        <f t="shared" si="22"/>
        <v>0</v>
      </c>
      <c r="P47" s="11">
        <f t="shared" si="22"/>
        <v>0</v>
      </c>
      <c r="Q47" s="11">
        <f t="shared" si="22"/>
        <v>0</v>
      </c>
      <c r="R47" s="11">
        <f t="shared" si="22"/>
        <v>0</v>
      </c>
      <c r="S47" s="11">
        <f t="shared" si="22"/>
        <v>0</v>
      </c>
      <c r="T47" s="11">
        <f t="shared" si="22"/>
        <v>0</v>
      </c>
      <c r="U47" s="11">
        <f t="shared" si="22"/>
        <v>0</v>
      </c>
      <c r="V47" s="11">
        <f t="shared" si="22"/>
        <v>0</v>
      </c>
      <c r="W47" s="11">
        <f t="shared" si="22"/>
        <v>0</v>
      </c>
      <c r="X47" s="11">
        <f t="shared" si="22"/>
        <v>0</v>
      </c>
      <c r="Y47" s="11">
        <f t="shared" si="22"/>
        <v>0</v>
      </c>
      <c r="Z47" s="11">
        <f t="shared" si="22"/>
        <v>0</v>
      </c>
      <c r="AA47" s="11">
        <f t="shared" si="22"/>
        <v>0</v>
      </c>
      <c r="AB47" s="11">
        <f t="shared" si="22"/>
        <v>0</v>
      </c>
      <c r="AC47" s="11">
        <f t="shared" si="22"/>
        <v>0</v>
      </c>
      <c r="AD47" s="11">
        <f t="shared" si="22"/>
        <v>0</v>
      </c>
      <c r="AE47" s="11">
        <f t="shared" si="22"/>
        <v>0</v>
      </c>
      <c r="AF47" s="11">
        <f t="shared" si="22"/>
        <v>0</v>
      </c>
      <c r="AG47" s="11">
        <f t="shared" si="22"/>
        <v>0</v>
      </c>
      <c r="AH47" s="11">
        <f t="shared" si="22"/>
        <v>0</v>
      </c>
      <c r="AI47" s="11">
        <f t="shared" si="22"/>
        <v>0</v>
      </c>
      <c r="AJ47" s="11">
        <f t="shared" si="22"/>
        <v>0</v>
      </c>
      <c r="AK47" s="11">
        <f t="shared" si="22"/>
        <v>0</v>
      </c>
      <c r="AL47" s="11">
        <f t="shared" si="22"/>
        <v>0</v>
      </c>
      <c r="AM47" s="11">
        <f t="shared" si="22"/>
        <v>0</v>
      </c>
      <c r="AN47" s="11">
        <f t="shared" si="22"/>
        <v>0</v>
      </c>
      <c r="AO47" s="11">
        <f t="shared" si="22"/>
        <v>0</v>
      </c>
      <c r="AP47" s="11">
        <f t="shared" si="22"/>
        <v>0</v>
      </c>
      <c r="AQ47" s="11">
        <f t="shared" si="22"/>
        <v>0</v>
      </c>
      <c r="AR47" s="11">
        <f t="shared" si="22"/>
        <v>0</v>
      </c>
      <c r="AS47" s="11">
        <f t="shared" si="22"/>
        <v>0</v>
      </c>
      <c r="AT47" s="11">
        <f t="shared" si="22"/>
        <v>0</v>
      </c>
      <c r="AU47" s="11">
        <f t="shared" si="22"/>
        <v>0</v>
      </c>
      <c r="AV47" s="11">
        <f t="shared" si="22"/>
        <v>0</v>
      </c>
      <c r="AW47" s="11">
        <f t="shared" si="22"/>
        <v>0</v>
      </c>
      <c r="AX47" s="11">
        <f t="shared" si="22"/>
        <v>0</v>
      </c>
      <c r="AY47" s="11">
        <f t="shared" si="22"/>
        <v>0</v>
      </c>
      <c r="AZ47" s="11">
        <f t="shared" si="22"/>
        <v>0</v>
      </c>
      <c r="BA47" s="11">
        <f t="shared" si="22"/>
        <v>0</v>
      </c>
      <c r="BB47" s="11">
        <f t="shared" si="22"/>
        <v>0</v>
      </c>
      <c r="BC47" s="11">
        <f t="shared" si="22"/>
        <v>0</v>
      </c>
      <c r="BD47" s="11">
        <f t="shared" si="22"/>
        <v>0</v>
      </c>
      <c r="BE47" s="11">
        <f t="shared" si="22"/>
        <v>0</v>
      </c>
      <c r="BF47" s="11">
        <f t="shared" si="22"/>
        <v>0</v>
      </c>
      <c r="BG47" s="11">
        <f t="shared" si="22"/>
        <v>0</v>
      </c>
      <c r="BH47" s="11">
        <f t="shared" si="22"/>
        <v>0</v>
      </c>
      <c r="BI47" s="11">
        <f t="shared" si="22"/>
        <v>0</v>
      </c>
      <c r="BJ47" s="11">
        <f t="shared" si="22"/>
        <v>0</v>
      </c>
      <c r="BK47" s="11">
        <f t="shared" si="22"/>
        <v>0</v>
      </c>
      <c r="BL47" s="11">
        <f t="shared" si="22"/>
        <v>0</v>
      </c>
      <c r="BM47" s="11">
        <f t="shared" si="22"/>
        <v>0</v>
      </c>
      <c r="BN47" s="11">
        <f t="shared" si="22"/>
        <v>0</v>
      </c>
      <c r="BO47" s="11">
        <f t="shared" si="22"/>
        <v>0</v>
      </c>
      <c r="BP47" s="11">
        <f t="shared" ref="BP47:CZ47" si="23">SUMPRODUCT($B41:$B46,BP41:BP46)</f>
        <v>0</v>
      </c>
      <c r="BQ47" s="11">
        <f t="shared" si="23"/>
        <v>0</v>
      </c>
      <c r="BR47" s="11">
        <f t="shared" si="23"/>
        <v>0</v>
      </c>
      <c r="BS47" s="11">
        <f t="shared" si="23"/>
        <v>0</v>
      </c>
      <c r="BT47" s="11">
        <f t="shared" si="23"/>
        <v>0</v>
      </c>
      <c r="BU47" s="11">
        <f t="shared" si="23"/>
        <v>0</v>
      </c>
      <c r="BV47" s="11">
        <f t="shared" si="23"/>
        <v>0</v>
      </c>
      <c r="BW47" s="11">
        <f t="shared" si="23"/>
        <v>0</v>
      </c>
      <c r="BX47" s="11">
        <f t="shared" si="23"/>
        <v>0</v>
      </c>
      <c r="BY47" s="11">
        <f t="shared" si="23"/>
        <v>0</v>
      </c>
      <c r="BZ47" s="11">
        <f t="shared" si="23"/>
        <v>0</v>
      </c>
      <c r="CA47" s="11">
        <f t="shared" si="23"/>
        <v>0</v>
      </c>
      <c r="CB47" s="11">
        <f t="shared" si="23"/>
        <v>0</v>
      </c>
      <c r="CC47" s="11">
        <f t="shared" si="23"/>
        <v>0</v>
      </c>
      <c r="CD47" s="11">
        <f t="shared" si="23"/>
        <v>0</v>
      </c>
      <c r="CE47" s="11">
        <f t="shared" si="23"/>
        <v>0</v>
      </c>
      <c r="CF47" s="11">
        <f t="shared" si="23"/>
        <v>0</v>
      </c>
      <c r="CG47" s="11">
        <f t="shared" si="23"/>
        <v>0</v>
      </c>
      <c r="CH47" s="11">
        <f t="shared" si="23"/>
        <v>0</v>
      </c>
      <c r="CI47" s="11">
        <f t="shared" si="23"/>
        <v>0</v>
      </c>
      <c r="CJ47" s="11">
        <f t="shared" si="23"/>
        <v>0</v>
      </c>
      <c r="CK47" s="11">
        <f t="shared" si="23"/>
        <v>0</v>
      </c>
      <c r="CL47" s="11">
        <f t="shared" si="23"/>
        <v>0</v>
      </c>
      <c r="CM47" s="11">
        <f t="shared" si="23"/>
        <v>0</v>
      </c>
      <c r="CN47" s="11">
        <f t="shared" si="23"/>
        <v>0</v>
      </c>
      <c r="CO47" s="11">
        <f t="shared" si="23"/>
        <v>0</v>
      </c>
      <c r="CP47" s="11">
        <f t="shared" si="23"/>
        <v>0</v>
      </c>
      <c r="CQ47" s="11">
        <f t="shared" si="23"/>
        <v>0</v>
      </c>
      <c r="CR47" s="11">
        <f t="shared" si="23"/>
        <v>0</v>
      </c>
      <c r="CS47" s="11">
        <f t="shared" si="23"/>
        <v>0</v>
      </c>
      <c r="CT47" s="11">
        <f t="shared" si="23"/>
        <v>0</v>
      </c>
      <c r="CU47" s="11">
        <f t="shared" si="23"/>
        <v>0</v>
      </c>
      <c r="CV47" s="11">
        <f t="shared" si="23"/>
        <v>0</v>
      </c>
      <c r="CW47" s="11">
        <f t="shared" si="23"/>
        <v>0</v>
      </c>
      <c r="CX47" s="11">
        <f t="shared" si="23"/>
        <v>0</v>
      </c>
      <c r="CY47" s="11">
        <f t="shared" si="23"/>
        <v>0</v>
      </c>
      <c r="CZ47" s="11">
        <f t="shared" si="23"/>
        <v>0</v>
      </c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</row>
    <row r="48" spans="1:122" ht="18" customHeight="1">
      <c r="A48" s="4" t="s">
        <v>81</v>
      </c>
      <c r="B48" s="14">
        <f>IFERROR(VLOOKUP(A48,PRICELIST!$A$3:$D$138,4,0),"-")</f>
        <v>201.26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9">
        <f t="shared" ref="CY48:CZ48" si="24">C48+E48+G48+I48+K48+M48+O48+Q48+S48+U48+W48+Y48+AA48+AC48+AE48+AG48+AI48+AK48+AM48+AO48+AQ48+AS48+AU48+AW48+AY48+BA48+BC48+BE48+BG48+BI48+BK48+BM48+BO48+BQ48+BS48+BU48+BW48+BY48+CA48+CC48+CE48+CG48+CI48+CK48+CM48+CO48+CQ48+CS48+CU48+CW48</f>
        <v>0</v>
      </c>
      <c r="CZ48" s="19">
        <f t="shared" si="24"/>
        <v>0</v>
      </c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</row>
    <row r="49" spans="1:122" ht="18" customHeight="1">
      <c r="A49" s="9" t="s">
        <v>77</v>
      </c>
      <c r="B49" s="15"/>
      <c r="C49" s="11">
        <f>SUMPRODUCT($B48*C48)</f>
        <v>0</v>
      </c>
      <c r="D49" s="11">
        <f t="shared" ref="D49:BO49" si="25">SUMPRODUCT($B48*D48)</f>
        <v>0</v>
      </c>
      <c r="E49" s="11">
        <f t="shared" si="25"/>
        <v>0</v>
      </c>
      <c r="F49" s="11">
        <f t="shared" si="25"/>
        <v>0</v>
      </c>
      <c r="G49" s="11">
        <f t="shared" si="25"/>
        <v>0</v>
      </c>
      <c r="H49" s="11">
        <f t="shared" si="25"/>
        <v>0</v>
      </c>
      <c r="I49" s="11">
        <f t="shared" si="25"/>
        <v>0</v>
      </c>
      <c r="J49" s="11">
        <f t="shared" si="25"/>
        <v>0</v>
      </c>
      <c r="K49" s="11">
        <f t="shared" si="25"/>
        <v>0</v>
      </c>
      <c r="L49" s="11">
        <f t="shared" si="25"/>
        <v>0</v>
      </c>
      <c r="M49" s="11">
        <f t="shared" si="25"/>
        <v>0</v>
      </c>
      <c r="N49" s="11">
        <f t="shared" si="25"/>
        <v>0</v>
      </c>
      <c r="O49" s="11">
        <f t="shared" si="25"/>
        <v>0</v>
      </c>
      <c r="P49" s="11">
        <f t="shared" si="25"/>
        <v>0</v>
      </c>
      <c r="Q49" s="11">
        <f t="shared" si="25"/>
        <v>0</v>
      </c>
      <c r="R49" s="11">
        <f t="shared" si="25"/>
        <v>0</v>
      </c>
      <c r="S49" s="11">
        <f t="shared" si="25"/>
        <v>0</v>
      </c>
      <c r="T49" s="11">
        <f t="shared" si="25"/>
        <v>0</v>
      </c>
      <c r="U49" s="11">
        <f t="shared" si="25"/>
        <v>0</v>
      </c>
      <c r="V49" s="11">
        <f t="shared" si="25"/>
        <v>0</v>
      </c>
      <c r="W49" s="11">
        <f t="shared" si="25"/>
        <v>0</v>
      </c>
      <c r="X49" s="11">
        <f t="shared" si="25"/>
        <v>0</v>
      </c>
      <c r="Y49" s="11">
        <f t="shared" si="25"/>
        <v>0</v>
      </c>
      <c r="Z49" s="11">
        <f t="shared" si="25"/>
        <v>0</v>
      </c>
      <c r="AA49" s="11">
        <f t="shared" si="25"/>
        <v>0</v>
      </c>
      <c r="AB49" s="11">
        <f t="shared" si="25"/>
        <v>0</v>
      </c>
      <c r="AC49" s="11">
        <f t="shared" si="25"/>
        <v>0</v>
      </c>
      <c r="AD49" s="11">
        <f t="shared" si="25"/>
        <v>0</v>
      </c>
      <c r="AE49" s="11">
        <f t="shared" si="25"/>
        <v>0</v>
      </c>
      <c r="AF49" s="11">
        <f t="shared" si="25"/>
        <v>0</v>
      </c>
      <c r="AG49" s="11">
        <f t="shared" si="25"/>
        <v>0</v>
      </c>
      <c r="AH49" s="11">
        <f t="shared" si="25"/>
        <v>0</v>
      </c>
      <c r="AI49" s="11">
        <f t="shared" si="25"/>
        <v>0</v>
      </c>
      <c r="AJ49" s="11">
        <f t="shared" si="25"/>
        <v>0</v>
      </c>
      <c r="AK49" s="11">
        <f t="shared" si="25"/>
        <v>0</v>
      </c>
      <c r="AL49" s="11">
        <f t="shared" si="25"/>
        <v>0</v>
      </c>
      <c r="AM49" s="11">
        <f t="shared" si="25"/>
        <v>0</v>
      </c>
      <c r="AN49" s="11">
        <f t="shared" si="25"/>
        <v>0</v>
      </c>
      <c r="AO49" s="11">
        <f t="shared" si="25"/>
        <v>0</v>
      </c>
      <c r="AP49" s="11">
        <f t="shared" si="25"/>
        <v>0</v>
      </c>
      <c r="AQ49" s="11">
        <f t="shared" si="25"/>
        <v>0</v>
      </c>
      <c r="AR49" s="11">
        <f t="shared" si="25"/>
        <v>0</v>
      </c>
      <c r="AS49" s="11">
        <f t="shared" si="25"/>
        <v>0</v>
      </c>
      <c r="AT49" s="11">
        <f t="shared" si="25"/>
        <v>0</v>
      </c>
      <c r="AU49" s="11">
        <f t="shared" si="25"/>
        <v>0</v>
      </c>
      <c r="AV49" s="11">
        <f t="shared" si="25"/>
        <v>0</v>
      </c>
      <c r="AW49" s="11">
        <f t="shared" si="25"/>
        <v>0</v>
      </c>
      <c r="AX49" s="11">
        <f t="shared" si="25"/>
        <v>0</v>
      </c>
      <c r="AY49" s="11">
        <f t="shared" si="25"/>
        <v>0</v>
      </c>
      <c r="AZ49" s="11">
        <f t="shared" si="25"/>
        <v>0</v>
      </c>
      <c r="BA49" s="11">
        <f t="shared" si="25"/>
        <v>0</v>
      </c>
      <c r="BB49" s="11">
        <f t="shared" si="25"/>
        <v>0</v>
      </c>
      <c r="BC49" s="11">
        <f t="shared" si="25"/>
        <v>0</v>
      </c>
      <c r="BD49" s="11">
        <f t="shared" si="25"/>
        <v>0</v>
      </c>
      <c r="BE49" s="11">
        <f t="shared" si="25"/>
        <v>0</v>
      </c>
      <c r="BF49" s="11">
        <f t="shared" si="25"/>
        <v>0</v>
      </c>
      <c r="BG49" s="11">
        <f t="shared" si="25"/>
        <v>0</v>
      </c>
      <c r="BH49" s="11">
        <f t="shared" si="25"/>
        <v>0</v>
      </c>
      <c r="BI49" s="11">
        <f t="shared" si="25"/>
        <v>0</v>
      </c>
      <c r="BJ49" s="11">
        <f t="shared" si="25"/>
        <v>0</v>
      </c>
      <c r="BK49" s="11">
        <f t="shared" si="25"/>
        <v>0</v>
      </c>
      <c r="BL49" s="11">
        <f t="shared" si="25"/>
        <v>0</v>
      </c>
      <c r="BM49" s="11">
        <f t="shared" si="25"/>
        <v>0</v>
      </c>
      <c r="BN49" s="11">
        <f t="shared" si="25"/>
        <v>0</v>
      </c>
      <c r="BO49" s="11">
        <f t="shared" si="25"/>
        <v>0</v>
      </c>
      <c r="BP49" s="11">
        <f t="shared" ref="BP49:CZ49" si="26">SUMPRODUCT($B48*BP48)</f>
        <v>0</v>
      </c>
      <c r="BQ49" s="11">
        <f t="shared" si="26"/>
        <v>0</v>
      </c>
      <c r="BR49" s="11">
        <f t="shared" si="26"/>
        <v>0</v>
      </c>
      <c r="BS49" s="11">
        <f t="shared" si="26"/>
        <v>0</v>
      </c>
      <c r="BT49" s="11">
        <f t="shared" si="26"/>
        <v>0</v>
      </c>
      <c r="BU49" s="11">
        <f t="shared" si="26"/>
        <v>0</v>
      </c>
      <c r="BV49" s="11">
        <f t="shared" si="26"/>
        <v>0</v>
      </c>
      <c r="BW49" s="11">
        <f t="shared" si="26"/>
        <v>0</v>
      </c>
      <c r="BX49" s="11">
        <f t="shared" si="26"/>
        <v>0</v>
      </c>
      <c r="BY49" s="11">
        <f t="shared" si="26"/>
        <v>0</v>
      </c>
      <c r="BZ49" s="11">
        <f t="shared" si="26"/>
        <v>0</v>
      </c>
      <c r="CA49" s="11">
        <f t="shared" si="26"/>
        <v>0</v>
      </c>
      <c r="CB49" s="11">
        <f t="shared" si="26"/>
        <v>0</v>
      </c>
      <c r="CC49" s="11">
        <f t="shared" si="26"/>
        <v>0</v>
      </c>
      <c r="CD49" s="11">
        <f t="shared" si="26"/>
        <v>0</v>
      </c>
      <c r="CE49" s="11">
        <f t="shared" si="26"/>
        <v>0</v>
      </c>
      <c r="CF49" s="11">
        <f t="shared" si="26"/>
        <v>0</v>
      </c>
      <c r="CG49" s="11">
        <f t="shared" si="26"/>
        <v>0</v>
      </c>
      <c r="CH49" s="11">
        <f t="shared" si="26"/>
        <v>0</v>
      </c>
      <c r="CI49" s="11">
        <f t="shared" si="26"/>
        <v>0</v>
      </c>
      <c r="CJ49" s="11">
        <f t="shared" si="26"/>
        <v>0</v>
      </c>
      <c r="CK49" s="11">
        <f t="shared" si="26"/>
        <v>0</v>
      </c>
      <c r="CL49" s="11">
        <f t="shared" si="26"/>
        <v>0</v>
      </c>
      <c r="CM49" s="11">
        <f t="shared" si="26"/>
        <v>0</v>
      </c>
      <c r="CN49" s="11">
        <f t="shared" si="26"/>
        <v>0</v>
      </c>
      <c r="CO49" s="11">
        <f t="shared" si="26"/>
        <v>0</v>
      </c>
      <c r="CP49" s="11">
        <f t="shared" si="26"/>
        <v>0</v>
      </c>
      <c r="CQ49" s="11">
        <f t="shared" si="26"/>
        <v>0</v>
      </c>
      <c r="CR49" s="11">
        <f t="shared" si="26"/>
        <v>0</v>
      </c>
      <c r="CS49" s="11">
        <f t="shared" si="26"/>
        <v>0</v>
      </c>
      <c r="CT49" s="11">
        <f t="shared" si="26"/>
        <v>0</v>
      </c>
      <c r="CU49" s="11">
        <f t="shared" si="26"/>
        <v>0</v>
      </c>
      <c r="CV49" s="11">
        <f t="shared" si="26"/>
        <v>0</v>
      </c>
      <c r="CW49" s="11">
        <f t="shared" si="26"/>
        <v>0</v>
      </c>
      <c r="CX49" s="11">
        <f t="shared" si="26"/>
        <v>0</v>
      </c>
      <c r="CY49" s="11">
        <f t="shared" si="26"/>
        <v>0</v>
      </c>
      <c r="CZ49" s="11">
        <f t="shared" si="26"/>
        <v>0</v>
      </c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</row>
    <row r="50" spans="1:122" ht="18" customHeight="1">
      <c r="A50" s="4" t="s">
        <v>82</v>
      </c>
      <c r="B50" s="14">
        <f>IFERROR(VLOOKUP(A50,PRICELIST!$A$3:$D$138,4,0),"-")</f>
        <v>170.19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9">
        <f t="shared" ref="CY50:CZ52" si="27">C50+E50+G50+I50+K50+M50+O50+Q50+S50+U50+W50+Y50+AA50+AC50+AE50+AG50+AI50+AK50+AM50+AO50+AQ50+AS50+AU50+AW50+AY50+BA50+BC50+BE50+BG50+BI50+BK50+BM50+BO50+BQ50+BS50+BU50+BW50+BY50+CA50+CC50+CE50+CG50+CI50+CK50+CM50+CO50+CQ50+CS50+CU50+CW50</f>
        <v>0</v>
      </c>
      <c r="CZ50" s="19">
        <f t="shared" si="27"/>
        <v>0</v>
      </c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</row>
    <row r="51" spans="1:122" ht="18" customHeight="1">
      <c r="A51" s="4" t="s">
        <v>83</v>
      </c>
      <c r="B51" s="14">
        <f>IFERROR(VLOOKUP(A51,PRICELIST!$A$3:$D$138,4,0),"-")</f>
        <v>209.89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9">
        <f t="shared" si="27"/>
        <v>0</v>
      </c>
      <c r="CZ51" s="19">
        <f t="shared" si="27"/>
        <v>0</v>
      </c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</row>
    <row r="52" spans="1:122" ht="18" customHeight="1">
      <c r="A52" s="4" t="s">
        <v>84</v>
      </c>
      <c r="B52" s="14">
        <f>IFERROR(VLOOKUP(A52,PRICELIST!$A$3:$D$138,4,0),"-")</f>
        <v>302.79000000000002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9">
        <f t="shared" si="27"/>
        <v>0</v>
      </c>
      <c r="CZ52" s="19">
        <f t="shared" si="27"/>
        <v>0</v>
      </c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</row>
    <row r="53" spans="1:122" ht="18" customHeight="1">
      <c r="A53" s="9" t="s">
        <v>89</v>
      </c>
      <c r="B53" s="15"/>
      <c r="C53" s="11">
        <f>SUMPRODUCT($B50:$B52,C50:C52)</f>
        <v>0</v>
      </c>
      <c r="D53" s="11">
        <f t="shared" ref="D53:BO53" si="28">SUMPRODUCT($B50:$B52,D50:D52)</f>
        <v>0</v>
      </c>
      <c r="E53" s="11">
        <f t="shared" si="28"/>
        <v>0</v>
      </c>
      <c r="F53" s="11">
        <f t="shared" si="28"/>
        <v>0</v>
      </c>
      <c r="G53" s="11">
        <f t="shared" si="28"/>
        <v>0</v>
      </c>
      <c r="H53" s="11">
        <f t="shared" si="28"/>
        <v>0</v>
      </c>
      <c r="I53" s="11">
        <f t="shared" si="28"/>
        <v>0</v>
      </c>
      <c r="J53" s="11">
        <f t="shared" si="28"/>
        <v>0</v>
      </c>
      <c r="K53" s="11">
        <f t="shared" si="28"/>
        <v>0</v>
      </c>
      <c r="L53" s="11">
        <f t="shared" si="28"/>
        <v>0</v>
      </c>
      <c r="M53" s="11">
        <f t="shared" si="28"/>
        <v>0</v>
      </c>
      <c r="N53" s="11">
        <f t="shared" si="28"/>
        <v>0</v>
      </c>
      <c r="O53" s="11">
        <f t="shared" si="28"/>
        <v>0</v>
      </c>
      <c r="P53" s="11">
        <f t="shared" si="28"/>
        <v>0</v>
      </c>
      <c r="Q53" s="11">
        <f t="shared" si="28"/>
        <v>0</v>
      </c>
      <c r="R53" s="11">
        <f t="shared" si="28"/>
        <v>0</v>
      </c>
      <c r="S53" s="11">
        <f t="shared" si="28"/>
        <v>0</v>
      </c>
      <c r="T53" s="11">
        <f t="shared" si="28"/>
        <v>0</v>
      </c>
      <c r="U53" s="11">
        <f t="shared" si="28"/>
        <v>0</v>
      </c>
      <c r="V53" s="11">
        <f t="shared" si="28"/>
        <v>0</v>
      </c>
      <c r="W53" s="11">
        <f t="shared" si="28"/>
        <v>0</v>
      </c>
      <c r="X53" s="11">
        <f t="shared" si="28"/>
        <v>0</v>
      </c>
      <c r="Y53" s="11">
        <f t="shared" si="28"/>
        <v>0</v>
      </c>
      <c r="Z53" s="11">
        <f t="shared" si="28"/>
        <v>0</v>
      </c>
      <c r="AA53" s="11">
        <f t="shared" si="28"/>
        <v>0</v>
      </c>
      <c r="AB53" s="11">
        <f t="shared" si="28"/>
        <v>0</v>
      </c>
      <c r="AC53" s="11">
        <f t="shared" si="28"/>
        <v>0</v>
      </c>
      <c r="AD53" s="11">
        <f t="shared" si="28"/>
        <v>0</v>
      </c>
      <c r="AE53" s="11">
        <f t="shared" si="28"/>
        <v>0</v>
      </c>
      <c r="AF53" s="11">
        <f t="shared" si="28"/>
        <v>0</v>
      </c>
      <c r="AG53" s="11">
        <f t="shared" si="28"/>
        <v>0</v>
      </c>
      <c r="AH53" s="11">
        <f t="shared" si="28"/>
        <v>0</v>
      </c>
      <c r="AI53" s="11">
        <f t="shared" si="28"/>
        <v>0</v>
      </c>
      <c r="AJ53" s="11">
        <f t="shared" si="28"/>
        <v>0</v>
      </c>
      <c r="AK53" s="11">
        <f t="shared" si="28"/>
        <v>0</v>
      </c>
      <c r="AL53" s="11">
        <f t="shared" si="28"/>
        <v>0</v>
      </c>
      <c r="AM53" s="11">
        <f t="shared" si="28"/>
        <v>0</v>
      </c>
      <c r="AN53" s="11">
        <f t="shared" si="28"/>
        <v>0</v>
      </c>
      <c r="AO53" s="11">
        <f t="shared" si="28"/>
        <v>0</v>
      </c>
      <c r="AP53" s="11">
        <f t="shared" si="28"/>
        <v>0</v>
      </c>
      <c r="AQ53" s="11">
        <f t="shared" si="28"/>
        <v>0</v>
      </c>
      <c r="AR53" s="11">
        <f t="shared" si="28"/>
        <v>0</v>
      </c>
      <c r="AS53" s="11">
        <f t="shared" si="28"/>
        <v>0</v>
      </c>
      <c r="AT53" s="11">
        <f t="shared" si="28"/>
        <v>0</v>
      </c>
      <c r="AU53" s="11">
        <f t="shared" si="28"/>
        <v>0</v>
      </c>
      <c r="AV53" s="11">
        <f t="shared" si="28"/>
        <v>0</v>
      </c>
      <c r="AW53" s="11">
        <f t="shared" si="28"/>
        <v>0</v>
      </c>
      <c r="AX53" s="11">
        <f t="shared" si="28"/>
        <v>0</v>
      </c>
      <c r="AY53" s="11">
        <f t="shared" si="28"/>
        <v>0</v>
      </c>
      <c r="AZ53" s="11">
        <f t="shared" si="28"/>
        <v>0</v>
      </c>
      <c r="BA53" s="11">
        <f t="shared" si="28"/>
        <v>0</v>
      </c>
      <c r="BB53" s="11">
        <f t="shared" si="28"/>
        <v>0</v>
      </c>
      <c r="BC53" s="11">
        <f t="shared" si="28"/>
        <v>0</v>
      </c>
      <c r="BD53" s="11">
        <f t="shared" si="28"/>
        <v>0</v>
      </c>
      <c r="BE53" s="11">
        <f t="shared" si="28"/>
        <v>0</v>
      </c>
      <c r="BF53" s="11">
        <f t="shared" si="28"/>
        <v>0</v>
      </c>
      <c r="BG53" s="11">
        <f t="shared" si="28"/>
        <v>0</v>
      </c>
      <c r="BH53" s="11">
        <f t="shared" si="28"/>
        <v>0</v>
      </c>
      <c r="BI53" s="11">
        <f t="shared" si="28"/>
        <v>0</v>
      </c>
      <c r="BJ53" s="11">
        <f t="shared" si="28"/>
        <v>0</v>
      </c>
      <c r="BK53" s="11">
        <f t="shared" si="28"/>
        <v>0</v>
      </c>
      <c r="BL53" s="11">
        <f t="shared" si="28"/>
        <v>0</v>
      </c>
      <c r="BM53" s="11">
        <f t="shared" si="28"/>
        <v>0</v>
      </c>
      <c r="BN53" s="11">
        <f t="shared" si="28"/>
        <v>0</v>
      </c>
      <c r="BO53" s="11">
        <f t="shared" si="28"/>
        <v>0</v>
      </c>
      <c r="BP53" s="11">
        <f t="shared" ref="BP53:CZ53" si="29">SUMPRODUCT($B50:$B52,BP50:BP52)</f>
        <v>0</v>
      </c>
      <c r="BQ53" s="11">
        <f t="shared" si="29"/>
        <v>0</v>
      </c>
      <c r="BR53" s="11">
        <f t="shared" si="29"/>
        <v>0</v>
      </c>
      <c r="BS53" s="11">
        <f t="shared" si="29"/>
        <v>0</v>
      </c>
      <c r="BT53" s="11">
        <f t="shared" si="29"/>
        <v>0</v>
      </c>
      <c r="BU53" s="11">
        <f t="shared" si="29"/>
        <v>0</v>
      </c>
      <c r="BV53" s="11">
        <f t="shared" si="29"/>
        <v>0</v>
      </c>
      <c r="BW53" s="11">
        <f t="shared" si="29"/>
        <v>0</v>
      </c>
      <c r="BX53" s="11">
        <f t="shared" si="29"/>
        <v>0</v>
      </c>
      <c r="BY53" s="11">
        <f t="shared" si="29"/>
        <v>0</v>
      </c>
      <c r="BZ53" s="11">
        <f t="shared" si="29"/>
        <v>0</v>
      </c>
      <c r="CA53" s="11">
        <f t="shared" si="29"/>
        <v>0</v>
      </c>
      <c r="CB53" s="11">
        <f t="shared" si="29"/>
        <v>0</v>
      </c>
      <c r="CC53" s="11">
        <f t="shared" si="29"/>
        <v>0</v>
      </c>
      <c r="CD53" s="11">
        <f t="shared" si="29"/>
        <v>0</v>
      </c>
      <c r="CE53" s="11">
        <f t="shared" si="29"/>
        <v>0</v>
      </c>
      <c r="CF53" s="11">
        <f t="shared" si="29"/>
        <v>0</v>
      </c>
      <c r="CG53" s="11">
        <f t="shared" si="29"/>
        <v>0</v>
      </c>
      <c r="CH53" s="11">
        <f t="shared" si="29"/>
        <v>0</v>
      </c>
      <c r="CI53" s="11">
        <f t="shared" si="29"/>
        <v>0</v>
      </c>
      <c r="CJ53" s="11">
        <f t="shared" si="29"/>
        <v>0</v>
      </c>
      <c r="CK53" s="11">
        <f t="shared" si="29"/>
        <v>0</v>
      </c>
      <c r="CL53" s="11">
        <f t="shared" si="29"/>
        <v>0</v>
      </c>
      <c r="CM53" s="11">
        <f t="shared" si="29"/>
        <v>0</v>
      </c>
      <c r="CN53" s="11">
        <f t="shared" si="29"/>
        <v>0</v>
      </c>
      <c r="CO53" s="11">
        <f t="shared" si="29"/>
        <v>0</v>
      </c>
      <c r="CP53" s="11">
        <f t="shared" si="29"/>
        <v>0</v>
      </c>
      <c r="CQ53" s="11">
        <f t="shared" si="29"/>
        <v>0</v>
      </c>
      <c r="CR53" s="11">
        <f t="shared" si="29"/>
        <v>0</v>
      </c>
      <c r="CS53" s="11">
        <f t="shared" si="29"/>
        <v>0</v>
      </c>
      <c r="CT53" s="11">
        <f t="shared" si="29"/>
        <v>0</v>
      </c>
      <c r="CU53" s="11">
        <f t="shared" si="29"/>
        <v>0</v>
      </c>
      <c r="CV53" s="11">
        <f t="shared" si="29"/>
        <v>0</v>
      </c>
      <c r="CW53" s="11">
        <f t="shared" si="29"/>
        <v>0</v>
      </c>
      <c r="CX53" s="11">
        <f t="shared" si="29"/>
        <v>0</v>
      </c>
      <c r="CY53" s="11">
        <f t="shared" si="29"/>
        <v>0</v>
      </c>
      <c r="CZ53" s="11">
        <f t="shared" si="29"/>
        <v>0</v>
      </c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</row>
    <row r="54" spans="1:122" ht="18" customHeight="1">
      <c r="A54" s="13" t="s">
        <v>36</v>
      </c>
      <c r="B54" s="14">
        <f>IFERROR(VLOOKUP(A54,PRICELIST!$A$3:$D$138,4,0),"-")</f>
        <v>508.18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9">
        <f t="shared" ref="CY54:CZ58" si="30">C54+E54+G54+I54+K54+M54+O54+Q54+S54+U54+W54+Y54+AA54+AC54+AE54+AG54+AI54+AK54+AM54+AO54+AQ54+AS54+AU54+AW54+AY54+BA54+BC54+BE54+BG54+BI54+BK54+BM54+BO54+BQ54+BS54+BU54+BW54+BY54+CA54+CC54+CE54+CG54+CI54+CK54+CM54+CO54+CQ54+CS54+CU54+CW54</f>
        <v>0</v>
      </c>
      <c r="CZ54" s="19">
        <f t="shared" si="30"/>
        <v>0</v>
      </c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</row>
    <row r="55" spans="1:122" ht="18" customHeight="1">
      <c r="A55" s="13" t="s">
        <v>37</v>
      </c>
      <c r="B55" s="14">
        <f>IFERROR(VLOOKUP(A55,PRICELIST!$A$3:$D$138,4,0),"-")</f>
        <v>115.71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9">
        <f t="shared" si="30"/>
        <v>0</v>
      </c>
      <c r="CZ55" s="19">
        <f t="shared" si="30"/>
        <v>0</v>
      </c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</row>
    <row r="56" spans="1:122" ht="18" customHeight="1">
      <c r="A56" s="13" t="s">
        <v>38</v>
      </c>
      <c r="B56" s="14">
        <f>IFERROR(VLOOKUP(A56,PRICELIST!$A$3:$D$138,4,0),"-")</f>
        <v>207.64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9">
        <f t="shared" si="30"/>
        <v>0</v>
      </c>
      <c r="CZ56" s="19">
        <f t="shared" si="30"/>
        <v>0</v>
      </c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</row>
    <row r="57" spans="1:122" ht="18" customHeight="1">
      <c r="A57" s="13" t="s">
        <v>39</v>
      </c>
      <c r="B57" s="14">
        <f>IFERROR(VLOOKUP(A57,PRICELIST!$A$3:$D$138,4,0),"-")</f>
        <v>576.96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9">
        <f t="shared" si="30"/>
        <v>0</v>
      </c>
      <c r="CZ57" s="19">
        <f t="shared" si="30"/>
        <v>0</v>
      </c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</row>
    <row r="58" spans="1:122" ht="18" customHeight="1">
      <c r="A58" s="13" t="s">
        <v>40</v>
      </c>
      <c r="B58" s="14">
        <f>IFERROR(VLOOKUP(A58,PRICELIST!$A$3:$D$138,4,0),"-")</f>
        <v>635.30999999999995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9">
        <f t="shared" si="30"/>
        <v>0</v>
      </c>
      <c r="CZ58" s="19">
        <f t="shared" si="30"/>
        <v>0</v>
      </c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</row>
    <row r="59" spans="1:122" ht="18" customHeight="1">
      <c r="A59" s="9" t="s">
        <v>41</v>
      </c>
      <c r="B59" s="10"/>
      <c r="C59" s="11">
        <f>SUMPRODUCT($B54:$B58,C54:C58)</f>
        <v>0</v>
      </c>
      <c r="D59" s="11">
        <f t="shared" ref="D59:BO59" si="31">SUMPRODUCT($B54:$B58,D54:D58)</f>
        <v>0</v>
      </c>
      <c r="E59" s="11">
        <f t="shared" si="31"/>
        <v>0</v>
      </c>
      <c r="F59" s="11">
        <f t="shared" si="31"/>
        <v>0</v>
      </c>
      <c r="G59" s="11">
        <f t="shared" si="31"/>
        <v>0</v>
      </c>
      <c r="H59" s="11">
        <f t="shared" si="31"/>
        <v>0</v>
      </c>
      <c r="I59" s="11">
        <f t="shared" si="31"/>
        <v>0</v>
      </c>
      <c r="J59" s="11">
        <f t="shared" si="31"/>
        <v>0</v>
      </c>
      <c r="K59" s="11">
        <f t="shared" si="31"/>
        <v>0</v>
      </c>
      <c r="L59" s="11">
        <f t="shared" si="31"/>
        <v>0</v>
      </c>
      <c r="M59" s="11">
        <f t="shared" si="31"/>
        <v>0</v>
      </c>
      <c r="N59" s="11">
        <f t="shared" si="31"/>
        <v>0</v>
      </c>
      <c r="O59" s="11">
        <f t="shared" si="31"/>
        <v>0</v>
      </c>
      <c r="P59" s="11">
        <f t="shared" si="31"/>
        <v>0</v>
      </c>
      <c r="Q59" s="11">
        <f t="shared" si="31"/>
        <v>0</v>
      </c>
      <c r="R59" s="11">
        <f t="shared" si="31"/>
        <v>0</v>
      </c>
      <c r="S59" s="11">
        <f t="shared" si="31"/>
        <v>0</v>
      </c>
      <c r="T59" s="11">
        <f t="shared" si="31"/>
        <v>0</v>
      </c>
      <c r="U59" s="11">
        <f t="shared" si="31"/>
        <v>0</v>
      </c>
      <c r="V59" s="11">
        <f t="shared" si="31"/>
        <v>0</v>
      </c>
      <c r="W59" s="11">
        <f t="shared" si="31"/>
        <v>0</v>
      </c>
      <c r="X59" s="11">
        <f t="shared" si="31"/>
        <v>0</v>
      </c>
      <c r="Y59" s="11">
        <f t="shared" si="31"/>
        <v>0</v>
      </c>
      <c r="Z59" s="11">
        <f t="shared" si="31"/>
        <v>0</v>
      </c>
      <c r="AA59" s="11">
        <f t="shared" si="31"/>
        <v>0</v>
      </c>
      <c r="AB59" s="11">
        <f t="shared" si="31"/>
        <v>0</v>
      </c>
      <c r="AC59" s="11">
        <f t="shared" si="31"/>
        <v>0</v>
      </c>
      <c r="AD59" s="11">
        <f t="shared" si="31"/>
        <v>0</v>
      </c>
      <c r="AE59" s="11">
        <f t="shared" si="31"/>
        <v>0</v>
      </c>
      <c r="AF59" s="11">
        <f t="shared" si="31"/>
        <v>0</v>
      </c>
      <c r="AG59" s="11">
        <f t="shared" si="31"/>
        <v>0</v>
      </c>
      <c r="AH59" s="11">
        <f t="shared" si="31"/>
        <v>0</v>
      </c>
      <c r="AI59" s="11">
        <f t="shared" si="31"/>
        <v>0</v>
      </c>
      <c r="AJ59" s="11">
        <f t="shared" si="31"/>
        <v>0</v>
      </c>
      <c r="AK59" s="11">
        <f t="shared" si="31"/>
        <v>0</v>
      </c>
      <c r="AL59" s="11">
        <f t="shared" si="31"/>
        <v>0</v>
      </c>
      <c r="AM59" s="11">
        <f t="shared" si="31"/>
        <v>0</v>
      </c>
      <c r="AN59" s="11">
        <f t="shared" si="31"/>
        <v>0</v>
      </c>
      <c r="AO59" s="11">
        <f t="shared" si="31"/>
        <v>0</v>
      </c>
      <c r="AP59" s="11">
        <f t="shared" si="31"/>
        <v>0</v>
      </c>
      <c r="AQ59" s="11">
        <f t="shared" si="31"/>
        <v>0</v>
      </c>
      <c r="AR59" s="11">
        <f t="shared" si="31"/>
        <v>0</v>
      </c>
      <c r="AS59" s="11">
        <f t="shared" si="31"/>
        <v>0</v>
      </c>
      <c r="AT59" s="11">
        <f t="shared" si="31"/>
        <v>0</v>
      </c>
      <c r="AU59" s="11">
        <f t="shared" si="31"/>
        <v>0</v>
      </c>
      <c r="AV59" s="11">
        <f t="shared" si="31"/>
        <v>0</v>
      </c>
      <c r="AW59" s="11">
        <f t="shared" si="31"/>
        <v>0</v>
      </c>
      <c r="AX59" s="11">
        <f t="shared" si="31"/>
        <v>0</v>
      </c>
      <c r="AY59" s="11">
        <f t="shared" si="31"/>
        <v>0</v>
      </c>
      <c r="AZ59" s="11">
        <f t="shared" si="31"/>
        <v>0</v>
      </c>
      <c r="BA59" s="11">
        <f t="shared" si="31"/>
        <v>0</v>
      </c>
      <c r="BB59" s="11">
        <f t="shared" si="31"/>
        <v>0</v>
      </c>
      <c r="BC59" s="11">
        <f t="shared" si="31"/>
        <v>0</v>
      </c>
      <c r="BD59" s="11">
        <f t="shared" si="31"/>
        <v>0</v>
      </c>
      <c r="BE59" s="11">
        <f t="shared" si="31"/>
        <v>0</v>
      </c>
      <c r="BF59" s="11">
        <f t="shared" si="31"/>
        <v>0</v>
      </c>
      <c r="BG59" s="11">
        <f t="shared" si="31"/>
        <v>0</v>
      </c>
      <c r="BH59" s="11">
        <f t="shared" si="31"/>
        <v>0</v>
      </c>
      <c r="BI59" s="11">
        <f t="shared" si="31"/>
        <v>0</v>
      </c>
      <c r="BJ59" s="11">
        <f t="shared" si="31"/>
        <v>0</v>
      </c>
      <c r="BK59" s="11">
        <f t="shared" si="31"/>
        <v>0</v>
      </c>
      <c r="BL59" s="11">
        <f t="shared" si="31"/>
        <v>0</v>
      </c>
      <c r="BM59" s="11">
        <f t="shared" si="31"/>
        <v>0</v>
      </c>
      <c r="BN59" s="11">
        <f t="shared" si="31"/>
        <v>0</v>
      </c>
      <c r="BO59" s="11">
        <f t="shared" si="31"/>
        <v>0</v>
      </c>
      <c r="BP59" s="11">
        <f t="shared" ref="BP59:CZ59" si="32">SUMPRODUCT($B54:$B58,BP54:BP58)</f>
        <v>0</v>
      </c>
      <c r="BQ59" s="11">
        <f t="shared" si="32"/>
        <v>0</v>
      </c>
      <c r="BR59" s="11">
        <f t="shared" si="32"/>
        <v>0</v>
      </c>
      <c r="BS59" s="11">
        <f t="shared" si="32"/>
        <v>0</v>
      </c>
      <c r="BT59" s="11">
        <f t="shared" si="32"/>
        <v>0</v>
      </c>
      <c r="BU59" s="11">
        <f t="shared" si="32"/>
        <v>0</v>
      </c>
      <c r="BV59" s="11">
        <f t="shared" si="32"/>
        <v>0</v>
      </c>
      <c r="BW59" s="11">
        <f t="shared" si="32"/>
        <v>0</v>
      </c>
      <c r="BX59" s="11">
        <f t="shared" si="32"/>
        <v>0</v>
      </c>
      <c r="BY59" s="11">
        <f t="shared" si="32"/>
        <v>0</v>
      </c>
      <c r="BZ59" s="11">
        <f t="shared" si="32"/>
        <v>0</v>
      </c>
      <c r="CA59" s="11">
        <f t="shared" si="32"/>
        <v>0</v>
      </c>
      <c r="CB59" s="11">
        <f t="shared" si="32"/>
        <v>0</v>
      </c>
      <c r="CC59" s="11">
        <f t="shared" si="32"/>
        <v>0</v>
      </c>
      <c r="CD59" s="11">
        <f t="shared" si="32"/>
        <v>0</v>
      </c>
      <c r="CE59" s="11">
        <f t="shared" si="32"/>
        <v>0</v>
      </c>
      <c r="CF59" s="11">
        <f t="shared" si="32"/>
        <v>0</v>
      </c>
      <c r="CG59" s="11">
        <f t="shared" si="32"/>
        <v>0</v>
      </c>
      <c r="CH59" s="11">
        <f t="shared" si="32"/>
        <v>0</v>
      </c>
      <c r="CI59" s="11">
        <f t="shared" si="32"/>
        <v>0</v>
      </c>
      <c r="CJ59" s="11">
        <f t="shared" si="32"/>
        <v>0</v>
      </c>
      <c r="CK59" s="11">
        <f t="shared" si="32"/>
        <v>0</v>
      </c>
      <c r="CL59" s="11">
        <f t="shared" si="32"/>
        <v>0</v>
      </c>
      <c r="CM59" s="11">
        <f t="shared" si="32"/>
        <v>0</v>
      </c>
      <c r="CN59" s="11">
        <f t="shared" si="32"/>
        <v>0</v>
      </c>
      <c r="CO59" s="11">
        <f t="shared" si="32"/>
        <v>0</v>
      </c>
      <c r="CP59" s="11">
        <f t="shared" si="32"/>
        <v>0</v>
      </c>
      <c r="CQ59" s="11">
        <f t="shared" si="32"/>
        <v>0</v>
      </c>
      <c r="CR59" s="11">
        <f t="shared" si="32"/>
        <v>0</v>
      </c>
      <c r="CS59" s="11">
        <f t="shared" si="32"/>
        <v>0</v>
      </c>
      <c r="CT59" s="11">
        <f t="shared" si="32"/>
        <v>0</v>
      </c>
      <c r="CU59" s="11">
        <f t="shared" si="32"/>
        <v>0</v>
      </c>
      <c r="CV59" s="11">
        <f t="shared" si="32"/>
        <v>0</v>
      </c>
      <c r="CW59" s="11">
        <f t="shared" si="32"/>
        <v>0</v>
      </c>
      <c r="CX59" s="11">
        <f t="shared" si="32"/>
        <v>0</v>
      </c>
      <c r="CY59" s="11">
        <f t="shared" si="32"/>
        <v>0</v>
      </c>
      <c r="CZ59" s="11">
        <f t="shared" si="32"/>
        <v>0</v>
      </c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</row>
    <row r="60" spans="1:122" ht="18" customHeight="1">
      <c r="A60" s="13" t="s">
        <v>133</v>
      </c>
      <c r="B60" s="14">
        <f>IFERROR(VLOOKUP(A60,PRICELIST!$A$3:$D$138,4,0),"-")</f>
        <v>23.41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9">
        <f t="shared" ref="CY60:CZ70" si="33">C60+E60+G60+I60+K60+M60+O60+Q60+S60+U60+W60+Y60+AA60+AC60+AE60+AG60+AI60+AK60+AM60+AO60+AQ60+AS60+AU60+AW60+AY60+BA60+BC60+BE60+BG60+BI60+BK60+BM60+BO60+BQ60+BS60+BU60+BW60+BY60+CA60+CC60+CE60+CG60+CI60+CK60+CM60+CO60+CQ60+CS60+CU60+CW60</f>
        <v>0</v>
      </c>
      <c r="CZ60" s="19">
        <f t="shared" si="33"/>
        <v>0</v>
      </c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</row>
    <row r="61" spans="1:122" ht="18" customHeight="1">
      <c r="A61" s="13" t="s">
        <v>42</v>
      </c>
      <c r="B61" s="14">
        <f>IFERROR(VLOOKUP(A61,PRICELIST!$A$3:$D$138,4,0),"-")</f>
        <v>23.57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9">
        <f t="shared" si="33"/>
        <v>0</v>
      </c>
      <c r="CZ61" s="19">
        <f t="shared" si="33"/>
        <v>0</v>
      </c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</row>
    <row r="62" spans="1:122" ht="18" customHeight="1">
      <c r="A62" s="13" t="s">
        <v>43</v>
      </c>
      <c r="B62" s="14">
        <f>IFERROR(VLOOKUP(A62,PRICELIST!$A$3:$D$138,4,0),"-")</f>
        <v>66.7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9">
        <f t="shared" si="33"/>
        <v>0</v>
      </c>
      <c r="CZ62" s="19">
        <f t="shared" si="33"/>
        <v>0</v>
      </c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</row>
    <row r="63" spans="1:122" ht="18" customHeight="1">
      <c r="A63" s="13" t="s">
        <v>44</v>
      </c>
      <c r="B63" s="14">
        <f>IFERROR(VLOOKUP(A63,PRICELIST!$A$3:$D$138,4,0),"-")</f>
        <v>67.819999999999993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9">
        <f t="shared" si="33"/>
        <v>0</v>
      </c>
      <c r="CZ63" s="19">
        <f t="shared" si="33"/>
        <v>0</v>
      </c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</row>
    <row r="64" spans="1:122" ht="18" customHeight="1">
      <c r="A64" s="13" t="s">
        <v>45</v>
      </c>
      <c r="B64" s="14">
        <f>IFERROR(VLOOKUP(A64,PRICELIST!$A$3:$D$138,4,0),"-")</f>
        <v>9.58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9">
        <f t="shared" si="33"/>
        <v>0</v>
      </c>
      <c r="CZ64" s="19">
        <f t="shared" si="33"/>
        <v>0</v>
      </c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</row>
    <row r="65" spans="1:122" ht="18" customHeight="1">
      <c r="A65" s="13" t="s">
        <v>46</v>
      </c>
      <c r="B65" s="14">
        <f>IFERROR(VLOOKUP(A65,PRICELIST!$A$3:$D$138,4,0),"-")</f>
        <v>23.41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9">
        <f t="shared" si="33"/>
        <v>0</v>
      </c>
      <c r="CZ65" s="19">
        <f t="shared" si="33"/>
        <v>0</v>
      </c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</row>
    <row r="66" spans="1:122" ht="18" customHeight="1">
      <c r="A66" s="13" t="s">
        <v>47</v>
      </c>
      <c r="B66" s="14">
        <f>IFERROR(VLOOKUP(A66,PRICELIST!$A$3:$D$138,4,0),"-")</f>
        <v>23.57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9">
        <f t="shared" si="33"/>
        <v>0</v>
      </c>
      <c r="CZ66" s="19">
        <f t="shared" si="33"/>
        <v>0</v>
      </c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</row>
    <row r="67" spans="1:122" ht="18" customHeight="1">
      <c r="A67" s="13" t="s">
        <v>49</v>
      </c>
      <c r="B67" s="14">
        <f>IFERROR(VLOOKUP(A67,PRICELIST!$A$3:$D$138,4,0),"-")</f>
        <v>132.43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9">
        <f t="shared" si="33"/>
        <v>0</v>
      </c>
      <c r="CZ67" s="19">
        <f t="shared" si="33"/>
        <v>0</v>
      </c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</row>
    <row r="68" spans="1:122" ht="18" customHeight="1">
      <c r="A68" s="13" t="s">
        <v>50</v>
      </c>
      <c r="B68" s="14">
        <f>IFERROR(VLOOKUP(A68,PRICELIST!$A$3:$D$138,4,0),"-")</f>
        <v>94.7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9">
        <f t="shared" si="33"/>
        <v>0</v>
      </c>
      <c r="CZ68" s="19">
        <f t="shared" si="33"/>
        <v>0</v>
      </c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</row>
    <row r="69" spans="1:122" ht="18" customHeight="1">
      <c r="A69" s="13" t="s">
        <v>51</v>
      </c>
      <c r="B69" s="14">
        <f>IFERROR(VLOOKUP(A69,PRICELIST!$A$3:$D$138,4,0),"-")</f>
        <v>58.82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9">
        <f t="shared" si="33"/>
        <v>0</v>
      </c>
      <c r="CZ69" s="19">
        <f t="shared" si="33"/>
        <v>0</v>
      </c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</row>
    <row r="70" spans="1:122" ht="18" customHeight="1">
      <c r="A70" s="13" t="s">
        <v>52</v>
      </c>
      <c r="B70" s="14">
        <f>IFERROR(VLOOKUP(A70,PRICELIST!$A$3:$D$138,4,0),"-")</f>
        <v>61.39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9">
        <f t="shared" si="33"/>
        <v>0</v>
      </c>
      <c r="CZ70" s="19">
        <f t="shared" si="33"/>
        <v>0</v>
      </c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</row>
    <row r="71" spans="1:122" ht="18" customHeight="1">
      <c r="A71" s="9" t="s">
        <v>48</v>
      </c>
      <c r="B71" s="10"/>
      <c r="C71" s="11">
        <f t="shared" ref="C71:AH71" si="34">SUMPRODUCT($B60:$B70,C60:C70)</f>
        <v>0</v>
      </c>
      <c r="D71" s="11">
        <f t="shared" si="34"/>
        <v>0</v>
      </c>
      <c r="E71" s="11">
        <f t="shared" si="34"/>
        <v>0</v>
      </c>
      <c r="F71" s="11">
        <f t="shared" si="34"/>
        <v>0</v>
      </c>
      <c r="G71" s="11">
        <f t="shared" si="34"/>
        <v>0</v>
      </c>
      <c r="H71" s="11">
        <f t="shared" si="34"/>
        <v>0</v>
      </c>
      <c r="I71" s="11">
        <f t="shared" si="34"/>
        <v>0</v>
      </c>
      <c r="J71" s="11">
        <f t="shared" si="34"/>
        <v>0</v>
      </c>
      <c r="K71" s="11">
        <f t="shared" si="34"/>
        <v>0</v>
      </c>
      <c r="L71" s="11">
        <f t="shared" si="34"/>
        <v>0</v>
      </c>
      <c r="M71" s="11">
        <f t="shared" si="34"/>
        <v>0</v>
      </c>
      <c r="N71" s="11">
        <f t="shared" si="34"/>
        <v>0</v>
      </c>
      <c r="O71" s="11">
        <f t="shared" si="34"/>
        <v>0</v>
      </c>
      <c r="P71" s="11">
        <f t="shared" si="34"/>
        <v>0</v>
      </c>
      <c r="Q71" s="11">
        <f t="shared" si="34"/>
        <v>0</v>
      </c>
      <c r="R71" s="11">
        <f t="shared" si="34"/>
        <v>0</v>
      </c>
      <c r="S71" s="11">
        <f t="shared" si="34"/>
        <v>0</v>
      </c>
      <c r="T71" s="11">
        <f t="shared" si="34"/>
        <v>0</v>
      </c>
      <c r="U71" s="11">
        <f t="shared" si="34"/>
        <v>0</v>
      </c>
      <c r="V71" s="11">
        <f t="shared" si="34"/>
        <v>0</v>
      </c>
      <c r="W71" s="11">
        <f t="shared" si="34"/>
        <v>0</v>
      </c>
      <c r="X71" s="11">
        <f t="shared" si="34"/>
        <v>0</v>
      </c>
      <c r="Y71" s="11">
        <f t="shared" si="34"/>
        <v>0</v>
      </c>
      <c r="Z71" s="11">
        <f t="shared" si="34"/>
        <v>0</v>
      </c>
      <c r="AA71" s="11">
        <f t="shared" si="34"/>
        <v>0</v>
      </c>
      <c r="AB71" s="11">
        <f t="shared" si="34"/>
        <v>0</v>
      </c>
      <c r="AC71" s="11">
        <f t="shared" si="34"/>
        <v>0</v>
      </c>
      <c r="AD71" s="11">
        <f t="shared" si="34"/>
        <v>0</v>
      </c>
      <c r="AE71" s="11">
        <f t="shared" si="34"/>
        <v>0</v>
      </c>
      <c r="AF71" s="11">
        <f t="shared" si="34"/>
        <v>0</v>
      </c>
      <c r="AG71" s="11">
        <f t="shared" si="34"/>
        <v>0</v>
      </c>
      <c r="AH71" s="11">
        <f t="shared" si="34"/>
        <v>0</v>
      </c>
      <c r="AI71" s="11">
        <f t="shared" ref="AI71:BN71" si="35">SUMPRODUCT($B60:$B70,AI60:AI70)</f>
        <v>0</v>
      </c>
      <c r="AJ71" s="11">
        <f t="shared" si="35"/>
        <v>0</v>
      </c>
      <c r="AK71" s="11">
        <f t="shared" si="35"/>
        <v>0</v>
      </c>
      <c r="AL71" s="11">
        <f t="shared" si="35"/>
        <v>0</v>
      </c>
      <c r="AM71" s="11">
        <f t="shared" si="35"/>
        <v>0</v>
      </c>
      <c r="AN71" s="11">
        <f t="shared" si="35"/>
        <v>0</v>
      </c>
      <c r="AO71" s="11">
        <f t="shared" si="35"/>
        <v>0</v>
      </c>
      <c r="AP71" s="11">
        <f t="shared" si="35"/>
        <v>0</v>
      </c>
      <c r="AQ71" s="11">
        <f t="shared" si="35"/>
        <v>0</v>
      </c>
      <c r="AR71" s="11">
        <f t="shared" si="35"/>
        <v>0</v>
      </c>
      <c r="AS71" s="11">
        <f t="shared" si="35"/>
        <v>0</v>
      </c>
      <c r="AT71" s="11">
        <f t="shared" si="35"/>
        <v>0</v>
      </c>
      <c r="AU71" s="11">
        <f t="shared" si="35"/>
        <v>0</v>
      </c>
      <c r="AV71" s="11">
        <f t="shared" si="35"/>
        <v>0</v>
      </c>
      <c r="AW71" s="11">
        <f t="shared" si="35"/>
        <v>0</v>
      </c>
      <c r="AX71" s="11">
        <f t="shared" si="35"/>
        <v>0</v>
      </c>
      <c r="AY71" s="11">
        <f t="shared" si="35"/>
        <v>0</v>
      </c>
      <c r="AZ71" s="11">
        <f t="shared" si="35"/>
        <v>0</v>
      </c>
      <c r="BA71" s="11">
        <f t="shared" si="35"/>
        <v>0</v>
      </c>
      <c r="BB71" s="11">
        <f t="shared" si="35"/>
        <v>0</v>
      </c>
      <c r="BC71" s="11">
        <f t="shared" si="35"/>
        <v>0</v>
      </c>
      <c r="BD71" s="11">
        <f t="shared" si="35"/>
        <v>0</v>
      </c>
      <c r="BE71" s="11">
        <f t="shared" si="35"/>
        <v>0</v>
      </c>
      <c r="BF71" s="11">
        <f t="shared" si="35"/>
        <v>0</v>
      </c>
      <c r="BG71" s="11">
        <f t="shared" si="35"/>
        <v>0</v>
      </c>
      <c r="BH71" s="11">
        <f t="shared" si="35"/>
        <v>0</v>
      </c>
      <c r="BI71" s="11">
        <f t="shared" si="35"/>
        <v>0</v>
      </c>
      <c r="BJ71" s="11">
        <f t="shared" si="35"/>
        <v>0</v>
      </c>
      <c r="BK71" s="11">
        <f t="shared" si="35"/>
        <v>0</v>
      </c>
      <c r="BL71" s="11">
        <f t="shared" si="35"/>
        <v>0</v>
      </c>
      <c r="BM71" s="11">
        <f t="shared" si="35"/>
        <v>0</v>
      </c>
      <c r="BN71" s="11">
        <f t="shared" si="35"/>
        <v>0</v>
      </c>
      <c r="BO71" s="11">
        <f t="shared" ref="BO71:CT71" si="36">SUMPRODUCT($B60:$B70,BO60:BO70)</f>
        <v>0</v>
      </c>
      <c r="BP71" s="11">
        <f t="shared" si="36"/>
        <v>0</v>
      </c>
      <c r="BQ71" s="11">
        <f t="shared" si="36"/>
        <v>0</v>
      </c>
      <c r="BR71" s="11">
        <f t="shared" si="36"/>
        <v>0</v>
      </c>
      <c r="BS71" s="11">
        <f t="shared" si="36"/>
        <v>0</v>
      </c>
      <c r="BT71" s="11">
        <f t="shared" si="36"/>
        <v>0</v>
      </c>
      <c r="BU71" s="11">
        <f t="shared" si="36"/>
        <v>0</v>
      </c>
      <c r="BV71" s="11">
        <f t="shared" si="36"/>
        <v>0</v>
      </c>
      <c r="BW71" s="11">
        <f t="shared" si="36"/>
        <v>0</v>
      </c>
      <c r="BX71" s="11">
        <f t="shared" si="36"/>
        <v>0</v>
      </c>
      <c r="BY71" s="11">
        <f t="shared" si="36"/>
        <v>0</v>
      </c>
      <c r="BZ71" s="11">
        <f t="shared" si="36"/>
        <v>0</v>
      </c>
      <c r="CA71" s="11">
        <f t="shared" si="36"/>
        <v>0</v>
      </c>
      <c r="CB71" s="11">
        <f t="shared" si="36"/>
        <v>0</v>
      </c>
      <c r="CC71" s="11">
        <f t="shared" si="36"/>
        <v>0</v>
      </c>
      <c r="CD71" s="11">
        <f t="shared" si="36"/>
        <v>0</v>
      </c>
      <c r="CE71" s="11">
        <f t="shared" si="36"/>
        <v>0</v>
      </c>
      <c r="CF71" s="11">
        <f t="shared" si="36"/>
        <v>0</v>
      </c>
      <c r="CG71" s="11">
        <f t="shared" si="36"/>
        <v>0</v>
      </c>
      <c r="CH71" s="11">
        <f t="shared" si="36"/>
        <v>0</v>
      </c>
      <c r="CI71" s="11">
        <f t="shared" si="36"/>
        <v>0</v>
      </c>
      <c r="CJ71" s="11">
        <f t="shared" si="36"/>
        <v>0</v>
      </c>
      <c r="CK71" s="11">
        <f t="shared" si="36"/>
        <v>0</v>
      </c>
      <c r="CL71" s="11">
        <f t="shared" si="36"/>
        <v>0</v>
      </c>
      <c r="CM71" s="11">
        <f t="shared" si="36"/>
        <v>0</v>
      </c>
      <c r="CN71" s="11">
        <f t="shared" si="36"/>
        <v>0</v>
      </c>
      <c r="CO71" s="11">
        <f t="shared" si="36"/>
        <v>0</v>
      </c>
      <c r="CP71" s="11">
        <f t="shared" si="36"/>
        <v>0</v>
      </c>
      <c r="CQ71" s="11">
        <f t="shared" si="36"/>
        <v>0</v>
      </c>
      <c r="CR71" s="11">
        <f t="shared" si="36"/>
        <v>0</v>
      </c>
      <c r="CS71" s="11">
        <f t="shared" si="36"/>
        <v>0</v>
      </c>
      <c r="CT71" s="11">
        <f t="shared" si="36"/>
        <v>0</v>
      </c>
      <c r="CU71" s="11">
        <f t="shared" ref="CU71:CZ71" si="37">SUMPRODUCT($B60:$B70,CU60:CU70)</f>
        <v>0</v>
      </c>
      <c r="CV71" s="11">
        <f t="shared" si="37"/>
        <v>0</v>
      </c>
      <c r="CW71" s="11">
        <f t="shared" si="37"/>
        <v>0</v>
      </c>
      <c r="CX71" s="11">
        <f t="shared" si="37"/>
        <v>0</v>
      </c>
      <c r="CY71" s="11">
        <f t="shared" si="37"/>
        <v>0</v>
      </c>
      <c r="CZ71" s="11">
        <f t="shared" si="37"/>
        <v>0</v>
      </c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</row>
    <row r="72" spans="1:122" ht="18" customHeight="1">
      <c r="A72" s="13" t="s">
        <v>85</v>
      </c>
      <c r="B72" s="14">
        <f>IFERROR(VLOOKUP(A72,PRICELIST!$A$3:$D$138,4,0),"-")</f>
        <v>165.86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9">
        <f t="shared" ref="CY72:CZ78" si="38">C72+E72+G72+I72+K72+M72+O72+Q72+S72+U72+W72+Y72+AA72+AC72+AE72+AG72+AI72+AK72+AM72+AO72+AQ72+AS72+AU72+AW72+AY72+BA72+BC72+BE72+BG72+BI72+BK72+BM72+BO72+BQ72+BS72+BU72+BW72+BY72+CA72+CC72+CE72+CG72+CI72+CK72+CM72+CO72+CQ72+CS72+CU72+CW72</f>
        <v>0</v>
      </c>
      <c r="CZ72" s="19">
        <f t="shared" si="38"/>
        <v>0</v>
      </c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</row>
    <row r="73" spans="1:122" ht="18" customHeight="1">
      <c r="A73" s="13" t="s">
        <v>53</v>
      </c>
      <c r="B73" s="14">
        <f>IFERROR(VLOOKUP(A73,PRICELIST!$A$3:$D$138,4,0),"-")</f>
        <v>82.93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9">
        <f t="shared" si="38"/>
        <v>0</v>
      </c>
      <c r="CZ73" s="19">
        <f t="shared" si="38"/>
        <v>0</v>
      </c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</row>
    <row r="74" spans="1:122" ht="18" customHeight="1">
      <c r="A74" s="13" t="s">
        <v>54</v>
      </c>
      <c r="B74" s="14">
        <f>IFERROR(VLOOKUP(A74,PRICELIST!$A$3:$D$138,4,0),"-")</f>
        <v>96.43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9">
        <f t="shared" si="38"/>
        <v>0</v>
      </c>
      <c r="CZ74" s="19">
        <f t="shared" si="38"/>
        <v>0</v>
      </c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</row>
    <row r="75" spans="1:122" ht="18" customHeight="1">
      <c r="A75" s="13" t="s">
        <v>55</v>
      </c>
      <c r="B75" s="14">
        <f>IFERROR(VLOOKUP(A75,PRICELIST!$A$3:$D$138,4,0),"-")</f>
        <v>47.57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9">
        <f t="shared" si="38"/>
        <v>0</v>
      </c>
      <c r="CZ75" s="19">
        <f t="shared" si="38"/>
        <v>0</v>
      </c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</row>
    <row r="76" spans="1:122" ht="18" customHeight="1">
      <c r="A76" s="13" t="s">
        <v>132</v>
      </c>
      <c r="B76" s="14">
        <f>IFERROR(VLOOKUP(A76,PRICELIST!$A$3:$D$138,4,0),"-")</f>
        <v>128.57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9">
        <f t="shared" si="38"/>
        <v>0</v>
      </c>
      <c r="CZ76" s="19">
        <f t="shared" si="38"/>
        <v>0</v>
      </c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</row>
    <row r="77" spans="1:122" ht="18" customHeight="1">
      <c r="A77" s="13" t="s">
        <v>86</v>
      </c>
      <c r="B77" s="14">
        <f>IFERROR(VLOOKUP(A77,PRICELIST!$A$3:$D$138,4,0),"-")</f>
        <v>130.5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9">
        <f t="shared" si="38"/>
        <v>0</v>
      </c>
      <c r="CZ77" s="19">
        <f t="shared" si="38"/>
        <v>0</v>
      </c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</row>
    <row r="78" spans="1:122" ht="18" customHeight="1">
      <c r="A78" s="26" t="s">
        <v>121</v>
      </c>
      <c r="B78" s="14">
        <f>IFERROR(VLOOKUP(A78,PRICELIST!$A$3:$D$138,4,0),"-")</f>
        <v>146.88999999999999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9">
        <f t="shared" si="38"/>
        <v>0</v>
      </c>
      <c r="CZ78" s="19">
        <f t="shared" si="38"/>
        <v>0</v>
      </c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</row>
    <row r="79" spans="1:122" ht="18" customHeight="1">
      <c r="A79" s="9" t="s">
        <v>56</v>
      </c>
      <c r="B79" s="10"/>
      <c r="C79" s="11">
        <f>SUMPRODUCT($B72:$B78,C72:C78)</f>
        <v>0</v>
      </c>
      <c r="D79" s="11">
        <f t="shared" ref="D79:BO79" si="39">SUMPRODUCT($B72:$B78,D72:D78)</f>
        <v>0</v>
      </c>
      <c r="E79" s="11">
        <f t="shared" si="39"/>
        <v>0</v>
      </c>
      <c r="F79" s="11">
        <f t="shared" si="39"/>
        <v>0</v>
      </c>
      <c r="G79" s="11">
        <f t="shared" si="39"/>
        <v>0</v>
      </c>
      <c r="H79" s="11">
        <f t="shared" si="39"/>
        <v>0</v>
      </c>
      <c r="I79" s="11">
        <f t="shared" si="39"/>
        <v>0</v>
      </c>
      <c r="J79" s="11">
        <f t="shared" si="39"/>
        <v>0</v>
      </c>
      <c r="K79" s="11">
        <f t="shared" si="39"/>
        <v>0</v>
      </c>
      <c r="L79" s="11">
        <f t="shared" si="39"/>
        <v>0</v>
      </c>
      <c r="M79" s="11">
        <f t="shared" si="39"/>
        <v>0</v>
      </c>
      <c r="N79" s="11">
        <f t="shared" si="39"/>
        <v>0</v>
      </c>
      <c r="O79" s="11">
        <f t="shared" si="39"/>
        <v>0</v>
      </c>
      <c r="P79" s="11">
        <f t="shared" si="39"/>
        <v>0</v>
      </c>
      <c r="Q79" s="11">
        <f t="shared" si="39"/>
        <v>0</v>
      </c>
      <c r="R79" s="11">
        <f t="shared" si="39"/>
        <v>0</v>
      </c>
      <c r="S79" s="11">
        <f t="shared" si="39"/>
        <v>0</v>
      </c>
      <c r="T79" s="11">
        <f t="shared" si="39"/>
        <v>0</v>
      </c>
      <c r="U79" s="11">
        <f t="shared" si="39"/>
        <v>0</v>
      </c>
      <c r="V79" s="11">
        <f t="shared" si="39"/>
        <v>0</v>
      </c>
      <c r="W79" s="11">
        <f t="shared" si="39"/>
        <v>0</v>
      </c>
      <c r="X79" s="11">
        <f t="shared" si="39"/>
        <v>0</v>
      </c>
      <c r="Y79" s="11">
        <f t="shared" si="39"/>
        <v>0</v>
      </c>
      <c r="Z79" s="11">
        <f t="shared" si="39"/>
        <v>0</v>
      </c>
      <c r="AA79" s="11">
        <f t="shared" si="39"/>
        <v>0</v>
      </c>
      <c r="AB79" s="11">
        <f t="shared" si="39"/>
        <v>0</v>
      </c>
      <c r="AC79" s="11">
        <f t="shared" si="39"/>
        <v>0</v>
      </c>
      <c r="AD79" s="11">
        <f t="shared" si="39"/>
        <v>0</v>
      </c>
      <c r="AE79" s="11">
        <f t="shared" si="39"/>
        <v>0</v>
      </c>
      <c r="AF79" s="11">
        <f t="shared" si="39"/>
        <v>0</v>
      </c>
      <c r="AG79" s="11">
        <f t="shared" si="39"/>
        <v>0</v>
      </c>
      <c r="AH79" s="11">
        <f t="shared" si="39"/>
        <v>0</v>
      </c>
      <c r="AI79" s="11">
        <f t="shared" si="39"/>
        <v>0</v>
      </c>
      <c r="AJ79" s="11">
        <f t="shared" si="39"/>
        <v>0</v>
      </c>
      <c r="AK79" s="11">
        <f t="shared" si="39"/>
        <v>0</v>
      </c>
      <c r="AL79" s="11">
        <f t="shared" si="39"/>
        <v>0</v>
      </c>
      <c r="AM79" s="11">
        <f t="shared" si="39"/>
        <v>0</v>
      </c>
      <c r="AN79" s="11">
        <f t="shared" si="39"/>
        <v>0</v>
      </c>
      <c r="AO79" s="11">
        <f t="shared" si="39"/>
        <v>0</v>
      </c>
      <c r="AP79" s="11">
        <f t="shared" si="39"/>
        <v>0</v>
      </c>
      <c r="AQ79" s="11">
        <f t="shared" si="39"/>
        <v>0</v>
      </c>
      <c r="AR79" s="11">
        <f t="shared" si="39"/>
        <v>0</v>
      </c>
      <c r="AS79" s="11">
        <f t="shared" si="39"/>
        <v>0</v>
      </c>
      <c r="AT79" s="11">
        <f t="shared" si="39"/>
        <v>0</v>
      </c>
      <c r="AU79" s="11">
        <f t="shared" si="39"/>
        <v>0</v>
      </c>
      <c r="AV79" s="11">
        <f t="shared" si="39"/>
        <v>0</v>
      </c>
      <c r="AW79" s="11">
        <f t="shared" si="39"/>
        <v>0</v>
      </c>
      <c r="AX79" s="11">
        <f t="shared" si="39"/>
        <v>0</v>
      </c>
      <c r="AY79" s="11">
        <f t="shared" si="39"/>
        <v>0</v>
      </c>
      <c r="AZ79" s="11">
        <f t="shared" si="39"/>
        <v>0</v>
      </c>
      <c r="BA79" s="11">
        <f t="shared" si="39"/>
        <v>0</v>
      </c>
      <c r="BB79" s="11">
        <f t="shared" si="39"/>
        <v>0</v>
      </c>
      <c r="BC79" s="11">
        <f t="shared" si="39"/>
        <v>0</v>
      </c>
      <c r="BD79" s="11">
        <f t="shared" si="39"/>
        <v>0</v>
      </c>
      <c r="BE79" s="11">
        <f t="shared" si="39"/>
        <v>0</v>
      </c>
      <c r="BF79" s="11">
        <f t="shared" si="39"/>
        <v>0</v>
      </c>
      <c r="BG79" s="11">
        <f t="shared" si="39"/>
        <v>0</v>
      </c>
      <c r="BH79" s="11">
        <f t="shared" si="39"/>
        <v>0</v>
      </c>
      <c r="BI79" s="11">
        <f t="shared" si="39"/>
        <v>0</v>
      </c>
      <c r="BJ79" s="11">
        <f t="shared" si="39"/>
        <v>0</v>
      </c>
      <c r="BK79" s="11">
        <f t="shared" si="39"/>
        <v>0</v>
      </c>
      <c r="BL79" s="11">
        <f t="shared" si="39"/>
        <v>0</v>
      </c>
      <c r="BM79" s="11">
        <f t="shared" si="39"/>
        <v>0</v>
      </c>
      <c r="BN79" s="11">
        <f t="shared" si="39"/>
        <v>0</v>
      </c>
      <c r="BO79" s="11">
        <f t="shared" si="39"/>
        <v>0</v>
      </c>
      <c r="BP79" s="11">
        <f t="shared" ref="BP79:CZ79" si="40">SUMPRODUCT($B72:$B78,BP72:BP78)</f>
        <v>0</v>
      </c>
      <c r="BQ79" s="11">
        <f t="shared" si="40"/>
        <v>0</v>
      </c>
      <c r="BR79" s="11">
        <f t="shared" si="40"/>
        <v>0</v>
      </c>
      <c r="BS79" s="11">
        <f t="shared" si="40"/>
        <v>0</v>
      </c>
      <c r="BT79" s="11">
        <f t="shared" si="40"/>
        <v>0</v>
      </c>
      <c r="BU79" s="11">
        <f t="shared" si="40"/>
        <v>0</v>
      </c>
      <c r="BV79" s="11">
        <f t="shared" si="40"/>
        <v>0</v>
      </c>
      <c r="BW79" s="11">
        <f t="shared" si="40"/>
        <v>0</v>
      </c>
      <c r="BX79" s="11">
        <f t="shared" si="40"/>
        <v>0</v>
      </c>
      <c r="BY79" s="11">
        <f t="shared" si="40"/>
        <v>0</v>
      </c>
      <c r="BZ79" s="11">
        <f t="shared" si="40"/>
        <v>0</v>
      </c>
      <c r="CA79" s="11">
        <f t="shared" si="40"/>
        <v>0</v>
      </c>
      <c r="CB79" s="11">
        <f t="shared" si="40"/>
        <v>0</v>
      </c>
      <c r="CC79" s="11">
        <f t="shared" si="40"/>
        <v>0</v>
      </c>
      <c r="CD79" s="11">
        <f t="shared" si="40"/>
        <v>0</v>
      </c>
      <c r="CE79" s="11">
        <f t="shared" si="40"/>
        <v>0</v>
      </c>
      <c r="CF79" s="11">
        <f t="shared" si="40"/>
        <v>0</v>
      </c>
      <c r="CG79" s="11">
        <f t="shared" si="40"/>
        <v>0</v>
      </c>
      <c r="CH79" s="11">
        <f t="shared" si="40"/>
        <v>0</v>
      </c>
      <c r="CI79" s="11">
        <f t="shared" si="40"/>
        <v>0</v>
      </c>
      <c r="CJ79" s="11">
        <f t="shared" si="40"/>
        <v>0</v>
      </c>
      <c r="CK79" s="11">
        <f t="shared" si="40"/>
        <v>0</v>
      </c>
      <c r="CL79" s="11">
        <f t="shared" si="40"/>
        <v>0</v>
      </c>
      <c r="CM79" s="11">
        <f t="shared" si="40"/>
        <v>0</v>
      </c>
      <c r="CN79" s="11">
        <f t="shared" si="40"/>
        <v>0</v>
      </c>
      <c r="CO79" s="11">
        <f t="shared" si="40"/>
        <v>0</v>
      </c>
      <c r="CP79" s="11">
        <f t="shared" si="40"/>
        <v>0</v>
      </c>
      <c r="CQ79" s="11">
        <f t="shared" si="40"/>
        <v>0</v>
      </c>
      <c r="CR79" s="11">
        <f t="shared" si="40"/>
        <v>0</v>
      </c>
      <c r="CS79" s="11">
        <f t="shared" si="40"/>
        <v>0</v>
      </c>
      <c r="CT79" s="11">
        <f t="shared" si="40"/>
        <v>0</v>
      </c>
      <c r="CU79" s="11">
        <f t="shared" si="40"/>
        <v>0</v>
      </c>
      <c r="CV79" s="11">
        <f t="shared" si="40"/>
        <v>0</v>
      </c>
      <c r="CW79" s="11">
        <f t="shared" si="40"/>
        <v>0</v>
      </c>
      <c r="CX79" s="11">
        <f t="shared" si="40"/>
        <v>0</v>
      </c>
      <c r="CY79" s="11">
        <f t="shared" si="40"/>
        <v>0</v>
      </c>
      <c r="CZ79" s="11">
        <f t="shared" si="40"/>
        <v>0</v>
      </c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</row>
    <row r="80" spans="1:122" ht="18" customHeight="1">
      <c r="A80" s="13" t="s">
        <v>57</v>
      </c>
      <c r="B80" s="14">
        <f>IFERROR(VLOOKUP(A80,PRICELIST!$A$3:$D$138,4,0),"-")</f>
        <v>78.75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9">
        <f>C80+E80+G80+I80+K80+M80+O80+Q80+S80+U80+W80+Y80+AA80+AC80+AE80+AG80+AI80+AK80+AM80+AO80+AQ80+AS80+AU80+AW80+AY80+BA80+BC80+BE80+BG80+BI80+BK80+BM80+BO80+BQ80+BS80+BU80+BW80+BY80+CA80+CC80+CE80+CG80+CI80+CK80+CM80+CO80+CQ80+CS80+CU80+CW80</f>
        <v>0</v>
      </c>
      <c r="CZ80" s="19">
        <f>D80+F80+H80+J80+L80+N80+P80+R80+T80+V80+X80+Z80+AB80+AD80+AF80+AH80+AJ80+AL80+AN80+AP80+AR80+AT80+AV80+AX80+AZ80+BB80+BD80+BF80+BH80+BJ80+BL80+BN80+BP80+BR80+BT80+BV80+BX80+BZ80+CB80+CD80+CF80+CH80+CJ80+CL80+CN80+CP80+CR80+CT80+CV80+CX80</f>
        <v>0</v>
      </c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</row>
    <row r="81" spans="1:122" ht="18" customHeight="1">
      <c r="A81" s="9" t="s">
        <v>58</v>
      </c>
      <c r="B81" s="10"/>
      <c r="C81" s="11">
        <f>SUMPRODUCT($B80*C80)</f>
        <v>0</v>
      </c>
      <c r="D81" s="11">
        <f t="shared" ref="D81:BO81" si="41">SUMPRODUCT($B80*D80)</f>
        <v>0</v>
      </c>
      <c r="E81" s="11">
        <f t="shared" si="41"/>
        <v>0</v>
      </c>
      <c r="F81" s="11">
        <f t="shared" si="41"/>
        <v>0</v>
      </c>
      <c r="G81" s="11">
        <f t="shared" si="41"/>
        <v>0</v>
      </c>
      <c r="H81" s="11">
        <f t="shared" si="41"/>
        <v>0</v>
      </c>
      <c r="I81" s="11">
        <f t="shared" si="41"/>
        <v>0</v>
      </c>
      <c r="J81" s="11">
        <f t="shared" si="41"/>
        <v>0</v>
      </c>
      <c r="K81" s="11">
        <f t="shared" si="41"/>
        <v>0</v>
      </c>
      <c r="L81" s="11">
        <f t="shared" si="41"/>
        <v>0</v>
      </c>
      <c r="M81" s="11">
        <f t="shared" si="41"/>
        <v>0</v>
      </c>
      <c r="N81" s="11">
        <f t="shared" si="41"/>
        <v>0</v>
      </c>
      <c r="O81" s="11">
        <f t="shared" si="41"/>
        <v>0</v>
      </c>
      <c r="P81" s="11">
        <f t="shared" si="41"/>
        <v>0</v>
      </c>
      <c r="Q81" s="11">
        <f t="shared" si="41"/>
        <v>0</v>
      </c>
      <c r="R81" s="11">
        <f t="shared" si="41"/>
        <v>0</v>
      </c>
      <c r="S81" s="11">
        <f t="shared" si="41"/>
        <v>0</v>
      </c>
      <c r="T81" s="11">
        <f t="shared" si="41"/>
        <v>0</v>
      </c>
      <c r="U81" s="11">
        <f t="shared" si="41"/>
        <v>0</v>
      </c>
      <c r="V81" s="11">
        <f t="shared" si="41"/>
        <v>0</v>
      </c>
      <c r="W81" s="11">
        <f t="shared" si="41"/>
        <v>0</v>
      </c>
      <c r="X81" s="11">
        <f t="shared" si="41"/>
        <v>0</v>
      </c>
      <c r="Y81" s="11">
        <f t="shared" si="41"/>
        <v>0</v>
      </c>
      <c r="Z81" s="11">
        <f t="shared" si="41"/>
        <v>0</v>
      </c>
      <c r="AA81" s="11">
        <f t="shared" si="41"/>
        <v>0</v>
      </c>
      <c r="AB81" s="11">
        <f t="shared" si="41"/>
        <v>0</v>
      </c>
      <c r="AC81" s="11">
        <f t="shared" si="41"/>
        <v>0</v>
      </c>
      <c r="AD81" s="11">
        <f t="shared" si="41"/>
        <v>0</v>
      </c>
      <c r="AE81" s="11">
        <f t="shared" si="41"/>
        <v>0</v>
      </c>
      <c r="AF81" s="11">
        <f t="shared" si="41"/>
        <v>0</v>
      </c>
      <c r="AG81" s="11">
        <f t="shared" si="41"/>
        <v>0</v>
      </c>
      <c r="AH81" s="11">
        <f t="shared" si="41"/>
        <v>0</v>
      </c>
      <c r="AI81" s="11">
        <f t="shared" si="41"/>
        <v>0</v>
      </c>
      <c r="AJ81" s="11">
        <f t="shared" si="41"/>
        <v>0</v>
      </c>
      <c r="AK81" s="11">
        <f t="shared" si="41"/>
        <v>0</v>
      </c>
      <c r="AL81" s="11">
        <f t="shared" si="41"/>
        <v>0</v>
      </c>
      <c r="AM81" s="11">
        <f t="shared" si="41"/>
        <v>0</v>
      </c>
      <c r="AN81" s="11">
        <f t="shared" si="41"/>
        <v>0</v>
      </c>
      <c r="AO81" s="11">
        <f t="shared" si="41"/>
        <v>0</v>
      </c>
      <c r="AP81" s="11">
        <f t="shared" si="41"/>
        <v>0</v>
      </c>
      <c r="AQ81" s="11">
        <f t="shared" si="41"/>
        <v>0</v>
      </c>
      <c r="AR81" s="11">
        <f t="shared" si="41"/>
        <v>0</v>
      </c>
      <c r="AS81" s="11">
        <f t="shared" si="41"/>
        <v>0</v>
      </c>
      <c r="AT81" s="11">
        <f t="shared" si="41"/>
        <v>0</v>
      </c>
      <c r="AU81" s="11">
        <f t="shared" si="41"/>
        <v>0</v>
      </c>
      <c r="AV81" s="11">
        <f t="shared" si="41"/>
        <v>0</v>
      </c>
      <c r="AW81" s="11">
        <f t="shared" si="41"/>
        <v>0</v>
      </c>
      <c r="AX81" s="11">
        <f t="shared" si="41"/>
        <v>0</v>
      </c>
      <c r="AY81" s="11">
        <f t="shared" si="41"/>
        <v>0</v>
      </c>
      <c r="AZ81" s="11">
        <f t="shared" si="41"/>
        <v>0</v>
      </c>
      <c r="BA81" s="11">
        <f t="shared" si="41"/>
        <v>0</v>
      </c>
      <c r="BB81" s="11">
        <f t="shared" si="41"/>
        <v>0</v>
      </c>
      <c r="BC81" s="11">
        <f t="shared" si="41"/>
        <v>0</v>
      </c>
      <c r="BD81" s="11">
        <f t="shared" si="41"/>
        <v>0</v>
      </c>
      <c r="BE81" s="11">
        <f t="shared" si="41"/>
        <v>0</v>
      </c>
      <c r="BF81" s="11">
        <f t="shared" si="41"/>
        <v>0</v>
      </c>
      <c r="BG81" s="11">
        <f t="shared" si="41"/>
        <v>0</v>
      </c>
      <c r="BH81" s="11">
        <f t="shared" si="41"/>
        <v>0</v>
      </c>
      <c r="BI81" s="11">
        <f t="shared" si="41"/>
        <v>0</v>
      </c>
      <c r="BJ81" s="11">
        <f t="shared" si="41"/>
        <v>0</v>
      </c>
      <c r="BK81" s="11">
        <f t="shared" si="41"/>
        <v>0</v>
      </c>
      <c r="BL81" s="11">
        <f t="shared" si="41"/>
        <v>0</v>
      </c>
      <c r="BM81" s="11">
        <f t="shared" si="41"/>
        <v>0</v>
      </c>
      <c r="BN81" s="11">
        <f t="shared" si="41"/>
        <v>0</v>
      </c>
      <c r="BO81" s="11">
        <f t="shared" si="41"/>
        <v>0</v>
      </c>
      <c r="BP81" s="11">
        <f t="shared" ref="BP81:CZ81" si="42">SUMPRODUCT($B80*BP80)</f>
        <v>0</v>
      </c>
      <c r="BQ81" s="11">
        <f t="shared" si="42"/>
        <v>0</v>
      </c>
      <c r="BR81" s="11">
        <f t="shared" si="42"/>
        <v>0</v>
      </c>
      <c r="BS81" s="11">
        <f t="shared" si="42"/>
        <v>0</v>
      </c>
      <c r="BT81" s="11">
        <f t="shared" si="42"/>
        <v>0</v>
      </c>
      <c r="BU81" s="11">
        <f t="shared" si="42"/>
        <v>0</v>
      </c>
      <c r="BV81" s="11">
        <f t="shared" si="42"/>
        <v>0</v>
      </c>
      <c r="BW81" s="11">
        <f t="shared" si="42"/>
        <v>0</v>
      </c>
      <c r="BX81" s="11">
        <f t="shared" si="42"/>
        <v>0</v>
      </c>
      <c r="BY81" s="11">
        <f t="shared" si="42"/>
        <v>0</v>
      </c>
      <c r="BZ81" s="11">
        <f t="shared" si="42"/>
        <v>0</v>
      </c>
      <c r="CA81" s="11">
        <f t="shared" si="42"/>
        <v>0</v>
      </c>
      <c r="CB81" s="11">
        <f t="shared" si="42"/>
        <v>0</v>
      </c>
      <c r="CC81" s="11">
        <f t="shared" si="42"/>
        <v>0</v>
      </c>
      <c r="CD81" s="11">
        <f t="shared" si="42"/>
        <v>0</v>
      </c>
      <c r="CE81" s="11">
        <f t="shared" si="42"/>
        <v>0</v>
      </c>
      <c r="CF81" s="11">
        <f t="shared" si="42"/>
        <v>0</v>
      </c>
      <c r="CG81" s="11">
        <f t="shared" si="42"/>
        <v>0</v>
      </c>
      <c r="CH81" s="11">
        <f t="shared" si="42"/>
        <v>0</v>
      </c>
      <c r="CI81" s="11">
        <f t="shared" si="42"/>
        <v>0</v>
      </c>
      <c r="CJ81" s="11">
        <f t="shared" si="42"/>
        <v>0</v>
      </c>
      <c r="CK81" s="11">
        <f t="shared" si="42"/>
        <v>0</v>
      </c>
      <c r="CL81" s="11">
        <f t="shared" si="42"/>
        <v>0</v>
      </c>
      <c r="CM81" s="11">
        <f t="shared" si="42"/>
        <v>0</v>
      </c>
      <c r="CN81" s="11">
        <f t="shared" si="42"/>
        <v>0</v>
      </c>
      <c r="CO81" s="11">
        <f t="shared" si="42"/>
        <v>0</v>
      </c>
      <c r="CP81" s="11">
        <f t="shared" si="42"/>
        <v>0</v>
      </c>
      <c r="CQ81" s="11">
        <f t="shared" si="42"/>
        <v>0</v>
      </c>
      <c r="CR81" s="11">
        <f t="shared" si="42"/>
        <v>0</v>
      </c>
      <c r="CS81" s="11">
        <f t="shared" si="42"/>
        <v>0</v>
      </c>
      <c r="CT81" s="11">
        <f t="shared" si="42"/>
        <v>0</v>
      </c>
      <c r="CU81" s="11">
        <f t="shared" si="42"/>
        <v>0</v>
      </c>
      <c r="CV81" s="11">
        <f t="shared" si="42"/>
        <v>0</v>
      </c>
      <c r="CW81" s="11">
        <f t="shared" si="42"/>
        <v>0</v>
      </c>
      <c r="CX81" s="11">
        <f t="shared" si="42"/>
        <v>0</v>
      </c>
      <c r="CY81" s="11">
        <f t="shared" si="42"/>
        <v>0</v>
      </c>
      <c r="CZ81" s="11">
        <f t="shared" si="42"/>
        <v>0</v>
      </c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</row>
    <row r="82" spans="1:122" ht="18" customHeight="1">
      <c r="A82" s="13" t="s">
        <v>59</v>
      </c>
      <c r="B82" s="14">
        <f>IFERROR(VLOOKUP(A82,PRICELIST!$A$3:$D$138,4,0),"-")</f>
        <v>276.11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9">
        <f t="shared" ref="CY82:CZ84" si="43">C82+E82+G82+I82+K82+M82+O82+Q82+S82+U82+W82+Y82+AA82+AC82+AE82+AG82+AI82+AK82+AM82+AO82+AQ82+AS82+AU82+AW82+AY82+BA82+BC82+BE82+BG82+BI82+BK82+BM82+BO82+BQ82+BS82+BU82+BW82+BY82+CA82+CC82+CE82+CG82+CI82+CK82+CM82+CO82+CQ82+CS82+CU82+CW82</f>
        <v>0</v>
      </c>
      <c r="CZ82" s="19">
        <f t="shared" si="43"/>
        <v>0</v>
      </c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</row>
    <row r="83" spans="1:122" ht="18" customHeight="1">
      <c r="A83" s="13" t="s">
        <v>60</v>
      </c>
      <c r="B83" s="14">
        <f>IFERROR(VLOOKUP(A83,PRICELIST!$A$3:$D$138,4,0),"-")</f>
        <v>75.540000000000006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9">
        <f t="shared" si="43"/>
        <v>0</v>
      </c>
      <c r="CZ83" s="19">
        <f t="shared" si="43"/>
        <v>0</v>
      </c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</row>
    <row r="84" spans="1:122" ht="18" customHeight="1">
      <c r="A84" s="13" t="s">
        <v>61</v>
      </c>
      <c r="B84" s="14">
        <f>IFERROR(VLOOKUP(A84,PRICELIST!$A$3:$D$138,4,0),"-")</f>
        <v>145.93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9">
        <f t="shared" si="43"/>
        <v>0</v>
      </c>
      <c r="CZ84" s="19">
        <f t="shared" si="43"/>
        <v>0</v>
      </c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</row>
    <row r="85" spans="1:122" ht="18" customHeight="1">
      <c r="A85" s="13" t="s">
        <v>62</v>
      </c>
      <c r="B85" s="14">
        <f>IFERROR(VLOOKUP(A85,PRICELIST!$A$3:$D$138,4,0),"-")</f>
        <v>149.79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9">
        <f>C85+E85+G85+I85+K85+M85+O85+Q85+S85+U85+W85+Y85+AA85+AC85+AE85+AG85+AI85+AK85+AM85+AO85+AQ85+AS85+AU85+AW85+AY85+BA85+BC85+BE85+BG85+BI85+BK85+BM85+BO85+BQ85+BS85+BU85+BW85+BY85+CA85+CC85+CE85+CG85+CI85+CK85+CM85+CO85+CQ85+CS85+CU85+CW85</f>
        <v>0</v>
      </c>
      <c r="CZ85" s="19">
        <f>D85+F85+H85+J85+L85+N85+P85+R85+T85+V85+X85+Z85+AB85+AD85+AF85+AH85+AJ85+AL85+AN85+AP85+AR85+AT85+AV85+AX85+AZ85+BB85+BD85+BF85+BH85+BJ85+BL85+BN85+BP85+BR85+BT85+BV85+BX85+BZ85+CB85+CD85+CF85+CH85+CJ85+CL85+CN85+CP85+CR85+CT85+CV85+CX85</f>
        <v>0</v>
      </c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</row>
    <row r="86" spans="1:122" ht="18" customHeight="1">
      <c r="A86" s="13" t="s">
        <v>87</v>
      </c>
      <c r="B86" s="14">
        <f>IFERROR(VLOOKUP(A86,PRICELIST!$A$3:$D$138,4,0),"-")</f>
        <v>192.86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9">
        <f>C86+E86+G86+I86+K86+M86+O86+Q86+S86+U86+W86+Y86+AA86+AC86+AE86+AG86+AI86+AK86+AM86+AO86+AQ86+AS86+AU86+AW86+AY86+BA86+BC86+BE86+BG86+BI86+BK86+BM86+BO86+BQ86+BS86+BU86+BW86+BY86+CA86+CC86+CE86+CG86+CI86+CK86+CM86+CO86+CQ86+CS86+CU86+CW86</f>
        <v>0</v>
      </c>
      <c r="CZ86" s="19">
        <f>D86+F86+H86+J86+L86+N86+P86+R86+T86+V86+X86+Z86+AB86+AD86+AF86+AH86+AJ86+AL86+AN86+AP86+AR86+AT86+AV86+AX86+AZ86+BB86+BD86+BF86+BH86+BJ86+BL86+BN86+BP86+BR86+BT86+BV86+BX86+BZ86+CB86+CD86+CF86+CH86+CJ86+CL86+CN86+CP86+CR86+CT86+CV86+CX86</f>
        <v>0</v>
      </c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</row>
    <row r="87" spans="1:122" ht="18" customHeight="1">
      <c r="A87" s="13" t="s">
        <v>122</v>
      </c>
      <c r="B87" s="14">
        <f>IFERROR(VLOOKUP(A87,PRICELIST!$A$3:$D$138,4,0),"-")</f>
        <v>104.79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9">
        <f t="shared" ref="CY87:CZ87" si="44">C87+E87+G87+I87+K87+M87+O87+Q87+S87+U87+W87+Y87+AA87+AC87+AE87+AG87+AI87+AK87+AM87+AO87+AQ87+AS87+AU87+AW87+AY87+BA87+BC87+BE87+BG87+BI87+BK87+BM87+BO87+BQ87+BS87+BU87+BW87+BY87+CA87+CC87+CE87+CG87+CI87+CK87+CM87+CO87+CQ87+CS87+CU87+CW87</f>
        <v>0</v>
      </c>
      <c r="CZ87" s="19">
        <f t="shared" si="44"/>
        <v>0</v>
      </c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</row>
    <row r="88" spans="1:122" ht="18" customHeight="1">
      <c r="A88" s="9" t="s">
        <v>88</v>
      </c>
      <c r="B88" s="10"/>
      <c r="C88" s="11">
        <f>SUMPRODUCT($B82:$B87,C82:C87)</f>
        <v>0</v>
      </c>
      <c r="D88" s="11">
        <f t="shared" ref="D88:BO88" si="45">SUMPRODUCT($B82:$B87,D82:D87)</f>
        <v>0</v>
      </c>
      <c r="E88" s="11">
        <f t="shared" si="45"/>
        <v>0</v>
      </c>
      <c r="F88" s="11">
        <f t="shared" si="45"/>
        <v>0</v>
      </c>
      <c r="G88" s="11">
        <f t="shared" si="45"/>
        <v>0</v>
      </c>
      <c r="H88" s="11">
        <f t="shared" si="45"/>
        <v>0</v>
      </c>
      <c r="I88" s="11">
        <f t="shared" si="45"/>
        <v>0</v>
      </c>
      <c r="J88" s="11">
        <f t="shared" si="45"/>
        <v>0</v>
      </c>
      <c r="K88" s="11">
        <f t="shared" si="45"/>
        <v>0</v>
      </c>
      <c r="L88" s="11">
        <f t="shared" si="45"/>
        <v>0</v>
      </c>
      <c r="M88" s="11">
        <f t="shared" si="45"/>
        <v>0</v>
      </c>
      <c r="N88" s="11">
        <f t="shared" si="45"/>
        <v>0</v>
      </c>
      <c r="O88" s="11">
        <f t="shared" si="45"/>
        <v>0</v>
      </c>
      <c r="P88" s="11">
        <f t="shared" si="45"/>
        <v>0</v>
      </c>
      <c r="Q88" s="11">
        <f t="shared" si="45"/>
        <v>0</v>
      </c>
      <c r="R88" s="11">
        <f t="shared" si="45"/>
        <v>0</v>
      </c>
      <c r="S88" s="11">
        <f t="shared" si="45"/>
        <v>0</v>
      </c>
      <c r="T88" s="11">
        <f t="shared" si="45"/>
        <v>0</v>
      </c>
      <c r="U88" s="11">
        <f t="shared" si="45"/>
        <v>0</v>
      </c>
      <c r="V88" s="11">
        <f t="shared" si="45"/>
        <v>0</v>
      </c>
      <c r="W88" s="11">
        <f t="shared" si="45"/>
        <v>0</v>
      </c>
      <c r="X88" s="11">
        <f t="shared" si="45"/>
        <v>0</v>
      </c>
      <c r="Y88" s="11">
        <f t="shared" si="45"/>
        <v>0</v>
      </c>
      <c r="Z88" s="11">
        <f t="shared" si="45"/>
        <v>0</v>
      </c>
      <c r="AA88" s="11">
        <f t="shared" si="45"/>
        <v>0</v>
      </c>
      <c r="AB88" s="11">
        <f t="shared" si="45"/>
        <v>0</v>
      </c>
      <c r="AC88" s="11">
        <f t="shared" si="45"/>
        <v>0</v>
      </c>
      <c r="AD88" s="11">
        <f t="shared" si="45"/>
        <v>0</v>
      </c>
      <c r="AE88" s="11">
        <f t="shared" si="45"/>
        <v>0</v>
      </c>
      <c r="AF88" s="11">
        <f t="shared" si="45"/>
        <v>0</v>
      </c>
      <c r="AG88" s="11">
        <f t="shared" si="45"/>
        <v>0</v>
      </c>
      <c r="AH88" s="11">
        <f t="shared" si="45"/>
        <v>0</v>
      </c>
      <c r="AI88" s="11">
        <f t="shared" si="45"/>
        <v>0</v>
      </c>
      <c r="AJ88" s="11">
        <f t="shared" si="45"/>
        <v>0</v>
      </c>
      <c r="AK88" s="11">
        <f t="shared" si="45"/>
        <v>0</v>
      </c>
      <c r="AL88" s="11">
        <f t="shared" si="45"/>
        <v>0</v>
      </c>
      <c r="AM88" s="11">
        <f t="shared" si="45"/>
        <v>0</v>
      </c>
      <c r="AN88" s="11">
        <f t="shared" si="45"/>
        <v>0</v>
      </c>
      <c r="AO88" s="11">
        <f t="shared" si="45"/>
        <v>0</v>
      </c>
      <c r="AP88" s="11">
        <f t="shared" si="45"/>
        <v>0</v>
      </c>
      <c r="AQ88" s="11">
        <f t="shared" si="45"/>
        <v>0</v>
      </c>
      <c r="AR88" s="11">
        <f t="shared" si="45"/>
        <v>0</v>
      </c>
      <c r="AS88" s="11">
        <f t="shared" si="45"/>
        <v>0</v>
      </c>
      <c r="AT88" s="11">
        <f t="shared" si="45"/>
        <v>0</v>
      </c>
      <c r="AU88" s="11">
        <f t="shared" si="45"/>
        <v>0</v>
      </c>
      <c r="AV88" s="11">
        <f t="shared" si="45"/>
        <v>0</v>
      </c>
      <c r="AW88" s="11">
        <f t="shared" si="45"/>
        <v>0</v>
      </c>
      <c r="AX88" s="11">
        <f t="shared" si="45"/>
        <v>0</v>
      </c>
      <c r="AY88" s="11">
        <f t="shared" si="45"/>
        <v>0</v>
      </c>
      <c r="AZ88" s="11">
        <f t="shared" si="45"/>
        <v>0</v>
      </c>
      <c r="BA88" s="11">
        <f t="shared" si="45"/>
        <v>0</v>
      </c>
      <c r="BB88" s="11">
        <f t="shared" si="45"/>
        <v>0</v>
      </c>
      <c r="BC88" s="11">
        <f t="shared" si="45"/>
        <v>0</v>
      </c>
      <c r="BD88" s="11">
        <f t="shared" si="45"/>
        <v>0</v>
      </c>
      <c r="BE88" s="11">
        <f t="shared" si="45"/>
        <v>0</v>
      </c>
      <c r="BF88" s="11">
        <f t="shared" si="45"/>
        <v>0</v>
      </c>
      <c r="BG88" s="11">
        <f t="shared" si="45"/>
        <v>0</v>
      </c>
      <c r="BH88" s="11">
        <f t="shared" si="45"/>
        <v>0</v>
      </c>
      <c r="BI88" s="11">
        <f t="shared" si="45"/>
        <v>0</v>
      </c>
      <c r="BJ88" s="11">
        <f t="shared" si="45"/>
        <v>0</v>
      </c>
      <c r="BK88" s="11">
        <f t="shared" si="45"/>
        <v>0</v>
      </c>
      <c r="BL88" s="11">
        <f t="shared" si="45"/>
        <v>0</v>
      </c>
      <c r="BM88" s="11">
        <f t="shared" si="45"/>
        <v>0</v>
      </c>
      <c r="BN88" s="11">
        <f t="shared" si="45"/>
        <v>0</v>
      </c>
      <c r="BO88" s="11">
        <f t="shared" si="45"/>
        <v>0</v>
      </c>
      <c r="BP88" s="11">
        <f t="shared" ref="BP88:CZ88" si="46">SUMPRODUCT($B82:$B87,BP82:BP87)</f>
        <v>0</v>
      </c>
      <c r="BQ88" s="11">
        <f t="shared" si="46"/>
        <v>0</v>
      </c>
      <c r="BR88" s="11">
        <f t="shared" si="46"/>
        <v>0</v>
      </c>
      <c r="BS88" s="11">
        <f t="shared" si="46"/>
        <v>0</v>
      </c>
      <c r="BT88" s="11">
        <f t="shared" si="46"/>
        <v>0</v>
      </c>
      <c r="BU88" s="11">
        <f t="shared" si="46"/>
        <v>0</v>
      </c>
      <c r="BV88" s="11">
        <f t="shared" si="46"/>
        <v>0</v>
      </c>
      <c r="BW88" s="11">
        <f t="shared" si="46"/>
        <v>0</v>
      </c>
      <c r="BX88" s="11">
        <f t="shared" si="46"/>
        <v>0</v>
      </c>
      <c r="BY88" s="11">
        <f t="shared" si="46"/>
        <v>0</v>
      </c>
      <c r="BZ88" s="11">
        <f t="shared" si="46"/>
        <v>0</v>
      </c>
      <c r="CA88" s="11">
        <f t="shared" si="46"/>
        <v>0</v>
      </c>
      <c r="CB88" s="11">
        <f t="shared" si="46"/>
        <v>0</v>
      </c>
      <c r="CC88" s="11">
        <f t="shared" si="46"/>
        <v>0</v>
      </c>
      <c r="CD88" s="11">
        <f t="shared" si="46"/>
        <v>0</v>
      </c>
      <c r="CE88" s="11">
        <f t="shared" si="46"/>
        <v>0</v>
      </c>
      <c r="CF88" s="11">
        <f t="shared" si="46"/>
        <v>0</v>
      </c>
      <c r="CG88" s="11">
        <f t="shared" si="46"/>
        <v>0</v>
      </c>
      <c r="CH88" s="11">
        <f t="shared" si="46"/>
        <v>0</v>
      </c>
      <c r="CI88" s="11">
        <f t="shared" si="46"/>
        <v>0</v>
      </c>
      <c r="CJ88" s="11">
        <f t="shared" si="46"/>
        <v>0</v>
      </c>
      <c r="CK88" s="11">
        <f t="shared" si="46"/>
        <v>0</v>
      </c>
      <c r="CL88" s="11">
        <f t="shared" si="46"/>
        <v>0</v>
      </c>
      <c r="CM88" s="11">
        <f t="shared" si="46"/>
        <v>0</v>
      </c>
      <c r="CN88" s="11">
        <f t="shared" si="46"/>
        <v>0</v>
      </c>
      <c r="CO88" s="11">
        <f t="shared" si="46"/>
        <v>0</v>
      </c>
      <c r="CP88" s="11">
        <f t="shared" si="46"/>
        <v>0</v>
      </c>
      <c r="CQ88" s="11">
        <f t="shared" si="46"/>
        <v>0</v>
      </c>
      <c r="CR88" s="11">
        <f t="shared" si="46"/>
        <v>0</v>
      </c>
      <c r="CS88" s="11">
        <f t="shared" si="46"/>
        <v>0</v>
      </c>
      <c r="CT88" s="11">
        <f t="shared" si="46"/>
        <v>0</v>
      </c>
      <c r="CU88" s="11">
        <f t="shared" si="46"/>
        <v>0</v>
      </c>
      <c r="CV88" s="11">
        <f t="shared" si="46"/>
        <v>0</v>
      </c>
      <c r="CW88" s="11">
        <f t="shared" si="46"/>
        <v>0</v>
      </c>
      <c r="CX88" s="11">
        <f t="shared" si="46"/>
        <v>0</v>
      </c>
      <c r="CY88" s="11">
        <f t="shared" si="46"/>
        <v>0</v>
      </c>
      <c r="CZ88" s="11">
        <f t="shared" si="46"/>
        <v>0</v>
      </c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</row>
    <row r="89" spans="1:122" ht="18" customHeight="1">
      <c r="A89" s="13" t="s">
        <v>63</v>
      </c>
      <c r="B89" s="14">
        <f>IFERROR(VLOOKUP(A89,PRICELIST!$A$3:$D$138,4,0),"-")</f>
        <v>172.53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9">
        <f t="shared" ref="CY89:CZ91" si="47">C89+E89+G89+I89+K89+M89+O89+Q89+S89+U89+W89+Y89+AA89+AC89+AE89+AG89+AI89+AK89+AM89+AO89+AQ89+AS89+AU89+AW89+AY89+BA89+BC89+BE89+BG89+BI89+BK89+BM89+BO89+BQ89+BS89+BU89+BW89+BY89+CA89+CC89+CE89+CG89+CI89+CK89+CM89+CO89+CQ89+CS89+CU89+CW89</f>
        <v>0</v>
      </c>
      <c r="CZ89" s="19">
        <f t="shared" si="47"/>
        <v>0</v>
      </c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</row>
    <row r="90" spans="1:122" ht="18" customHeight="1">
      <c r="A90" s="13" t="s">
        <v>64</v>
      </c>
      <c r="B90" s="14">
        <f>IFERROR(VLOOKUP(A90,PRICELIST!$A$3:$D$138,4,0),"-")</f>
        <v>50.46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9">
        <f t="shared" si="47"/>
        <v>0</v>
      </c>
      <c r="CZ90" s="19">
        <f t="shared" si="47"/>
        <v>0</v>
      </c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</row>
    <row r="91" spans="1:122" ht="18" customHeight="1">
      <c r="A91" s="13" t="s">
        <v>65</v>
      </c>
      <c r="B91" s="14">
        <f>IFERROR(VLOOKUP(A91,PRICELIST!$A$3:$D$138,4,0),"-")</f>
        <v>99.64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9">
        <f t="shared" si="47"/>
        <v>0</v>
      </c>
      <c r="CZ91" s="19">
        <f t="shared" si="47"/>
        <v>0</v>
      </c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</row>
    <row r="92" spans="1:122" ht="18" customHeight="1">
      <c r="A92" s="9" t="s">
        <v>66</v>
      </c>
      <c r="B92" s="10"/>
      <c r="C92" s="11">
        <f>SUMPRODUCT($B89:$B91,C89:C91)</f>
        <v>0</v>
      </c>
      <c r="D92" s="11">
        <f t="shared" ref="D92:BO92" si="48">SUMPRODUCT($B89:$B91,D89:D91)</f>
        <v>0</v>
      </c>
      <c r="E92" s="11">
        <f t="shared" si="48"/>
        <v>0</v>
      </c>
      <c r="F92" s="11">
        <f t="shared" si="48"/>
        <v>0</v>
      </c>
      <c r="G92" s="11">
        <f t="shared" si="48"/>
        <v>0</v>
      </c>
      <c r="H92" s="11">
        <f t="shared" si="48"/>
        <v>0</v>
      </c>
      <c r="I92" s="11">
        <f t="shared" si="48"/>
        <v>0</v>
      </c>
      <c r="J92" s="11">
        <f t="shared" si="48"/>
        <v>0</v>
      </c>
      <c r="K92" s="11">
        <f t="shared" si="48"/>
        <v>0</v>
      </c>
      <c r="L92" s="11">
        <f t="shared" si="48"/>
        <v>0</v>
      </c>
      <c r="M92" s="11">
        <f t="shared" si="48"/>
        <v>0</v>
      </c>
      <c r="N92" s="11">
        <f t="shared" si="48"/>
        <v>0</v>
      </c>
      <c r="O92" s="11">
        <f t="shared" si="48"/>
        <v>0</v>
      </c>
      <c r="P92" s="11">
        <f t="shared" si="48"/>
        <v>0</v>
      </c>
      <c r="Q92" s="11">
        <f t="shared" si="48"/>
        <v>0</v>
      </c>
      <c r="R92" s="11">
        <f t="shared" si="48"/>
        <v>0</v>
      </c>
      <c r="S92" s="11">
        <f t="shared" si="48"/>
        <v>0</v>
      </c>
      <c r="T92" s="11">
        <f t="shared" si="48"/>
        <v>0</v>
      </c>
      <c r="U92" s="11">
        <f t="shared" si="48"/>
        <v>0</v>
      </c>
      <c r="V92" s="11">
        <f t="shared" si="48"/>
        <v>0</v>
      </c>
      <c r="W92" s="11">
        <f t="shared" si="48"/>
        <v>0</v>
      </c>
      <c r="X92" s="11">
        <f t="shared" si="48"/>
        <v>0</v>
      </c>
      <c r="Y92" s="11">
        <f t="shared" si="48"/>
        <v>0</v>
      </c>
      <c r="Z92" s="11">
        <f t="shared" si="48"/>
        <v>0</v>
      </c>
      <c r="AA92" s="11">
        <f t="shared" si="48"/>
        <v>0</v>
      </c>
      <c r="AB92" s="11">
        <f t="shared" si="48"/>
        <v>0</v>
      </c>
      <c r="AC92" s="11">
        <f t="shared" si="48"/>
        <v>0</v>
      </c>
      <c r="AD92" s="11">
        <f t="shared" si="48"/>
        <v>0</v>
      </c>
      <c r="AE92" s="11">
        <f t="shared" si="48"/>
        <v>0</v>
      </c>
      <c r="AF92" s="11">
        <f t="shared" si="48"/>
        <v>0</v>
      </c>
      <c r="AG92" s="11">
        <f t="shared" si="48"/>
        <v>0</v>
      </c>
      <c r="AH92" s="11">
        <f t="shared" si="48"/>
        <v>0</v>
      </c>
      <c r="AI92" s="11">
        <f t="shared" si="48"/>
        <v>0</v>
      </c>
      <c r="AJ92" s="11">
        <f t="shared" si="48"/>
        <v>0</v>
      </c>
      <c r="AK92" s="11">
        <f t="shared" si="48"/>
        <v>0</v>
      </c>
      <c r="AL92" s="11">
        <f t="shared" si="48"/>
        <v>0</v>
      </c>
      <c r="AM92" s="11">
        <f t="shared" si="48"/>
        <v>0</v>
      </c>
      <c r="AN92" s="11">
        <f t="shared" si="48"/>
        <v>0</v>
      </c>
      <c r="AO92" s="11">
        <f t="shared" si="48"/>
        <v>0</v>
      </c>
      <c r="AP92" s="11">
        <f t="shared" si="48"/>
        <v>0</v>
      </c>
      <c r="AQ92" s="11">
        <f t="shared" si="48"/>
        <v>0</v>
      </c>
      <c r="AR92" s="11">
        <f t="shared" si="48"/>
        <v>0</v>
      </c>
      <c r="AS92" s="11">
        <f t="shared" si="48"/>
        <v>0</v>
      </c>
      <c r="AT92" s="11">
        <f t="shared" si="48"/>
        <v>0</v>
      </c>
      <c r="AU92" s="11">
        <f t="shared" si="48"/>
        <v>0</v>
      </c>
      <c r="AV92" s="11">
        <f t="shared" si="48"/>
        <v>0</v>
      </c>
      <c r="AW92" s="11">
        <f t="shared" si="48"/>
        <v>0</v>
      </c>
      <c r="AX92" s="11">
        <f t="shared" si="48"/>
        <v>0</v>
      </c>
      <c r="AY92" s="11">
        <f t="shared" si="48"/>
        <v>0</v>
      </c>
      <c r="AZ92" s="11">
        <f t="shared" si="48"/>
        <v>0</v>
      </c>
      <c r="BA92" s="11">
        <f t="shared" si="48"/>
        <v>0</v>
      </c>
      <c r="BB92" s="11">
        <f t="shared" si="48"/>
        <v>0</v>
      </c>
      <c r="BC92" s="11">
        <f t="shared" si="48"/>
        <v>0</v>
      </c>
      <c r="BD92" s="11">
        <f t="shared" si="48"/>
        <v>0</v>
      </c>
      <c r="BE92" s="11">
        <f t="shared" si="48"/>
        <v>0</v>
      </c>
      <c r="BF92" s="11">
        <f t="shared" si="48"/>
        <v>0</v>
      </c>
      <c r="BG92" s="11">
        <f t="shared" si="48"/>
        <v>0</v>
      </c>
      <c r="BH92" s="11">
        <f t="shared" si="48"/>
        <v>0</v>
      </c>
      <c r="BI92" s="11">
        <f t="shared" si="48"/>
        <v>0</v>
      </c>
      <c r="BJ92" s="11">
        <f t="shared" si="48"/>
        <v>0</v>
      </c>
      <c r="BK92" s="11">
        <f t="shared" si="48"/>
        <v>0</v>
      </c>
      <c r="BL92" s="11">
        <f t="shared" si="48"/>
        <v>0</v>
      </c>
      <c r="BM92" s="11">
        <f t="shared" si="48"/>
        <v>0</v>
      </c>
      <c r="BN92" s="11">
        <f t="shared" si="48"/>
        <v>0</v>
      </c>
      <c r="BO92" s="11">
        <f t="shared" si="48"/>
        <v>0</v>
      </c>
      <c r="BP92" s="11">
        <f t="shared" ref="BP92:CZ92" si="49">SUMPRODUCT($B89:$B91,BP89:BP91)</f>
        <v>0</v>
      </c>
      <c r="BQ92" s="11">
        <f t="shared" si="49"/>
        <v>0</v>
      </c>
      <c r="BR92" s="11">
        <f t="shared" si="49"/>
        <v>0</v>
      </c>
      <c r="BS92" s="11">
        <f t="shared" si="49"/>
        <v>0</v>
      </c>
      <c r="BT92" s="11">
        <f t="shared" si="49"/>
        <v>0</v>
      </c>
      <c r="BU92" s="11">
        <f t="shared" si="49"/>
        <v>0</v>
      </c>
      <c r="BV92" s="11">
        <f t="shared" si="49"/>
        <v>0</v>
      </c>
      <c r="BW92" s="11">
        <f t="shared" si="49"/>
        <v>0</v>
      </c>
      <c r="BX92" s="11">
        <f t="shared" si="49"/>
        <v>0</v>
      </c>
      <c r="BY92" s="11">
        <f t="shared" si="49"/>
        <v>0</v>
      </c>
      <c r="BZ92" s="11">
        <f t="shared" si="49"/>
        <v>0</v>
      </c>
      <c r="CA92" s="11">
        <f t="shared" si="49"/>
        <v>0</v>
      </c>
      <c r="CB92" s="11">
        <f t="shared" si="49"/>
        <v>0</v>
      </c>
      <c r="CC92" s="11">
        <f t="shared" si="49"/>
        <v>0</v>
      </c>
      <c r="CD92" s="11">
        <f t="shared" si="49"/>
        <v>0</v>
      </c>
      <c r="CE92" s="11">
        <f t="shared" si="49"/>
        <v>0</v>
      </c>
      <c r="CF92" s="11">
        <f t="shared" si="49"/>
        <v>0</v>
      </c>
      <c r="CG92" s="11">
        <f t="shared" si="49"/>
        <v>0</v>
      </c>
      <c r="CH92" s="11">
        <f t="shared" si="49"/>
        <v>0</v>
      </c>
      <c r="CI92" s="11">
        <f t="shared" si="49"/>
        <v>0</v>
      </c>
      <c r="CJ92" s="11">
        <f t="shared" si="49"/>
        <v>0</v>
      </c>
      <c r="CK92" s="11">
        <f t="shared" si="49"/>
        <v>0</v>
      </c>
      <c r="CL92" s="11">
        <f t="shared" si="49"/>
        <v>0</v>
      </c>
      <c r="CM92" s="11">
        <f t="shared" si="49"/>
        <v>0</v>
      </c>
      <c r="CN92" s="11">
        <f t="shared" si="49"/>
        <v>0</v>
      </c>
      <c r="CO92" s="11">
        <f t="shared" si="49"/>
        <v>0</v>
      </c>
      <c r="CP92" s="11">
        <f t="shared" si="49"/>
        <v>0</v>
      </c>
      <c r="CQ92" s="11">
        <f t="shared" si="49"/>
        <v>0</v>
      </c>
      <c r="CR92" s="11">
        <f t="shared" si="49"/>
        <v>0</v>
      </c>
      <c r="CS92" s="11">
        <f t="shared" si="49"/>
        <v>0</v>
      </c>
      <c r="CT92" s="11">
        <f t="shared" si="49"/>
        <v>0</v>
      </c>
      <c r="CU92" s="11">
        <f t="shared" si="49"/>
        <v>0</v>
      </c>
      <c r="CV92" s="11">
        <f t="shared" si="49"/>
        <v>0</v>
      </c>
      <c r="CW92" s="11">
        <f t="shared" si="49"/>
        <v>0</v>
      </c>
      <c r="CX92" s="11">
        <f t="shared" si="49"/>
        <v>0</v>
      </c>
      <c r="CY92" s="11">
        <f t="shared" si="49"/>
        <v>0</v>
      </c>
      <c r="CZ92" s="11">
        <f t="shared" si="49"/>
        <v>0</v>
      </c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</row>
    <row r="93" spans="1:122" ht="18" customHeight="1">
      <c r="A93" s="13" t="s">
        <v>67</v>
      </c>
      <c r="B93" s="14">
        <f>IFERROR(VLOOKUP(A93,PRICELIST!$A$3:$D$138,4,0),"-")</f>
        <v>140.13999999999999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9">
        <f t="shared" ref="CY93:CZ94" si="50">C93+E93+G93+I93+K93+M93+O93+Q93+S93+U93+W93+Y93+AA93+AC93+AE93+AG93+AI93+AK93+AM93+AO93+AQ93+AS93+AU93+AW93+AY93+BA93+BC93+BE93+BG93+BI93+BK93+BM93+BO93+BQ93+BS93+BU93+BW93+BY93+CA93+CC93+CE93+CG93+CI93+CK93+CM93+CO93+CQ93+CS93+CU93+CW93</f>
        <v>0</v>
      </c>
      <c r="CZ93" s="19">
        <f t="shared" si="50"/>
        <v>0</v>
      </c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</row>
    <row r="94" spans="1:122" ht="18" customHeight="1">
      <c r="A94" s="13" t="s">
        <v>68</v>
      </c>
      <c r="B94" s="14">
        <f>IFERROR(VLOOKUP(A94,PRICELIST!$A$3:$D$138,4,0),"-")</f>
        <v>203.14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9">
        <f t="shared" si="50"/>
        <v>0</v>
      </c>
      <c r="CZ94" s="19">
        <f t="shared" si="50"/>
        <v>0</v>
      </c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</row>
    <row r="95" spans="1:122" ht="18" customHeight="1">
      <c r="A95" s="9" t="s">
        <v>69</v>
      </c>
      <c r="B95" s="10"/>
      <c r="C95" s="11">
        <f>SUMPRODUCT($B93:$B94,C93:C94)</f>
        <v>0</v>
      </c>
      <c r="D95" s="11">
        <f t="shared" ref="D95:BO95" si="51">SUMPRODUCT($B93:$B94,D93:D94)</f>
        <v>0</v>
      </c>
      <c r="E95" s="11">
        <f t="shared" si="51"/>
        <v>0</v>
      </c>
      <c r="F95" s="11">
        <f t="shared" si="51"/>
        <v>0</v>
      </c>
      <c r="G95" s="11">
        <f t="shared" si="51"/>
        <v>0</v>
      </c>
      <c r="H95" s="11">
        <f t="shared" si="51"/>
        <v>0</v>
      </c>
      <c r="I95" s="11">
        <f t="shared" si="51"/>
        <v>0</v>
      </c>
      <c r="J95" s="11">
        <f t="shared" si="51"/>
        <v>0</v>
      </c>
      <c r="K95" s="11">
        <f t="shared" si="51"/>
        <v>0</v>
      </c>
      <c r="L95" s="11">
        <f t="shared" si="51"/>
        <v>0</v>
      </c>
      <c r="M95" s="11">
        <f t="shared" si="51"/>
        <v>0</v>
      </c>
      <c r="N95" s="11">
        <f t="shared" si="51"/>
        <v>0</v>
      </c>
      <c r="O95" s="11">
        <f t="shared" si="51"/>
        <v>0</v>
      </c>
      <c r="P95" s="11">
        <f t="shared" si="51"/>
        <v>0</v>
      </c>
      <c r="Q95" s="11">
        <f t="shared" si="51"/>
        <v>0</v>
      </c>
      <c r="R95" s="11">
        <f t="shared" si="51"/>
        <v>0</v>
      </c>
      <c r="S95" s="11">
        <f t="shared" si="51"/>
        <v>0</v>
      </c>
      <c r="T95" s="11">
        <f t="shared" si="51"/>
        <v>0</v>
      </c>
      <c r="U95" s="11">
        <f t="shared" si="51"/>
        <v>0</v>
      </c>
      <c r="V95" s="11">
        <f t="shared" si="51"/>
        <v>0</v>
      </c>
      <c r="W95" s="11">
        <f t="shared" si="51"/>
        <v>0</v>
      </c>
      <c r="X95" s="11">
        <f t="shared" si="51"/>
        <v>0</v>
      </c>
      <c r="Y95" s="11">
        <f t="shared" si="51"/>
        <v>0</v>
      </c>
      <c r="Z95" s="11">
        <f t="shared" si="51"/>
        <v>0</v>
      </c>
      <c r="AA95" s="11">
        <f t="shared" si="51"/>
        <v>0</v>
      </c>
      <c r="AB95" s="11">
        <f t="shared" si="51"/>
        <v>0</v>
      </c>
      <c r="AC95" s="11">
        <f t="shared" si="51"/>
        <v>0</v>
      </c>
      <c r="AD95" s="11">
        <f t="shared" si="51"/>
        <v>0</v>
      </c>
      <c r="AE95" s="11">
        <f t="shared" si="51"/>
        <v>0</v>
      </c>
      <c r="AF95" s="11">
        <f t="shared" si="51"/>
        <v>0</v>
      </c>
      <c r="AG95" s="11">
        <f t="shared" si="51"/>
        <v>0</v>
      </c>
      <c r="AH95" s="11">
        <f t="shared" si="51"/>
        <v>0</v>
      </c>
      <c r="AI95" s="11">
        <f t="shared" si="51"/>
        <v>0</v>
      </c>
      <c r="AJ95" s="11">
        <f t="shared" si="51"/>
        <v>0</v>
      </c>
      <c r="AK95" s="11">
        <f t="shared" si="51"/>
        <v>0</v>
      </c>
      <c r="AL95" s="11">
        <f t="shared" si="51"/>
        <v>0</v>
      </c>
      <c r="AM95" s="11">
        <f t="shared" si="51"/>
        <v>0</v>
      </c>
      <c r="AN95" s="11">
        <f t="shared" si="51"/>
        <v>0</v>
      </c>
      <c r="AO95" s="11">
        <f t="shared" si="51"/>
        <v>0</v>
      </c>
      <c r="AP95" s="11">
        <f t="shared" si="51"/>
        <v>0</v>
      </c>
      <c r="AQ95" s="11">
        <f t="shared" si="51"/>
        <v>0</v>
      </c>
      <c r="AR95" s="11">
        <f t="shared" si="51"/>
        <v>0</v>
      </c>
      <c r="AS95" s="11">
        <f t="shared" si="51"/>
        <v>0</v>
      </c>
      <c r="AT95" s="11">
        <f t="shared" si="51"/>
        <v>0</v>
      </c>
      <c r="AU95" s="11">
        <f t="shared" si="51"/>
        <v>0</v>
      </c>
      <c r="AV95" s="11">
        <f t="shared" si="51"/>
        <v>0</v>
      </c>
      <c r="AW95" s="11">
        <f t="shared" si="51"/>
        <v>0</v>
      </c>
      <c r="AX95" s="11">
        <f t="shared" si="51"/>
        <v>0</v>
      </c>
      <c r="AY95" s="11">
        <f t="shared" si="51"/>
        <v>0</v>
      </c>
      <c r="AZ95" s="11">
        <f t="shared" si="51"/>
        <v>0</v>
      </c>
      <c r="BA95" s="11">
        <f t="shared" si="51"/>
        <v>0</v>
      </c>
      <c r="BB95" s="11">
        <f t="shared" si="51"/>
        <v>0</v>
      </c>
      <c r="BC95" s="11">
        <f t="shared" si="51"/>
        <v>0</v>
      </c>
      <c r="BD95" s="11">
        <f t="shared" si="51"/>
        <v>0</v>
      </c>
      <c r="BE95" s="11">
        <f t="shared" si="51"/>
        <v>0</v>
      </c>
      <c r="BF95" s="11">
        <f t="shared" si="51"/>
        <v>0</v>
      </c>
      <c r="BG95" s="11">
        <f t="shared" si="51"/>
        <v>0</v>
      </c>
      <c r="BH95" s="11">
        <f t="shared" si="51"/>
        <v>0</v>
      </c>
      <c r="BI95" s="11">
        <f t="shared" si="51"/>
        <v>0</v>
      </c>
      <c r="BJ95" s="11">
        <f t="shared" si="51"/>
        <v>0</v>
      </c>
      <c r="BK95" s="11">
        <f t="shared" si="51"/>
        <v>0</v>
      </c>
      <c r="BL95" s="11">
        <f t="shared" si="51"/>
        <v>0</v>
      </c>
      <c r="BM95" s="11">
        <f t="shared" si="51"/>
        <v>0</v>
      </c>
      <c r="BN95" s="11">
        <f t="shared" si="51"/>
        <v>0</v>
      </c>
      <c r="BO95" s="11">
        <f t="shared" si="51"/>
        <v>0</v>
      </c>
      <c r="BP95" s="11">
        <f t="shared" ref="BP95:CZ95" si="52">SUMPRODUCT($B93:$B94,BP93:BP94)</f>
        <v>0</v>
      </c>
      <c r="BQ95" s="11">
        <f t="shared" si="52"/>
        <v>0</v>
      </c>
      <c r="BR95" s="11">
        <f t="shared" si="52"/>
        <v>0</v>
      </c>
      <c r="BS95" s="11">
        <f t="shared" si="52"/>
        <v>0</v>
      </c>
      <c r="BT95" s="11">
        <f t="shared" si="52"/>
        <v>0</v>
      </c>
      <c r="BU95" s="11">
        <f t="shared" si="52"/>
        <v>0</v>
      </c>
      <c r="BV95" s="11">
        <f t="shared" si="52"/>
        <v>0</v>
      </c>
      <c r="BW95" s="11">
        <f t="shared" si="52"/>
        <v>0</v>
      </c>
      <c r="BX95" s="11">
        <f t="shared" si="52"/>
        <v>0</v>
      </c>
      <c r="BY95" s="11">
        <f t="shared" si="52"/>
        <v>0</v>
      </c>
      <c r="BZ95" s="11">
        <f t="shared" si="52"/>
        <v>0</v>
      </c>
      <c r="CA95" s="11">
        <f t="shared" si="52"/>
        <v>0</v>
      </c>
      <c r="CB95" s="11">
        <f t="shared" si="52"/>
        <v>0</v>
      </c>
      <c r="CC95" s="11">
        <f t="shared" si="52"/>
        <v>0</v>
      </c>
      <c r="CD95" s="11">
        <f t="shared" si="52"/>
        <v>0</v>
      </c>
      <c r="CE95" s="11">
        <f t="shared" si="52"/>
        <v>0</v>
      </c>
      <c r="CF95" s="11">
        <f t="shared" si="52"/>
        <v>0</v>
      </c>
      <c r="CG95" s="11">
        <f t="shared" si="52"/>
        <v>0</v>
      </c>
      <c r="CH95" s="11">
        <f t="shared" si="52"/>
        <v>0</v>
      </c>
      <c r="CI95" s="11">
        <f t="shared" si="52"/>
        <v>0</v>
      </c>
      <c r="CJ95" s="11">
        <f t="shared" si="52"/>
        <v>0</v>
      </c>
      <c r="CK95" s="11">
        <f t="shared" si="52"/>
        <v>0</v>
      </c>
      <c r="CL95" s="11">
        <f t="shared" si="52"/>
        <v>0</v>
      </c>
      <c r="CM95" s="11">
        <f t="shared" si="52"/>
        <v>0</v>
      </c>
      <c r="CN95" s="11">
        <f t="shared" si="52"/>
        <v>0</v>
      </c>
      <c r="CO95" s="11">
        <f t="shared" si="52"/>
        <v>0</v>
      </c>
      <c r="CP95" s="11">
        <f t="shared" si="52"/>
        <v>0</v>
      </c>
      <c r="CQ95" s="11">
        <f t="shared" si="52"/>
        <v>0</v>
      </c>
      <c r="CR95" s="11">
        <f t="shared" si="52"/>
        <v>0</v>
      </c>
      <c r="CS95" s="11">
        <f t="shared" si="52"/>
        <v>0</v>
      </c>
      <c r="CT95" s="11">
        <f t="shared" si="52"/>
        <v>0</v>
      </c>
      <c r="CU95" s="11">
        <f t="shared" si="52"/>
        <v>0</v>
      </c>
      <c r="CV95" s="11">
        <f t="shared" si="52"/>
        <v>0</v>
      </c>
      <c r="CW95" s="11">
        <f t="shared" si="52"/>
        <v>0</v>
      </c>
      <c r="CX95" s="11">
        <f t="shared" si="52"/>
        <v>0</v>
      </c>
      <c r="CY95" s="11">
        <f t="shared" si="52"/>
        <v>0</v>
      </c>
      <c r="CZ95" s="11">
        <f t="shared" si="52"/>
        <v>0</v>
      </c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</row>
    <row r="96" spans="1:122" ht="18" customHeight="1">
      <c r="A96" s="34" t="s">
        <v>126</v>
      </c>
      <c r="B96" s="14">
        <f>IFERROR(VLOOKUP(A96,PRICELIST!$A$3:$D$138,4,0),"-")</f>
        <v>201.54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9">
        <f t="shared" ref="CY96:CZ98" si="53">C96+E96+G96+I96+K96+M96+O96+Q96+S96+U96+W96+Y96+AA96+AC96+AE96+AG96+AI96+AK96+AM96+AO96+AQ96+AS96+AU96+AW96+AY96+BA96+BC96+BE96+BG96+BI96+BK96+BM96+BO96+BQ96+BS96+BU96+BW96+BY96+CA96+CC96+CE96+CG96+CI96+CK96+CM96+CO96+CQ96+CS96+CU96+CW96</f>
        <v>0</v>
      </c>
      <c r="CZ96" s="19">
        <f t="shared" si="53"/>
        <v>0</v>
      </c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</row>
    <row r="97" spans="1:122" ht="18" customHeight="1">
      <c r="A97" s="13" t="s">
        <v>123</v>
      </c>
      <c r="B97" s="14">
        <f>IFERROR(VLOOKUP(A97,PRICELIST!$A$3:$D$138,4,0),"-")</f>
        <v>225.64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9">
        <f t="shared" si="53"/>
        <v>0</v>
      </c>
      <c r="CZ97" s="19">
        <f t="shared" si="53"/>
        <v>0</v>
      </c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</row>
    <row r="98" spans="1:122" ht="18" customHeight="1">
      <c r="A98" s="13" t="s">
        <v>131</v>
      </c>
      <c r="B98" s="14">
        <f>IFERROR(VLOOKUP(A98,PRICELIST!$A$3:$D$138,4,0),"-")</f>
        <v>198.64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9">
        <f t="shared" si="53"/>
        <v>0</v>
      </c>
      <c r="CZ98" s="19">
        <f t="shared" si="53"/>
        <v>0</v>
      </c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</row>
    <row r="99" spans="1:122" ht="18" customHeight="1">
      <c r="A99" s="9" t="s">
        <v>70</v>
      </c>
      <c r="B99" s="10"/>
      <c r="C99" s="11">
        <f t="shared" ref="C99:BN99" si="54">SUMPRODUCT($B96:$B98,C96:C98)</f>
        <v>0</v>
      </c>
      <c r="D99" s="11">
        <f t="shared" si="54"/>
        <v>0</v>
      </c>
      <c r="E99" s="11">
        <f t="shared" si="54"/>
        <v>0</v>
      </c>
      <c r="F99" s="11">
        <f t="shared" si="54"/>
        <v>0</v>
      </c>
      <c r="G99" s="11">
        <f t="shared" si="54"/>
        <v>0</v>
      </c>
      <c r="H99" s="11">
        <f t="shared" si="54"/>
        <v>0</v>
      </c>
      <c r="I99" s="11">
        <f t="shared" si="54"/>
        <v>0</v>
      </c>
      <c r="J99" s="11">
        <f t="shared" si="54"/>
        <v>0</v>
      </c>
      <c r="K99" s="11">
        <f t="shared" si="54"/>
        <v>0</v>
      </c>
      <c r="L99" s="11">
        <f t="shared" si="54"/>
        <v>0</v>
      </c>
      <c r="M99" s="11">
        <f t="shared" si="54"/>
        <v>0</v>
      </c>
      <c r="N99" s="11">
        <f t="shared" si="54"/>
        <v>0</v>
      </c>
      <c r="O99" s="11">
        <f t="shared" si="54"/>
        <v>0</v>
      </c>
      <c r="P99" s="11">
        <f t="shared" si="54"/>
        <v>0</v>
      </c>
      <c r="Q99" s="11">
        <f t="shared" si="54"/>
        <v>0</v>
      </c>
      <c r="R99" s="11">
        <f t="shared" si="54"/>
        <v>0</v>
      </c>
      <c r="S99" s="11">
        <f t="shared" si="54"/>
        <v>0</v>
      </c>
      <c r="T99" s="11">
        <f t="shared" si="54"/>
        <v>0</v>
      </c>
      <c r="U99" s="11">
        <f t="shared" si="54"/>
        <v>0</v>
      </c>
      <c r="V99" s="11">
        <f t="shared" si="54"/>
        <v>0</v>
      </c>
      <c r="W99" s="11">
        <f t="shared" si="54"/>
        <v>0</v>
      </c>
      <c r="X99" s="11">
        <f t="shared" si="54"/>
        <v>0</v>
      </c>
      <c r="Y99" s="11">
        <f t="shared" si="54"/>
        <v>0</v>
      </c>
      <c r="Z99" s="11">
        <f t="shared" si="54"/>
        <v>0</v>
      </c>
      <c r="AA99" s="11">
        <f t="shared" si="54"/>
        <v>0</v>
      </c>
      <c r="AB99" s="11">
        <f t="shared" si="54"/>
        <v>0</v>
      </c>
      <c r="AC99" s="11">
        <f t="shared" si="54"/>
        <v>0</v>
      </c>
      <c r="AD99" s="11">
        <f t="shared" si="54"/>
        <v>0</v>
      </c>
      <c r="AE99" s="11">
        <f t="shared" si="54"/>
        <v>0</v>
      </c>
      <c r="AF99" s="11">
        <f t="shared" si="54"/>
        <v>0</v>
      </c>
      <c r="AG99" s="11">
        <f t="shared" si="54"/>
        <v>0</v>
      </c>
      <c r="AH99" s="11">
        <f t="shared" si="54"/>
        <v>0</v>
      </c>
      <c r="AI99" s="11">
        <f t="shared" si="54"/>
        <v>0</v>
      </c>
      <c r="AJ99" s="11">
        <f t="shared" si="54"/>
        <v>0</v>
      </c>
      <c r="AK99" s="11">
        <f t="shared" si="54"/>
        <v>0</v>
      </c>
      <c r="AL99" s="11">
        <f t="shared" si="54"/>
        <v>0</v>
      </c>
      <c r="AM99" s="11">
        <f t="shared" si="54"/>
        <v>0</v>
      </c>
      <c r="AN99" s="11">
        <f t="shared" si="54"/>
        <v>0</v>
      </c>
      <c r="AO99" s="11">
        <f t="shared" si="54"/>
        <v>0</v>
      </c>
      <c r="AP99" s="11">
        <f t="shared" si="54"/>
        <v>0</v>
      </c>
      <c r="AQ99" s="11">
        <f t="shared" si="54"/>
        <v>0</v>
      </c>
      <c r="AR99" s="11">
        <f t="shared" si="54"/>
        <v>0</v>
      </c>
      <c r="AS99" s="11">
        <f t="shared" si="54"/>
        <v>0</v>
      </c>
      <c r="AT99" s="11">
        <f t="shared" si="54"/>
        <v>0</v>
      </c>
      <c r="AU99" s="11">
        <f t="shared" si="54"/>
        <v>0</v>
      </c>
      <c r="AV99" s="11">
        <f t="shared" si="54"/>
        <v>0</v>
      </c>
      <c r="AW99" s="11">
        <f t="shared" si="54"/>
        <v>0</v>
      </c>
      <c r="AX99" s="11">
        <f t="shared" si="54"/>
        <v>0</v>
      </c>
      <c r="AY99" s="11">
        <f t="shared" si="54"/>
        <v>0</v>
      </c>
      <c r="AZ99" s="11">
        <f t="shared" si="54"/>
        <v>0</v>
      </c>
      <c r="BA99" s="11">
        <f t="shared" si="54"/>
        <v>0</v>
      </c>
      <c r="BB99" s="11">
        <f t="shared" si="54"/>
        <v>0</v>
      </c>
      <c r="BC99" s="11">
        <f t="shared" si="54"/>
        <v>0</v>
      </c>
      <c r="BD99" s="11">
        <f t="shared" si="54"/>
        <v>0</v>
      </c>
      <c r="BE99" s="11">
        <f t="shared" si="54"/>
        <v>0</v>
      </c>
      <c r="BF99" s="11">
        <f t="shared" si="54"/>
        <v>0</v>
      </c>
      <c r="BG99" s="11">
        <f t="shared" si="54"/>
        <v>0</v>
      </c>
      <c r="BH99" s="11">
        <f t="shared" si="54"/>
        <v>0</v>
      </c>
      <c r="BI99" s="11">
        <f t="shared" si="54"/>
        <v>0</v>
      </c>
      <c r="BJ99" s="11">
        <f t="shared" si="54"/>
        <v>0</v>
      </c>
      <c r="BK99" s="11">
        <f t="shared" si="54"/>
        <v>0</v>
      </c>
      <c r="BL99" s="11">
        <f t="shared" si="54"/>
        <v>0</v>
      </c>
      <c r="BM99" s="11">
        <f t="shared" si="54"/>
        <v>0</v>
      </c>
      <c r="BN99" s="11">
        <f t="shared" si="54"/>
        <v>0</v>
      </c>
      <c r="BO99" s="11">
        <f t="shared" ref="BO99:CZ99" si="55">SUMPRODUCT($B96:$B98,BO96:BO98)</f>
        <v>0</v>
      </c>
      <c r="BP99" s="11">
        <f t="shared" si="55"/>
        <v>0</v>
      </c>
      <c r="BQ99" s="11">
        <f t="shared" si="55"/>
        <v>0</v>
      </c>
      <c r="BR99" s="11">
        <f t="shared" si="55"/>
        <v>0</v>
      </c>
      <c r="BS99" s="11">
        <f t="shared" si="55"/>
        <v>0</v>
      </c>
      <c r="BT99" s="11">
        <f t="shared" si="55"/>
        <v>0</v>
      </c>
      <c r="BU99" s="11">
        <f t="shared" si="55"/>
        <v>0</v>
      </c>
      <c r="BV99" s="11">
        <f t="shared" si="55"/>
        <v>0</v>
      </c>
      <c r="BW99" s="11">
        <f t="shared" si="55"/>
        <v>0</v>
      </c>
      <c r="BX99" s="11">
        <f t="shared" si="55"/>
        <v>0</v>
      </c>
      <c r="BY99" s="11">
        <f t="shared" si="55"/>
        <v>0</v>
      </c>
      <c r="BZ99" s="11">
        <f t="shared" si="55"/>
        <v>0</v>
      </c>
      <c r="CA99" s="11">
        <f t="shared" si="55"/>
        <v>0</v>
      </c>
      <c r="CB99" s="11">
        <f t="shared" si="55"/>
        <v>0</v>
      </c>
      <c r="CC99" s="11">
        <f t="shared" si="55"/>
        <v>0</v>
      </c>
      <c r="CD99" s="11">
        <f t="shared" si="55"/>
        <v>0</v>
      </c>
      <c r="CE99" s="11">
        <f t="shared" si="55"/>
        <v>0</v>
      </c>
      <c r="CF99" s="11">
        <f t="shared" si="55"/>
        <v>0</v>
      </c>
      <c r="CG99" s="11">
        <f t="shared" si="55"/>
        <v>0</v>
      </c>
      <c r="CH99" s="11">
        <f t="shared" si="55"/>
        <v>0</v>
      </c>
      <c r="CI99" s="11">
        <f t="shared" si="55"/>
        <v>0</v>
      </c>
      <c r="CJ99" s="11">
        <f t="shared" si="55"/>
        <v>0</v>
      </c>
      <c r="CK99" s="11">
        <f t="shared" si="55"/>
        <v>0</v>
      </c>
      <c r="CL99" s="11">
        <f t="shared" si="55"/>
        <v>0</v>
      </c>
      <c r="CM99" s="11">
        <f t="shared" si="55"/>
        <v>0</v>
      </c>
      <c r="CN99" s="11">
        <f t="shared" si="55"/>
        <v>0</v>
      </c>
      <c r="CO99" s="11">
        <f t="shared" si="55"/>
        <v>0</v>
      </c>
      <c r="CP99" s="11">
        <f t="shared" si="55"/>
        <v>0</v>
      </c>
      <c r="CQ99" s="11">
        <f t="shared" si="55"/>
        <v>0</v>
      </c>
      <c r="CR99" s="11">
        <f t="shared" si="55"/>
        <v>0</v>
      </c>
      <c r="CS99" s="11">
        <f t="shared" si="55"/>
        <v>0</v>
      </c>
      <c r="CT99" s="11">
        <f t="shared" si="55"/>
        <v>0</v>
      </c>
      <c r="CU99" s="11">
        <f t="shared" si="55"/>
        <v>0</v>
      </c>
      <c r="CV99" s="11">
        <f t="shared" si="55"/>
        <v>0</v>
      </c>
      <c r="CW99" s="11">
        <f t="shared" si="55"/>
        <v>0</v>
      </c>
      <c r="CX99" s="11">
        <f t="shared" si="55"/>
        <v>0</v>
      </c>
      <c r="CY99" s="11">
        <f t="shared" si="55"/>
        <v>0</v>
      </c>
      <c r="CZ99" s="11">
        <f t="shared" si="55"/>
        <v>0</v>
      </c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</row>
    <row r="100" spans="1:122" ht="18" customHeight="1">
      <c r="A100" s="13" t="s">
        <v>134</v>
      </c>
      <c r="B100" s="14">
        <f>IFERROR(VLOOKUP(A100,PRICELIST!$A$3:$D$138,4,0),"-")</f>
        <v>52.46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9">
        <f t="shared" ref="CY100:CZ109" si="56">C100+E100+G100+I100+K100+M100+O100+Q100+S100+U100+W100+Y100+AA100+AC100+AE100+AG100+AI100+AK100+AM100+AO100+AQ100+AS100+AU100+AW100+AY100+BA100+BC100+BE100+BG100+BI100+BK100+BM100+BO100+BQ100+BS100+BU100+BW100+BY100+CA100+CC100+CE100+CG100+CI100+CK100+CM100+CO100+CQ100+CS100+CU100+CW100</f>
        <v>0</v>
      </c>
      <c r="CZ100" s="19">
        <f t="shared" si="56"/>
        <v>0</v>
      </c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</row>
    <row r="101" spans="1:122" ht="18" customHeight="1">
      <c r="A101" s="13" t="s">
        <v>135</v>
      </c>
      <c r="B101" s="14">
        <f>IFERROR(VLOOKUP(A101,PRICELIST!$A$3:$D$138,4,0),"-")</f>
        <v>89.62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9">
        <f t="shared" si="56"/>
        <v>0</v>
      </c>
      <c r="CZ101" s="19">
        <f t="shared" si="56"/>
        <v>0</v>
      </c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</row>
    <row r="102" spans="1:122" ht="18" customHeight="1">
      <c r="A102" s="13" t="s">
        <v>136</v>
      </c>
      <c r="B102" s="14">
        <f>IFERROR(VLOOKUP(A102,PRICELIST!$A$3:$D$138,4,0),"-")</f>
        <v>83.41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9">
        <f t="shared" si="56"/>
        <v>0</v>
      </c>
      <c r="CZ102" s="19">
        <f t="shared" si="56"/>
        <v>0</v>
      </c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</row>
    <row r="103" spans="1:122" ht="18" customHeight="1">
      <c r="A103" s="13" t="s">
        <v>137</v>
      </c>
      <c r="B103" s="14">
        <f>IFERROR(VLOOKUP(A103,PRICELIST!$A$3:$D$138,4,0),"-")</f>
        <v>109.58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9">
        <f t="shared" si="56"/>
        <v>0</v>
      </c>
      <c r="CZ103" s="19">
        <f t="shared" si="56"/>
        <v>0</v>
      </c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</row>
    <row r="104" spans="1:122" ht="18" customHeight="1">
      <c r="A104" s="13" t="s">
        <v>140</v>
      </c>
      <c r="B104" s="14">
        <f>IFERROR(VLOOKUP(A104,PRICELIST!$A$3:$D$138,4,0),"-")</f>
        <v>28.8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9">
        <f>C104+E104+G104+I104+K104+M104+O104+Q104+S104+U104+W104+Y104+AA104+AC104+AE104+AG104+AI104+AK104+AM104+AO104+AQ104+AS104+AU104+AW104+AY104+BA104+BC104+BE104+BG104+BI104+BK104+BM104+BO104+BQ104+BS104+BU104+BW104+BY104+CA104+CC104+CE104+CG104+CI104+CK104+CM104+CO104+CQ104+CS104+CU104+CW104</f>
        <v>0</v>
      </c>
      <c r="CZ104" s="19">
        <f>D104+F104+H104+J104+L104+N104+P104+R104+T104+V104+X104+Z104+AB104+AD104+AF104+AH104+AJ104+AL104+AN104+AP104+AR104+AT104+AV104+AX104+AZ104+BB104+BD104+BF104+BH104+BJ104+BL104+BN104+BP104+BR104+BT104+BV104+BX104+BZ104+CB104+CD104+CF104+CH104+CJ104+CL104+CN104+CP104+CR104+CT104+CV104+CX104</f>
        <v>0</v>
      </c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</row>
    <row r="105" spans="1:122" ht="18" customHeight="1">
      <c r="A105" s="13" t="s">
        <v>141</v>
      </c>
      <c r="B105" s="14">
        <f>IFERROR(VLOOKUP(A105,PRICELIST!$A$3:$D$138,4,0),"-")</f>
        <v>60.43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9">
        <f>C105+E105+G105+I105+K105+M105+O105+Q105+S105+U105+W105+Y105+AA105+AC105+AE105+AG105+AI105+AK105+AM105+AO105+AQ105+AS105+AU105+AW105+AY105+BA105+BC105+BE105+BG105+BI105+BK105+BM105+BO105+BQ105+BS105+BU105+BW105+BY105+CA105+CC105+CE105+CG105+CI105+CK105+CM105+CO105+CQ105+CS105+CU105+CW105</f>
        <v>0</v>
      </c>
      <c r="CZ105" s="19">
        <f>D105+F105+H105+J105+L105+N105+P105+R105+T105+V105+X105+Z105+AB105+AD105+AF105+AH105+AJ105+AL105+AN105+AP105+AR105+AT105+AV105+AX105+AZ105+BB105+BD105+BF105+BH105+BJ105+BL105+BN105+BP105+BR105+BT105+BV105+BX105+BZ105+CB105+CD105+CF105+CH105+CJ105+CL105+CN105+CP105+CR105+CT105+CV105+CX105</f>
        <v>0</v>
      </c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</row>
    <row r="106" spans="1:122" ht="18" customHeight="1">
      <c r="A106" s="13" t="s">
        <v>138</v>
      </c>
      <c r="B106" s="14">
        <f>IFERROR(VLOOKUP(A106,PRICELIST!$A$3:$D$138,4,0),"-")</f>
        <v>96.43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9">
        <f t="shared" si="56"/>
        <v>0</v>
      </c>
      <c r="CZ106" s="19">
        <f t="shared" si="56"/>
        <v>0</v>
      </c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</row>
    <row r="107" spans="1:122" ht="18" customHeight="1">
      <c r="A107" s="13" t="s">
        <v>139</v>
      </c>
      <c r="B107" s="14">
        <f>IFERROR(VLOOKUP(A107,PRICELIST!$A$3:$D$138,4,0),"-")</f>
        <v>123.43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9">
        <f t="shared" si="56"/>
        <v>0</v>
      </c>
      <c r="CZ107" s="19">
        <f t="shared" si="56"/>
        <v>0</v>
      </c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</row>
    <row r="108" spans="1:122" ht="18" customHeight="1">
      <c r="A108" s="13" t="s">
        <v>142</v>
      </c>
      <c r="B108" s="14">
        <f>IFERROR(VLOOKUP(A108,PRICELIST!$A$3:$D$138,4,0),"-")</f>
        <v>121.5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9">
        <f t="shared" si="56"/>
        <v>0</v>
      </c>
      <c r="CZ108" s="19">
        <f t="shared" si="56"/>
        <v>0</v>
      </c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</row>
    <row r="109" spans="1:122" ht="18" customHeight="1">
      <c r="A109" s="13" t="s">
        <v>143</v>
      </c>
      <c r="B109" s="14">
        <f>IFERROR(VLOOKUP(A109,PRICELIST!$A$3:$D$138,4,0),"-")</f>
        <v>109.23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9">
        <f t="shared" si="56"/>
        <v>0</v>
      </c>
      <c r="CZ109" s="19">
        <f t="shared" si="56"/>
        <v>0</v>
      </c>
    </row>
    <row r="110" spans="1:122" ht="18" customHeight="1">
      <c r="A110" s="9" t="s">
        <v>144</v>
      </c>
      <c r="B110" s="10"/>
      <c r="C110" s="11">
        <f t="shared" ref="C110:AH110" si="57">SUMPRODUCT($B100:$B109,C100:C109)</f>
        <v>0</v>
      </c>
      <c r="D110" s="11">
        <f t="shared" si="57"/>
        <v>0</v>
      </c>
      <c r="E110" s="11">
        <f t="shared" si="57"/>
        <v>0</v>
      </c>
      <c r="F110" s="11">
        <f t="shared" si="57"/>
        <v>0</v>
      </c>
      <c r="G110" s="11">
        <f t="shared" si="57"/>
        <v>0</v>
      </c>
      <c r="H110" s="11">
        <f t="shared" si="57"/>
        <v>0</v>
      </c>
      <c r="I110" s="11">
        <f t="shared" si="57"/>
        <v>0</v>
      </c>
      <c r="J110" s="11">
        <f t="shared" si="57"/>
        <v>0</v>
      </c>
      <c r="K110" s="11">
        <f t="shared" si="57"/>
        <v>0</v>
      </c>
      <c r="L110" s="11">
        <f t="shared" si="57"/>
        <v>0</v>
      </c>
      <c r="M110" s="11">
        <f t="shared" si="57"/>
        <v>0</v>
      </c>
      <c r="N110" s="11">
        <f t="shared" si="57"/>
        <v>0</v>
      </c>
      <c r="O110" s="11">
        <f t="shared" si="57"/>
        <v>0</v>
      </c>
      <c r="P110" s="11">
        <f t="shared" si="57"/>
        <v>0</v>
      </c>
      <c r="Q110" s="11">
        <f t="shared" si="57"/>
        <v>0</v>
      </c>
      <c r="R110" s="11">
        <f t="shared" si="57"/>
        <v>0</v>
      </c>
      <c r="S110" s="11">
        <f t="shared" si="57"/>
        <v>0</v>
      </c>
      <c r="T110" s="11">
        <f t="shared" si="57"/>
        <v>0</v>
      </c>
      <c r="U110" s="11">
        <f t="shared" si="57"/>
        <v>0</v>
      </c>
      <c r="V110" s="11">
        <f t="shared" si="57"/>
        <v>0</v>
      </c>
      <c r="W110" s="11">
        <f t="shared" si="57"/>
        <v>0</v>
      </c>
      <c r="X110" s="11">
        <f t="shared" si="57"/>
        <v>0</v>
      </c>
      <c r="Y110" s="11">
        <f t="shared" si="57"/>
        <v>0</v>
      </c>
      <c r="Z110" s="11">
        <f t="shared" si="57"/>
        <v>0</v>
      </c>
      <c r="AA110" s="11">
        <f t="shared" si="57"/>
        <v>0</v>
      </c>
      <c r="AB110" s="11">
        <f t="shared" si="57"/>
        <v>0</v>
      </c>
      <c r="AC110" s="11">
        <f t="shared" si="57"/>
        <v>0</v>
      </c>
      <c r="AD110" s="11">
        <f t="shared" si="57"/>
        <v>0</v>
      </c>
      <c r="AE110" s="11">
        <f t="shared" si="57"/>
        <v>0</v>
      </c>
      <c r="AF110" s="11">
        <f t="shared" si="57"/>
        <v>0</v>
      </c>
      <c r="AG110" s="11">
        <f t="shared" si="57"/>
        <v>0</v>
      </c>
      <c r="AH110" s="11">
        <f t="shared" si="57"/>
        <v>0</v>
      </c>
      <c r="AI110" s="11">
        <f t="shared" ref="AI110:BN110" si="58">SUMPRODUCT($B100:$B109,AI100:AI109)</f>
        <v>0</v>
      </c>
      <c r="AJ110" s="11">
        <f t="shared" si="58"/>
        <v>0</v>
      </c>
      <c r="AK110" s="11">
        <f t="shared" si="58"/>
        <v>0</v>
      </c>
      <c r="AL110" s="11">
        <f t="shared" si="58"/>
        <v>0</v>
      </c>
      <c r="AM110" s="11">
        <f t="shared" si="58"/>
        <v>0</v>
      </c>
      <c r="AN110" s="11">
        <f t="shared" si="58"/>
        <v>0</v>
      </c>
      <c r="AO110" s="11">
        <f t="shared" si="58"/>
        <v>0</v>
      </c>
      <c r="AP110" s="11">
        <f t="shared" si="58"/>
        <v>0</v>
      </c>
      <c r="AQ110" s="11">
        <f t="shared" si="58"/>
        <v>0</v>
      </c>
      <c r="AR110" s="11">
        <f t="shared" si="58"/>
        <v>0</v>
      </c>
      <c r="AS110" s="11">
        <f t="shared" si="58"/>
        <v>0</v>
      </c>
      <c r="AT110" s="11">
        <f t="shared" si="58"/>
        <v>0</v>
      </c>
      <c r="AU110" s="11">
        <f t="shared" si="58"/>
        <v>0</v>
      </c>
      <c r="AV110" s="11">
        <f t="shared" si="58"/>
        <v>0</v>
      </c>
      <c r="AW110" s="11">
        <f t="shared" si="58"/>
        <v>0</v>
      </c>
      <c r="AX110" s="11">
        <f t="shared" si="58"/>
        <v>0</v>
      </c>
      <c r="AY110" s="11">
        <f t="shared" si="58"/>
        <v>0</v>
      </c>
      <c r="AZ110" s="11">
        <f t="shared" si="58"/>
        <v>0</v>
      </c>
      <c r="BA110" s="11">
        <f t="shared" si="58"/>
        <v>0</v>
      </c>
      <c r="BB110" s="11">
        <f t="shared" si="58"/>
        <v>0</v>
      </c>
      <c r="BC110" s="11">
        <f t="shared" si="58"/>
        <v>0</v>
      </c>
      <c r="BD110" s="11">
        <f t="shared" si="58"/>
        <v>0</v>
      </c>
      <c r="BE110" s="11">
        <f t="shared" si="58"/>
        <v>0</v>
      </c>
      <c r="BF110" s="11">
        <f t="shared" si="58"/>
        <v>0</v>
      </c>
      <c r="BG110" s="11">
        <f t="shared" si="58"/>
        <v>0</v>
      </c>
      <c r="BH110" s="11">
        <f t="shared" si="58"/>
        <v>0</v>
      </c>
      <c r="BI110" s="11">
        <f t="shared" si="58"/>
        <v>0</v>
      </c>
      <c r="BJ110" s="11">
        <f t="shared" si="58"/>
        <v>0</v>
      </c>
      <c r="BK110" s="11">
        <f t="shared" si="58"/>
        <v>0</v>
      </c>
      <c r="BL110" s="11">
        <f t="shared" si="58"/>
        <v>0</v>
      </c>
      <c r="BM110" s="11">
        <f t="shared" si="58"/>
        <v>0</v>
      </c>
      <c r="BN110" s="11">
        <f t="shared" si="58"/>
        <v>0</v>
      </c>
      <c r="BO110" s="11">
        <f t="shared" ref="BO110:CT110" si="59">SUMPRODUCT($B100:$B109,BO100:BO109)</f>
        <v>0</v>
      </c>
      <c r="BP110" s="11">
        <f t="shared" si="59"/>
        <v>0</v>
      </c>
      <c r="BQ110" s="11">
        <f t="shared" si="59"/>
        <v>0</v>
      </c>
      <c r="BR110" s="11">
        <f t="shared" si="59"/>
        <v>0</v>
      </c>
      <c r="BS110" s="11">
        <f t="shared" si="59"/>
        <v>0</v>
      </c>
      <c r="BT110" s="11">
        <f t="shared" si="59"/>
        <v>0</v>
      </c>
      <c r="BU110" s="11">
        <f t="shared" si="59"/>
        <v>0</v>
      </c>
      <c r="BV110" s="11">
        <f t="shared" si="59"/>
        <v>0</v>
      </c>
      <c r="BW110" s="11">
        <f t="shared" si="59"/>
        <v>0</v>
      </c>
      <c r="BX110" s="11">
        <f t="shared" si="59"/>
        <v>0</v>
      </c>
      <c r="BY110" s="11">
        <f t="shared" si="59"/>
        <v>0</v>
      </c>
      <c r="BZ110" s="11">
        <f t="shared" si="59"/>
        <v>0</v>
      </c>
      <c r="CA110" s="11">
        <f t="shared" si="59"/>
        <v>0</v>
      </c>
      <c r="CB110" s="11">
        <f t="shared" si="59"/>
        <v>0</v>
      </c>
      <c r="CC110" s="11">
        <f t="shared" si="59"/>
        <v>0</v>
      </c>
      <c r="CD110" s="11">
        <f t="shared" si="59"/>
        <v>0</v>
      </c>
      <c r="CE110" s="11">
        <f t="shared" si="59"/>
        <v>0</v>
      </c>
      <c r="CF110" s="11">
        <f t="shared" si="59"/>
        <v>0</v>
      </c>
      <c r="CG110" s="11">
        <f t="shared" si="59"/>
        <v>0</v>
      </c>
      <c r="CH110" s="11">
        <f t="shared" si="59"/>
        <v>0</v>
      </c>
      <c r="CI110" s="11">
        <f t="shared" si="59"/>
        <v>0</v>
      </c>
      <c r="CJ110" s="11">
        <f t="shared" si="59"/>
        <v>0</v>
      </c>
      <c r="CK110" s="11">
        <f t="shared" si="59"/>
        <v>0</v>
      </c>
      <c r="CL110" s="11">
        <f t="shared" si="59"/>
        <v>0</v>
      </c>
      <c r="CM110" s="11">
        <f t="shared" si="59"/>
        <v>0</v>
      </c>
      <c r="CN110" s="11">
        <f t="shared" si="59"/>
        <v>0</v>
      </c>
      <c r="CO110" s="11">
        <f t="shared" si="59"/>
        <v>0</v>
      </c>
      <c r="CP110" s="11">
        <f t="shared" si="59"/>
        <v>0</v>
      </c>
      <c r="CQ110" s="11">
        <f t="shared" si="59"/>
        <v>0</v>
      </c>
      <c r="CR110" s="11">
        <f t="shared" si="59"/>
        <v>0</v>
      </c>
      <c r="CS110" s="11">
        <f t="shared" si="59"/>
        <v>0</v>
      </c>
      <c r="CT110" s="11">
        <f t="shared" si="59"/>
        <v>0</v>
      </c>
      <c r="CU110" s="11">
        <f t="shared" ref="CU110:CZ110" si="60">SUMPRODUCT($B100:$B109,CU100:CU109)</f>
        <v>0</v>
      </c>
      <c r="CV110" s="11">
        <f t="shared" si="60"/>
        <v>0</v>
      </c>
      <c r="CW110" s="11">
        <f t="shared" si="60"/>
        <v>0</v>
      </c>
      <c r="CX110" s="11">
        <f t="shared" si="60"/>
        <v>0</v>
      </c>
      <c r="CY110" s="11">
        <f t="shared" si="60"/>
        <v>0</v>
      </c>
      <c r="CZ110" s="11">
        <f t="shared" si="60"/>
        <v>0</v>
      </c>
    </row>
    <row r="111" spans="1:122">
      <c r="A111" s="13" t="s">
        <v>146</v>
      </c>
      <c r="B111" s="14">
        <f>IFERROR(VLOOKUP(A111,PRICELIST!$A$3:$D$138,4,0),"-")</f>
        <v>31.29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9">
        <f t="shared" ref="CY111:CZ114" si="61">C111+E111+G111+I111+K111+M111+O111+Q111+S111+U111+W111+Y111+AA111+AC111+AE111+AG111+AI111+AK111+AM111+AO111+AQ111+AS111+AU111+AW111+AY111+BA111+BC111+BE111+BG111+BI111+BK111+BM111+BO111+BQ111+BS111+BU111+BW111+BY111+CA111+CC111+CE111+CG111+CI111+CK111+CM111+CO111+CQ111+CS111+CU111+CW111</f>
        <v>0</v>
      </c>
      <c r="CZ111" s="19">
        <f t="shared" si="61"/>
        <v>0</v>
      </c>
    </row>
    <row r="112" spans="1:122">
      <c r="A112" s="13" t="s">
        <v>147</v>
      </c>
      <c r="B112" s="14">
        <f>IFERROR(VLOOKUP(A112,PRICELIST!$A$3:$D$138,4,0),"-")</f>
        <v>68.36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9">
        <f t="shared" si="61"/>
        <v>0</v>
      </c>
      <c r="CZ112" s="19">
        <f t="shared" si="61"/>
        <v>0</v>
      </c>
    </row>
    <row r="113" spans="1:104">
      <c r="A113" s="13" t="s">
        <v>148</v>
      </c>
      <c r="B113" s="14">
        <f>IFERROR(VLOOKUP(A113,PRICELIST!$A$3:$D$138,4,0),"-")</f>
        <v>210.72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9">
        <f t="shared" si="61"/>
        <v>0</v>
      </c>
      <c r="CZ113" s="19">
        <f t="shared" si="61"/>
        <v>0</v>
      </c>
    </row>
    <row r="114" spans="1:104">
      <c r="A114" s="13" t="s">
        <v>149</v>
      </c>
      <c r="B114" s="14">
        <f>IFERROR(VLOOKUP(A114,PRICELIST!$A$3:$D$138,4,0),"-")</f>
        <v>180.9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9">
        <f t="shared" si="61"/>
        <v>0</v>
      </c>
      <c r="CZ114" s="19">
        <f t="shared" si="61"/>
        <v>0</v>
      </c>
    </row>
    <row r="115" spans="1:104">
      <c r="A115" s="9" t="s">
        <v>145</v>
      </c>
      <c r="B115" s="10"/>
      <c r="C115" s="11">
        <f>SUMPRODUCT($B111:$B114,C111:C114)</f>
        <v>0</v>
      </c>
      <c r="D115" s="11">
        <f t="shared" ref="D115:BO115" si="62">SUMPRODUCT($B111:$B114,D111:D114)</f>
        <v>0</v>
      </c>
      <c r="E115" s="11">
        <f t="shared" si="62"/>
        <v>0</v>
      </c>
      <c r="F115" s="11">
        <f t="shared" si="62"/>
        <v>0</v>
      </c>
      <c r="G115" s="11">
        <f t="shared" si="62"/>
        <v>0</v>
      </c>
      <c r="H115" s="11">
        <f t="shared" si="62"/>
        <v>0</v>
      </c>
      <c r="I115" s="11">
        <f t="shared" si="62"/>
        <v>0</v>
      </c>
      <c r="J115" s="11">
        <f t="shared" si="62"/>
        <v>0</v>
      </c>
      <c r="K115" s="11">
        <f t="shared" si="62"/>
        <v>0</v>
      </c>
      <c r="L115" s="11">
        <f t="shared" si="62"/>
        <v>0</v>
      </c>
      <c r="M115" s="11">
        <f t="shared" si="62"/>
        <v>0</v>
      </c>
      <c r="N115" s="11">
        <f t="shared" si="62"/>
        <v>0</v>
      </c>
      <c r="O115" s="11">
        <f t="shared" si="62"/>
        <v>0</v>
      </c>
      <c r="P115" s="11">
        <f t="shared" si="62"/>
        <v>0</v>
      </c>
      <c r="Q115" s="11">
        <f t="shared" si="62"/>
        <v>0</v>
      </c>
      <c r="R115" s="11">
        <f t="shared" si="62"/>
        <v>0</v>
      </c>
      <c r="S115" s="11">
        <f t="shared" si="62"/>
        <v>0</v>
      </c>
      <c r="T115" s="11">
        <f t="shared" si="62"/>
        <v>0</v>
      </c>
      <c r="U115" s="11">
        <f t="shared" si="62"/>
        <v>0</v>
      </c>
      <c r="V115" s="11">
        <f t="shared" si="62"/>
        <v>0</v>
      </c>
      <c r="W115" s="11">
        <f t="shared" si="62"/>
        <v>0</v>
      </c>
      <c r="X115" s="11">
        <f t="shared" si="62"/>
        <v>0</v>
      </c>
      <c r="Y115" s="11">
        <f t="shared" si="62"/>
        <v>0</v>
      </c>
      <c r="Z115" s="11">
        <f t="shared" si="62"/>
        <v>0</v>
      </c>
      <c r="AA115" s="11">
        <f t="shared" si="62"/>
        <v>0</v>
      </c>
      <c r="AB115" s="11">
        <f t="shared" si="62"/>
        <v>0</v>
      </c>
      <c r="AC115" s="11">
        <f t="shared" si="62"/>
        <v>0</v>
      </c>
      <c r="AD115" s="11">
        <f t="shared" si="62"/>
        <v>0</v>
      </c>
      <c r="AE115" s="11">
        <f t="shared" si="62"/>
        <v>0</v>
      </c>
      <c r="AF115" s="11">
        <f t="shared" si="62"/>
        <v>0</v>
      </c>
      <c r="AG115" s="11">
        <f t="shared" si="62"/>
        <v>0</v>
      </c>
      <c r="AH115" s="11">
        <f t="shared" si="62"/>
        <v>0</v>
      </c>
      <c r="AI115" s="11">
        <f t="shared" si="62"/>
        <v>0</v>
      </c>
      <c r="AJ115" s="11">
        <f t="shared" si="62"/>
        <v>0</v>
      </c>
      <c r="AK115" s="11">
        <f t="shared" si="62"/>
        <v>0</v>
      </c>
      <c r="AL115" s="11">
        <f t="shared" si="62"/>
        <v>0</v>
      </c>
      <c r="AM115" s="11">
        <f t="shared" si="62"/>
        <v>0</v>
      </c>
      <c r="AN115" s="11">
        <f t="shared" si="62"/>
        <v>0</v>
      </c>
      <c r="AO115" s="11">
        <f t="shared" si="62"/>
        <v>0</v>
      </c>
      <c r="AP115" s="11">
        <f t="shared" si="62"/>
        <v>0</v>
      </c>
      <c r="AQ115" s="11">
        <f t="shared" si="62"/>
        <v>0</v>
      </c>
      <c r="AR115" s="11">
        <f t="shared" si="62"/>
        <v>0</v>
      </c>
      <c r="AS115" s="11">
        <f t="shared" si="62"/>
        <v>0</v>
      </c>
      <c r="AT115" s="11">
        <f t="shared" si="62"/>
        <v>0</v>
      </c>
      <c r="AU115" s="11">
        <f t="shared" si="62"/>
        <v>0</v>
      </c>
      <c r="AV115" s="11">
        <f t="shared" si="62"/>
        <v>0</v>
      </c>
      <c r="AW115" s="11">
        <f t="shared" si="62"/>
        <v>0</v>
      </c>
      <c r="AX115" s="11">
        <f t="shared" si="62"/>
        <v>0</v>
      </c>
      <c r="AY115" s="11">
        <f t="shared" si="62"/>
        <v>0</v>
      </c>
      <c r="AZ115" s="11">
        <f t="shared" si="62"/>
        <v>0</v>
      </c>
      <c r="BA115" s="11">
        <f t="shared" si="62"/>
        <v>0</v>
      </c>
      <c r="BB115" s="11">
        <f t="shared" si="62"/>
        <v>0</v>
      </c>
      <c r="BC115" s="11">
        <f t="shared" si="62"/>
        <v>0</v>
      </c>
      <c r="BD115" s="11">
        <f t="shared" si="62"/>
        <v>0</v>
      </c>
      <c r="BE115" s="11">
        <f t="shared" si="62"/>
        <v>0</v>
      </c>
      <c r="BF115" s="11">
        <f t="shared" si="62"/>
        <v>0</v>
      </c>
      <c r="BG115" s="11">
        <f t="shared" si="62"/>
        <v>0</v>
      </c>
      <c r="BH115" s="11">
        <f t="shared" si="62"/>
        <v>0</v>
      </c>
      <c r="BI115" s="11">
        <f t="shared" si="62"/>
        <v>0</v>
      </c>
      <c r="BJ115" s="11">
        <f t="shared" si="62"/>
        <v>0</v>
      </c>
      <c r="BK115" s="11">
        <f t="shared" si="62"/>
        <v>0</v>
      </c>
      <c r="BL115" s="11">
        <f t="shared" si="62"/>
        <v>0</v>
      </c>
      <c r="BM115" s="11">
        <f t="shared" si="62"/>
        <v>0</v>
      </c>
      <c r="BN115" s="11">
        <f t="shared" si="62"/>
        <v>0</v>
      </c>
      <c r="BO115" s="11">
        <f t="shared" si="62"/>
        <v>0</v>
      </c>
      <c r="BP115" s="11">
        <f t="shared" ref="BP115:CZ115" si="63">SUMPRODUCT($B111:$B114,BP111:BP114)</f>
        <v>0</v>
      </c>
      <c r="BQ115" s="11">
        <f t="shared" si="63"/>
        <v>0</v>
      </c>
      <c r="BR115" s="11">
        <f t="shared" si="63"/>
        <v>0</v>
      </c>
      <c r="BS115" s="11">
        <f t="shared" si="63"/>
        <v>0</v>
      </c>
      <c r="BT115" s="11">
        <f t="shared" si="63"/>
        <v>0</v>
      </c>
      <c r="BU115" s="11">
        <f t="shared" si="63"/>
        <v>0</v>
      </c>
      <c r="BV115" s="11">
        <f t="shared" si="63"/>
        <v>0</v>
      </c>
      <c r="BW115" s="11">
        <f t="shared" si="63"/>
        <v>0</v>
      </c>
      <c r="BX115" s="11">
        <f t="shared" si="63"/>
        <v>0</v>
      </c>
      <c r="BY115" s="11">
        <f t="shared" si="63"/>
        <v>0</v>
      </c>
      <c r="BZ115" s="11">
        <f t="shared" si="63"/>
        <v>0</v>
      </c>
      <c r="CA115" s="11">
        <f t="shared" si="63"/>
        <v>0</v>
      </c>
      <c r="CB115" s="11">
        <f t="shared" si="63"/>
        <v>0</v>
      </c>
      <c r="CC115" s="11">
        <f t="shared" si="63"/>
        <v>0</v>
      </c>
      <c r="CD115" s="11">
        <f t="shared" si="63"/>
        <v>0</v>
      </c>
      <c r="CE115" s="11">
        <f t="shared" si="63"/>
        <v>0</v>
      </c>
      <c r="CF115" s="11">
        <f t="shared" si="63"/>
        <v>0</v>
      </c>
      <c r="CG115" s="11">
        <f t="shared" si="63"/>
        <v>0</v>
      </c>
      <c r="CH115" s="11">
        <f t="shared" si="63"/>
        <v>0</v>
      </c>
      <c r="CI115" s="11">
        <f t="shared" si="63"/>
        <v>0</v>
      </c>
      <c r="CJ115" s="11">
        <f t="shared" si="63"/>
        <v>0</v>
      </c>
      <c r="CK115" s="11">
        <f t="shared" si="63"/>
        <v>0</v>
      </c>
      <c r="CL115" s="11">
        <f t="shared" si="63"/>
        <v>0</v>
      </c>
      <c r="CM115" s="11">
        <f t="shared" si="63"/>
        <v>0</v>
      </c>
      <c r="CN115" s="11">
        <f t="shared" si="63"/>
        <v>0</v>
      </c>
      <c r="CO115" s="11">
        <f t="shared" si="63"/>
        <v>0</v>
      </c>
      <c r="CP115" s="11">
        <f t="shared" si="63"/>
        <v>0</v>
      </c>
      <c r="CQ115" s="11">
        <f t="shared" si="63"/>
        <v>0</v>
      </c>
      <c r="CR115" s="11">
        <f t="shared" si="63"/>
        <v>0</v>
      </c>
      <c r="CS115" s="11">
        <f t="shared" si="63"/>
        <v>0</v>
      </c>
      <c r="CT115" s="11">
        <f t="shared" si="63"/>
        <v>0</v>
      </c>
      <c r="CU115" s="11">
        <f t="shared" si="63"/>
        <v>0</v>
      </c>
      <c r="CV115" s="11">
        <f t="shared" si="63"/>
        <v>0</v>
      </c>
      <c r="CW115" s="11">
        <f t="shared" si="63"/>
        <v>0</v>
      </c>
      <c r="CX115" s="11">
        <f t="shared" si="63"/>
        <v>0</v>
      </c>
      <c r="CY115" s="11">
        <f t="shared" si="63"/>
        <v>0</v>
      </c>
      <c r="CZ115" s="11">
        <f t="shared" si="63"/>
        <v>0</v>
      </c>
    </row>
    <row r="116" spans="1:104">
      <c r="A116" s="4"/>
      <c r="B116" s="14" t="str">
        <f>IFERROR(VLOOKUP(A116,PRICELIST!$A$3:$D$138,4,0),"-")</f>
        <v>-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9">
        <f t="shared" ref="CY116:CZ118" si="64">C116+E116+G116+I116+K116+M116+O116+Q116+S116+U116+W116+Y116+AA116+AC116+AE116+AG116+AI116+AK116+AM116+AO116+AQ116+AS116+AU116+AW116+AY116+BA116+BC116+BE116+BG116+BI116+BK116+BM116+BO116+BQ116+BS116+BU116+BW116+BY116+CA116+CC116+CE116+CG116+CI116+CK116+CM116+CO116+CQ116+CS116+CU116+CW116</f>
        <v>0</v>
      </c>
      <c r="CZ116" s="19">
        <f t="shared" si="64"/>
        <v>0</v>
      </c>
    </row>
    <row r="117" spans="1:104">
      <c r="A117" s="4"/>
      <c r="B117" s="14" t="str">
        <f>IFERROR(VLOOKUP(A117,PRICELIST!$A$3:$D$138,4,0),"-")</f>
        <v>-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9">
        <f t="shared" si="64"/>
        <v>0</v>
      </c>
      <c r="CZ117" s="19">
        <f t="shared" si="64"/>
        <v>0</v>
      </c>
    </row>
    <row r="118" spans="1:104">
      <c r="A118" s="4"/>
      <c r="B118" s="14" t="str">
        <f>IFERROR(VLOOKUP(A118,PRICELIST!$A$3:$D$138,4,0),"-")</f>
        <v>-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9">
        <f t="shared" si="64"/>
        <v>0</v>
      </c>
      <c r="CZ118" s="19">
        <f t="shared" si="64"/>
        <v>0</v>
      </c>
    </row>
    <row r="119" spans="1:104">
      <c r="A119" s="9"/>
      <c r="B119" s="15"/>
      <c r="C119" s="5">
        <f>SUMPRODUCT($B116:$B118,C116:C118)</f>
        <v>0</v>
      </c>
      <c r="D119" s="5">
        <f t="shared" ref="D119:BO119" si="65">SUMPRODUCT($B116:$B118,D116:D118)</f>
        <v>0</v>
      </c>
      <c r="E119" s="5">
        <f t="shared" si="65"/>
        <v>0</v>
      </c>
      <c r="F119" s="5">
        <f t="shared" si="65"/>
        <v>0</v>
      </c>
      <c r="G119" s="5">
        <f t="shared" si="65"/>
        <v>0</v>
      </c>
      <c r="H119" s="5">
        <f t="shared" si="65"/>
        <v>0</v>
      </c>
      <c r="I119" s="5">
        <f t="shared" si="65"/>
        <v>0</v>
      </c>
      <c r="J119" s="5">
        <f t="shared" si="65"/>
        <v>0</v>
      </c>
      <c r="K119" s="5">
        <f t="shared" si="65"/>
        <v>0</v>
      </c>
      <c r="L119" s="5">
        <f t="shared" si="65"/>
        <v>0</v>
      </c>
      <c r="M119" s="5">
        <f t="shared" si="65"/>
        <v>0</v>
      </c>
      <c r="N119" s="5">
        <f t="shared" si="65"/>
        <v>0</v>
      </c>
      <c r="O119" s="5">
        <f t="shared" si="65"/>
        <v>0</v>
      </c>
      <c r="P119" s="5">
        <f t="shared" si="65"/>
        <v>0</v>
      </c>
      <c r="Q119" s="5">
        <f t="shared" si="65"/>
        <v>0</v>
      </c>
      <c r="R119" s="5">
        <f t="shared" si="65"/>
        <v>0</v>
      </c>
      <c r="S119" s="5">
        <f t="shared" si="65"/>
        <v>0</v>
      </c>
      <c r="T119" s="5">
        <f t="shared" si="65"/>
        <v>0</v>
      </c>
      <c r="U119" s="5">
        <f t="shared" si="65"/>
        <v>0</v>
      </c>
      <c r="V119" s="5">
        <f t="shared" si="65"/>
        <v>0</v>
      </c>
      <c r="W119" s="5">
        <f t="shared" si="65"/>
        <v>0</v>
      </c>
      <c r="X119" s="5">
        <f t="shared" si="65"/>
        <v>0</v>
      </c>
      <c r="Y119" s="5">
        <f t="shared" si="65"/>
        <v>0</v>
      </c>
      <c r="Z119" s="5">
        <f t="shared" si="65"/>
        <v>0</v>
      </c>
      <c r="AA119" s="5">
        <f t="shared" si="65"/>
        <v>0</v>
      </c>
      <c r="AB119" s="5">
        <f t="shared" si="65"/>
        <v>0</v>
      </c>
      <c r="AC119" s="5">
        <f t="shared" si="65"/>
        <v>0</v>
      </c>
      <c r="AD119" s="5">
        <f t="shared" si="65"/>
        <v>0</v>
      </c>
      <c r="AE119" s="5">
        <f t="shared" si="65"/>
        <v>0</v>
      </c>
      <c r="AF119" s="5">
        <f t="shared" si="65"/>
        <v>0</v>
      </c>
      <c r="AG119" s="5">
        <f t="shared" si="65"/>
        <v>0</v>
      </c>
      <c r="AH119" s="5">
        <f t="shared" si="65"/>
        <v>0</v>
      </c>
      <c r="AI119" s="5">
        <f t="shared" si="65"/>
        <v>0</v>
      </c>
      <c r="AJ119" s="5">
        <f t="shared" si="65"/>
        <v>0</v>
      </c>
      <c r="AK119" s="5">
        <f t="shared" si="65"/>
        <v>0</v>
      </c>
      <c r="AL119" s="5">
        <f t="shared" si="65"/>
        <v>0</v>
      </c>
      <c r="AM119" s="5">
        <f t="shared" si="65"/>
        <v>0</v>
      </c>
      <c r="AN119" s="5">
        <f t="shared" si="65"/>
        <v>0</v>
      </c>
      <c r="AO119" s="5">
        <f t="shared" si="65"/>
        <v>0</v>
      </c>
      <c r="AP119" s="5">
        <f t="shared" si="65"/>
        <v>0</v>
      </c>
      <c r="AQ119" s="5">
        <f t="shared" si="65"/>
        <v>0</v>
      </c>
      <c r="AR119" s="5">
        <f t="shared" si="65"/>
        <v>0</v>
      </c>
      <c r="AS119" s="5">
        <f t="shared" si="65"/>
        <v>0</v>
      </c>
      <c r="AT119" s="5">
        <f t="shared" si="65"/>
        <v>0</v>
      </c>
      <c r="AU119" s="5">
        <f t="shared" si="65"/>
        <v>0</v>
      </c>
      <c r="AV119" s="5">
        <f t="shared" si="65"/>
        <v>0</v>
      </c>
      <c r="AW119" s="5">
        <f t="shared" si="65"/>
        <v>0</v>
      </c>
      <c r="AX119" s="5">
        <f t="shared" si="65"/>
        <v>0</v>
      </c>
      <c r="AY119" s="5">
        <f t="shared" si="65"/>
        <v>0</v>
      </c>
      <c r="AZ119" s="5">
        <f t="shared" si="65"/>
        <v>0</v>
      </c>
      <c r="BA119" s="5">
        <f t="shared" si="65"/>
        <v>0</v>
      </c>
      <c r="BB119" s="5">
        <f t="shared" si="65"/>
        <v>0</v>
      </c>
      <c r="BC119" s="5">
        <f t="shared" si="65"/>
        <v>0</v>
      </c>
      <c r="BD119" s="5">
        <f t="shared" si="65"/>
        <v>0</v>
      </c>
      <c r="BE119" s="5">
        <f t="shared" si="65"/>
        <v>0</v>
      </c>
      <c r="BF119" s="5">
        <f t="shared" si="65"/>
        <v>0</v>
      </c>
      <c r="BG119" s="5">
        <f t="shared" si="65"/>
        <v>0</v>
      </c>
      <c r="BH119" s="5">
        <f t="shared" si="65"/>
        <v>0</v>
      </c>
      <c r="BI119" s="5">
        <f t="shared" si="65"/>
        <v>0</v>
      </c>
      <c r="BJ119" s="5">
        <f t="shared" si="65"/>
        <v>0</v>
      </c>
      <c r="BK119" s="5">
        <f t="shared" si="65"/>
        <v>0</v>
      </c>
      <c r="BL119" s="5">
        <f t="shared" si="65"/>
        <v>0</v>
      </c>
      <c r="BM119" s="5">
        <f t="shared" si="65"/>
        <v>0</v>
      </c>
      <c r="BN119" s="5">
        <f t="shared" si="65"/>
        <v>0</v>
      </c>
      <c r="BO119" s="5">
        <f t="shared" si="65"/>
        <v>0</v>
      </c>
      <c r="BP119" s="5">
        <f t="shared" ref="BP119:CZ119" si="66">SUMPRODUCT($B116:$B118,BP116:BP118)</f>
        <v>0</v>
      </c>
      <c r="BQ119" s="5">
        <f t="shared" si="66"/>
        <v>0</v>
      </c>
      <c r="BR119" s="5">
        <f t="shared" si="66"/>
        <v>0</v>
      </c>
      <c r="BS119" s="5">
        <f t="shared" si="66"/>
        <v>0</v>
      </c>
      <c r="BT119" s="5">
        <f t="shared" si="66"/>
        <v>0</v>
      </c>
      <c r="BU119" s="5">
        <f t="shared" si="66"/>
        <v>0</v>
      </c>
      <c r="BV119" s="5">
        <f t="shared" si="66"/>
        <v>0</v>
      </c>
      <c r="BW119" s="5">
        <f t="shared" si="66"/>
        <v>0</v>
      </c>
      <c r="BX119" s="5">
        <f t="shared" si="66"/>
        <v>0</v>
      </c>
      <c r="BY119" s="5">
        <f t="shared" si="66"/>
        <v>0</v>
      </c>
      <c r="BZ119" s="5">
        <f t="shared" si="66"/>
        <v>0</v>
      </c>
      <c r="CA119" s="5">
        <f t="shared" si="66"/>
        <v>0</v>
      </c>
      <c r="CB119" s="5">
        <f t="shared" si="66"/>
        <v>0</v>
      </c>
      <c r="CC119" s="5">
        <f t="shared" si="66"/>
        <v>0</v>
      </c>
      <c r="CD119" s="5">
        <f t="shared" si="66"/>
        <v>0</v>
      </c>
      <c r="CE119" s="5">
        <f t="shared" si="66"/>
        <v>0</v>
      </c>
      <c r="CF119" s="5">
        <f t="shared" si="66"/>
        <v>0</v>
      </c>
      <c r="CG119" s="5">
        <f t="shared" si="66"/>
        <v>0</v>
      </c>
      <c r="CH119" s="5">
        <f t="shared" si="66"/>
        <v>0</v>
      </c>
      <c r="CI119" s="5">
        <f t="shared" si="66"/>
        <v>0</v>
      </c>
      <c r="CJ119" s="5">
        <f t="shared" si="66"/>
        <v>0</v>
      </c>
      <c r="CK119" s="5">
        <f t="shared" si="66"/>
        <v>0</v>
      </c>
      <c r="CL119" s="5">
        <f t="shared" si="66"/>
        <v>0</v>
      </c>
      <c r="CM119" s="5">
        <f t="shared" si="66"/>
        <v>0</v>
      </c>
      <c r="CN119" s="5">
        <f t="shared" si="66"/>
        <v>0</v>
      </c>
      <c r="CO119" s="5">
        <f t="shared" si="66"/>
        <v>0</v>
      </c>
      <c r="CP119" s="5">
        <f t="shared" si="66"/>
        <v>0</v>
      </c>
      <c r="CQ119" s="5">
        <f t="shared" si="66"/>
        <v>0</v>
      </c>
      <c r="CR119" s="5">
        <f t="shared" si="66"/>
        <v>0</v>
      </c>
      <c r="CS119" s="5">
        <f t="shared" si="66"/>
        <v>0</v>
      </c>
      <c r="CT119" s="5">
        <f t="shared" si="66"/>
        <v>0</v>
      </c>
      <c r="CU119" s="5">
        <f t="shared" si="66"/>
        <v>0</v>
      </c>
      <c r="CV119" s="5">
        <f t="shared" si="66"/>
        <v>0</v>
      </c>
      <c r="CW119" s="5">
        <f t="shared" si="66"/>
        <v>0</v>
      </c>
      <c r="CX119" s="5">
        <f t="shared" si="66"/>
        <v>0</v>
      </c>
      <c r="CY119" s="5">
        <f t="shared" si="66"/>
        <v>0</v>
      </c>
      <c r="CZ119" s="5">
        <f t="shared" si="66"/>
        <v>0</v>
      </c>
    </row>
    <row r="120" spans="1:104" ht="15.5">
      <c r="A120" s="16" t="s">
        <v>71</v>
      </c>
      <c r="B120" s="17"/>
      <c r="C120" s="6">
        <f t="shared" ref="C120:AH120" si="67">SUM(C10,C20,C24,C27,C34,C37,C40,C47,C49,C53,C59,C71,C79,C81,C88,C92,C95,C99,C110,C115,C119)/100000</f>
        <v>0</v>
      </c>
      <c r="D120" s="6">
        <f t="shared" si="67"/>
        <v>0</v>
      </c>
      <c r="E120" s="6">
        <f t="shared" si="67"/>
        <v>0</v>
      </c>
      <c r="F120" s="6">
        <f t="shared" si="67"/>
        <v>0</v>
      </c>
      <c r="G120" s="6">
        <f t="shared" si="67"/>
        <v>0</v>
      </c>
      <c r="H120" s="6">
        <f t="shared" si="67"/>
        <v>0</v>
      </c>
      <c r="I120" s="6">
        <f t="shared" si="67"/>
        <v>0</v>
      </c>
      <c r="J120" s="6">
        <f t="shared" si="67"/>
        <v>0</v>
      </c>
      <c r="K120" s="6">
        <f t="shared" si="67"/>
        <v>0</v>
      </c>
      <c r="L120" s="6">
        <f t="shared" si="67"/>
        <v>0</v>
      </c>
      <c r="M120" s="6">
        <f t="shared" si="67"/>
        <v>0</v>
      </c>
      <c r="N120" s="6">
        <f t="shared" si="67"/>
        <v>0</v>
      </c>
      <c r="O120" s="6">
        <f t="shared" si="67"/>
        <v>0</v>
      </c>
      <c r="P120" s="6">
        <f t="shared" si="67"/>
        <v>0</v>
      </c>
      <c r="Q120" s="6">
        <f t="shared" si="67"/>
        <v>0</v>
      </c>
      <c r="R120" s="6">
        <f t="shared" si="67"/>
        <v>0</v>
      </c>
      <c r="S120" s="6">
        <f t="shared" si="67"/>
        <v>0</v>
      </c>
      <c r="T120" s="6">
        <f t="shared" si="67"/>
        <v>0</v>
      </c>
      <c r="U120" s="6">
        <f t="shared" si="67"/>
        <v>0</v>
      </c>
      <c r="V120" s="6">
        <f t="shared" si="67"/>
        <v>0</v>
      </c>
      <c r="W120" s="6">
        <f t="shared" si="67"/>
        <v>0</v>
      </c>
      <c r="X120" s="6">
        <f t="shared" si="67"/>
        <v>0</v>
      </c>
      <c r="Y120" s="6">
        <f t="shared" si="67"/>
        <v>0</v>
      </c>
      <c r="Z120" s="6">
        <f t="shared" si="67"/>
        <v>0</v>
      </c>
      <c r="AA120" s="6">
        <f t="shared" si="67"/>
        <v>0</v>
      </c>
      <c r="AB120" s="6">
        <f t="shared" si="67"/>
        <v>0</v>
      </c>
      <c r="AC120" s="6">
        <f t="shared" si="67"/>
        <v>0</v>
      </c>
      <c r="AD120" s="6">
        <f t="shared" si="67"/>
        <v>0</v>
      </c>
      <c r="AE120" s="6">
        <f t="shared" si="67"/>
        <v>0</v>
      </c>
      <c r="AF120" s="6">
        <f t="shared" si="67"/>
        <v>0</v>
      </c>
      <c r="AG120" s="6">
        <f t="shared" si="67"/>
        <v>0</v>
      </c>
      <c r="AH120" s="6">
        <f t="shared" si="67"/>
        <v>0</v>
      </c>
      <c r="AI120" s="6">
        <f t="shared" ref="AI120:BN120" si="68">SUM(AI10,AI20,AI24,AI27,AI34,AI37,AI40,AI47,AI49,AI53,AI59,AI71,AI79,AI81,AI88,AI92,AI95,AI99,AI110,AI115,AI119)/100000</f>
        <v>0</v>
      </c>
      <c r="AJ120" s="6">
        <f t="shared" si="68"/>
        <v>0</v>
      </c>
      <c r="AK120" s="6">
        <f t="shared" si="68"/>
        <v>0</v>
      </c>
      <c r="AL120" s="6">
        <f t="shared" si="68"/>
        <v>0</v>
      </c>
      <c r="AM120" s="6">
        <f t="shared" si="68"/>
        <v>0</v>
      </c>
      <c r="AN120" s="6">
        <f t="shared" si="68"/>
        <v>0</v>
      </c>
      <c r="AO120" s="6">
        <f t="shared" si="68"/>
        <v>0</v>
      </c>
      <c r="AP120" s="6">
        <f t="shared" si="68"/>
        <v>0</v>
      </c>
      <c r="AQ120" s="6">
        <f t="shared" si="68"/>
        <v>0</v>
      </c>
      <c r="AR120" s="6">
        <f t="shared" si="68"/>
        <v>0</v>
      </c>
      <c r="AS120" s="6">
        <f t="shared" si="68"/>
        <v>0</v>
      </c>
      <c r="AT120" s="6">
        <f t="shared" si="68"/>
        <v>0</v>
      </c>
      <c r="AU120" s="6">
        <f t="shared" si="68"/>
        <v>0</v>
      </c>
      <c r="AV120" s="6">
        <f t="shared" si="68"/>
        <v>0</v>
      </c>
      <c r="AW120" s="6">
        <f t="shared" si="68"/>
        <v>0</v>
      </c>
      <c r="AX120" s="6">
        <f t="shared" si="68"/>
        <v>0</v>
      </c>
      <c r="AY120" s="6">
        <f t="shared" si="68"/>
        <v>0</v>
      </c>
      <c r="AZ120" s="6">
        <f t="shared" si="68"/>
        <v>0</v>
      </c>
      <c r="BA120" s="6">
        <f t="shared" si="68"/>
        <v>0</v>
      </c>
      <c r="BB120" s="6">
        <f t="shared" si="68"/>
        <v>0</v>
      </c>
      <c r="BC120" s="6">
        <f t="shared" si="68"/>
        <v>0</v>
      </c>
      <c r="BD120" s="6">
        <f t="shared" si="68"/>
        <v>0</v>
      </c>
      <c r="BE120" s="6">
        <f t="shared" si="68"/>
        <v>0</v>
      </c>
      <c r="BF120" s="6">
        <f t="shared" si="68"/>
        <v>0</v>
      </c>
      <c r="BG120" s="6">
        <f t="shared" si="68"/>
        <v>0</v>
      </c>
      <c r="BH120" s="6">
        <f t="shared" si="68"/>
        <v>0</v>
      </c>
      <c r="BI120" s="6">
        <f t="shared" si="68"/>
        <v>0</v>
      </c>
      <c r="BJ120" s="6">
        <f t="shared" si="68"/>
        <v>0</v>
      </c>
      <c r="BK120" s="6">
        <f t="shared" si="68"/>
        <v>0</v>
      </c>
      <c r="BL120" s="6">
        <f t="shared" si="68"/>
        <v>0</v>
      </c>
      <c r="BM120" s="6">
        <f t="shared" si="68"/>
        <v>0</v>
      </c>
      <c r="BN120" s="6">
        <f t="shared" si="68"/>
        <v>0</v>
      </c>
      <c r="BO120" s="6">
        <f t="shared" ref="BO120:CT120" si="69">SUM(BO10,BO20,BO24,BO27,BO34,BO37,BO40,BO47,BO49,BO53,BO59,BO71,BO79,BO81,BO88,BO92,BO95,BO99,BO110,BO115,BO119)/100000</f>
        <v>0</v>
      </c>
      <c r="BP120" s="6">
        <f t="shared" si="69"/>
        <v>0</v>
      </c>
      <c r="BQ120" s="6">
        <f t="shared" si="69"/>
        <v>0</v>
      </c>
      <c r="BR120" s="6">
        <f t="shared" si="69"/>
        <v>0</v>
      </c>
      <c r="BS120" s="6">
        <f t="shared" si="69"/>
        <v>0</v>
      </c>
      <c r="BT120" s="6">
        <f t="shared" si="69"/>
        <v>0</v>
      </c>
      <c r="BU120" s="6">
        <f t="shared" si="69"/>
        <v>0</v>
      </c>
      <c r="BV120" s="6">
        <f t="shared" si="69"/>
        <v>0</v>
      </c>
      <c r="BW120" s="6">
        <f t="shared" si="69"/>
        <v>0</v>
      </c>
      <c r="BX120" s="6">
        <f t="shared" si="69"/>
        <v>0</v>
      </c>
      <c r="BY120" s="6">
        <f t="shared" si="69"/>
        <v>0</v>
      </c>
      <c r="BZ120" s="6">
        <f t="shared" si="69"/>
        <v>0</v>
      </c>
      <c r="CA120" s="6">
        <f t="shared" si="69"/>
        <v>0</v>
      </c>
      <c r="CB120" s="6">
        <f t="shared" si="69"/>
        <v>0</v>
      </c>
      <c r="CC120" s="6">
        <f t="shared" si="69"/>
        <v>0</v>
      </c>
      <c r="CD120" s="6">
        <f t="shared" si="69"/>
        <v>0</v>
      </c>
      <c r="CE120" s="6">
        <f t="shared" si="69"/>
        <v>0</v>
      </c>
      <c r="CF120" s="6">
        <f t="shared" si="69"/>
        <v>0</v>
      </c>
      <c r="CG120" s="6">
        <f t="shared" si="69"/>
        <v>0</v>
      </c>
      <c r="CH120" s="6">
        <f t="shared" si="69"/>
        <v>0</v>
      </c>
      <c r="CI120" s="6">
        <f t="shared" si="69"/>
        <v>0</v>
      </c>
      <c r="CJ120" s="6">
        <f t="shared" si="69"/>
        <v>0</v>
      </c>
      <c r="CK120" s="6">
        <f t="shared" si="69"/>
        <v>0</v>
      </c>
      <c r="CL120" s="6">
        <f t="shared" si="69"/>
        <v>0</v>
      </c>
      <c r="CM120" s="6">
        <f t="shared" si="69"/>
        <v>0</v>
      </c>
      <c r="CN120" s="6">
        <f t="shared" si="69"/>
        <v>0</v>
      </c>
      <c r="CO120" s="6">
        <f t="shared" si="69"/>
        <v>0</v>
      </c>
      <c r="CP120" s="6">
        <f t="shared" si="69"/>
        <v>0</v>
      </c>
      <c r="CQ120" s="6">
        <f t="shared" si="69"/>
        <v>0</v>
      </c>
      <c r="CR120" s="6">
        <f t="shared" si="69"/>
        <v>0</v>
      </c>
      <c r="CS120" s="6">
        <f t="shared" si="69"/>
        <v>0</v>
      </c>
      <c r="CT120" s="6">
        <f t="shared" si="69"/>
        <v>0</v>
      </c>
      <c r="CU120" s="6">
        <f t="shared" ref="CU120:CZ120" si="70">SUM(CU10,CU20,CU24,CU27,CU34,CU37,CU40,CU47,CU49,CU53,CU59,CU71,CU79,CU81,CU88,CU92,CU95,CU99,CU110,CU115,CU119)/100000</f>
        <v>0</v>
      </c>
      <c r="CV120" s="6">
        <f t="shared" si="70"/>
        <v>0</v>
      </c>
      <c r="CW120" s="6">
        <f t="shared" si="70"/>
        <v>0</v>
      </c>
      <c r="CX120" s="6">
        <f t="shared" si="70"/>
        <v>0</v>
      </c>
      <c r="CY120" s="6">
        <f t="shared" si="70"/>
        <v>0</v>
      </c>
      <c r="CZ120" s="6">
        <f t="shared" si="70"/>
        <v>0</v>
      </c>
    </row>
  </sheetData>
  <sheetProtection formatCells="0" selectLockedCells="1" autoFilter="0"/>
  <autoFilter ref="A2:CZ110" xr:uid="{00000000-0009-0000-0000-000008000000}"/>
  <mergeCells count="52">
    <mergeCell ref="CS1:CT1"/>
    <mergeCell ref="CU1:CV1"/>
    <mergeCell ref="CW1:CX1"/>
    <mergeCell ref="CY1:CZ1"/>
    <mergeCell ref="CG1:CH1"/>
    <mergeCell ref="CI1:CJ1"/>
    <mergeCell ref="CK1:CL1"/>
    <mergeCell ref="CM1:CN1"/>
    <mergeCell ref="CO1:CP1"/>
    <mergeCell ref="CQ1:CR1"/>
    <mergeCell ref="CE1:CF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BG1:BH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AI1:AJ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K1:L1"/>
    <mergeCell ref="A1:A2"/>
    <mergeCell ref="C1:D1"/>
    <mergeCell ref="E1:F1"/>
    <mergeCell ref="G1:H1"/>
    <mergeCell ref="I1:J1"/>
  </mergeCells>
  <pageMargins left="0.69930555555555596" right="0.69930555555555596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R12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:CZ121"/>
    </sheetView>
  </sheetViews>
  <sheetFormatPr defaultColWidth="9.1796875" defaultRowHeight="14.5"/>
  <cols>
    <col min="1" max="1" width="31.54296875" style="2" customWidth="1"/>
    <col min="2" max="2" width="8.81640625" style="3" customWidth="1"/>
    <col min="3" max="3" width="10" style="3" bestFit="1" customWidth="1"/>
    <col min="4" max="41" width="9.1796875" style="3"/>
    <col min="42" max="42" width="8.54296875" style="3" customWidth="1"/>
    <col min="43" max="43" width="7.54296875" style="3" customWidth="1"/>
    <col min="44" max="44" width="8.54296875" style="3" customWidth="1"/>
    <col min="45" max="45" width="7.54296875" style="3" customWidth="1"/>
    <col min="46" max="46" width="8.54296875" style="3" customWidth="1"/>
    <col min="47" max="47" width="7.54296875" style="3" customWidth="1"/>
    <col min="48" max="48" width="8.54296875" style="3" customWidth="1"/>
    <col min="49" max="49" width="7.54296875" style="3" customWidth="1"/>
    <col min="50" max="50" width="8.54296875" style="3" customWidth="1"/>
    <col min="51" max="51" width="7.54296875" style="3" customWidth="1"/>
    <col min="52" max="52" width="8.54296875" style="3" customWidth="1"/>
    <col min="53" max="53" width="7.54296875" style="3" customWidth="1"/>
    <col min="54" max="54" width="8.54296875" style="3" customWidth="1"/>
    <col min="55" max="55" width="7.54296875" style="3" customWidth="1"/>
    <col min="56" max="56" width="8.54296875" style="3" customWidth="1"/>
    <col min="57" max="57" width="7.54296875" style="3" customWidth="1"/>
    <col min="58" max="58" width="8.54296875" style="3" customWidth="1"/>
    <col min="59" max="59" width="7.54296875" style="3" customWidth="1"/>
    <col min="60" max="60" width="8.54296875" style="3" customWidth="1"/>
    <col min="61" max="61" width="7.54296875" style="3" customWidth="1"/>
    <col min="62" max="62" width="8.54296875" style="3" customWidth="1"/>
    <col min="63" max="63" width="7.54296875" style="3" customWidth="1"/>
    <col min="64" max="64" width="8.54296875" style="3" customWidth="1"/>
    <col min="65" max="65" width="7.54296875" style="3" customWidth="1"/>
    <col min="66" max="66" width="8.54296875" style="3" customWidth="1"/>
    <col min="67" max="67" width="7.54296875" style="3" customWidth="1"/>
    <col min="68" max="68" width="8.54296875" style="3" customWidth="1"/>
    <col min="69" max="69" width="7.54296875" style="3" customWidth="1"/>
    <col min="70" max="70" width="8.54296875" style="3" customWidth="1"/>
    <col min="71" max="71" width="7.54296875" style="3" customWidth="1"/>
    <col min="72" max="72" width="8.54296875" style="3" customWidth="1"/>
    <col min="73" max="73" width="7.54296875" style="3" customWidth="1"/>
    <col min="74" max="74" width="8.54296875" style="3" customWidth="1"/>
    <col min="75" max="75" width="7.54296875" style="3" customWidth="1"/>
    <col min="76" max="76" width="8.54296875" style="3" customWidth="1"/>
    <col min="77" max="77" width="7.54296875" style="3" customWidth="1"/>
    <col min="78" max="78" width="8.54296875" style="3" customWidth="1"/>
    <col min="79" max="79" width="7.54296875" style="3" customWidth="1"/>
    <col min="80" max="80" width="8.54296875" style="3" customWidth="1"/>
    <col min="81" max="81" width="7.54296875" style="3" customWidth="1"/>
    <col min="82" max="82" width="8.54296875" style="3" customWidth="1"/>
    <col min="83" max="83" width="7.54296875" style="3" customWidth="1"/>
    <col min="84" max="84" width="8.54296875" style="3" customWidth="1"/>
    <col min="85" max="85" width="7.54296875" style="3" customWidth="1"/>
    <col min="86" max="86" width="8.54296875" style="3" customWidth="1"/>
    <col min="87" max="87" width="7.54296875" style="3" customWidth="1"/>
    <col min="88" max="88" width="8.54296875" style="3" customWidth="1"/>
    <col min="89" max="89" width="7.54296875" style="3" customWidth="1"/>
    <col min="90" max="90" width="8.54296875" style="3" customWidth="1"/>
    <col min="91" max="91" width="7.54296875" style="3" customWidth="1"/>
    <col min="92" max="92" width="8.54296875" style="3" customWidth="1"/>
    <col min="93" max="93" width="7.54296875" style="3" customWidth="1"/>
    <col min="94" max="94" width="8.54296875" style="3" customWidth="1"/>
    <col min="95" max="95" width="7.54296875" style="3" customWidth="1"/>
    <col min="96" max="96" width="8.54296875" style="3" customWidth="1"/>
    <col min="97" max="97" width="7.54296875" style="3" customWidth="1"/>
    <col min="98" max="98" width="8.54296875" style="3" customWidth="1"/>
    <col min="99" max="99" width="7.54296875" style="3" customWidth="1"/>
    <col min="100" max="100" width="8.54296875" style="3" customWidth="1"/>
    <col min="101" max="101" width="7.54296875" style="3" customWidth="1"/>
    <col min="102" max="102" width="8.54296875" style="3" customWidth="1"/>
    <col min="103" max="103" width="11.81640625" style="3" customWidth="1"/>
    <col min="104" max="104" width="12.453125" style="3" customWidth="1"/>
    <col min="105" max="107" width="9.1796875" style="2"/>
    <col min="108" max="108" width="8" style="2" customWidth="1"/>
    <col min="109" max="16384" width="9.1796875" style="2"/>
  </cols>
  <sheetData>
    <row r="1" spans="1:122" s="37" customFormat="1" ht="19.5" customHeight="1">
      <c r="A1" s="44" t="s">
        <v>0</v>
      </c>
      <c r="B1" s="12"/>
      <c r="C1" s="46" t="str">
        <f>APRIL!C1</f>
        <v>VASU PHARMA DRUGS PVT LTD</v>
      </c>
      <c r="D1" s="46"/>
      <c r="E1" s="46" t="str">
        <f>APRIL!E1</f>
        <v>PRAKASH PHARMA DISTRIBUTORS</v>
      </c>
      <c r="F1" s="46"/>
      <c r="G1" s="46" t="str">
        <f>APRIL!G1</f>
        <v>Divya Pharma</v>
      </c>
      <c r="H1" s="46"/>
      <c r="I1" s="46" t="str">
        <f>APRIL!I1</f>
        <v>KEIMED PRIVATE LIMITED</v>
      </c>
      <c r="J1" s="46"/>
      <c r="K1" s="46" t="str">
        <f>APRIL!K1</f>
        <v>SAI SRIDHAR PHARMA PVT LTD</v>
      </c>
      <c r="L1" s="46"/>
      <c r="M1" s="46" t="str">
        <f>APRIL!M1</f>
        <v>SRI VENKATARAGHAVA AGENCIES</v>
      </c>
      <c r="N1" s="46"/>
      <c r="O1" s="46" t="str">
        <f>APRIL!O1</f>
        <v>SHREEJI DIST PVT LTD</v>
      </c>
      <c r="P1" s="46"/>
      <c r="Q1" s="46" t="str">
        <f>APRIL!Q1</f>
        <v>SVS PHARMA</v>
      </c>
      <c r="R1" s="46"/>
      <c r="S1" s="46" t="str">
        <f>APRIL!S1</f>
        <v>PHARMA DISTRIBUTORS</v>
      </c>
      <c r="T1" s="46"/>
      <c r="U1" s="46" t="str">
        <f>APRIL!U1</f>
        <v>SAI PHARMA DISTRIBUTERS PVT LTD</v>
      </c>
      <c r="V1" s="46"/>
      <c r="W1" s="46" t="str">
        <f>APRIL!W1</f>
        <v>ALANKRITA AGENCIES</v>
      </c>
      <c r="X1" s="46"/>
      <c r="Y1" s="46" t="str">
        <f>APRIL!Y1</f>
        <v>JAYA SURG &amp; PHARMA PVT LTD</v>
      </c>
      <c r="Z1" s="46"/>
      <c r="AA1" s="46" t="str">
        <f>APRIL!AA1</f>
        <v>MANASA MEDICAL AGENCIES</v>
      </c>
      <c r="AB1" s="46"/>
      <c r="AC1" s="46" t="str">
        <f>APRIL!AC1</f>
        <v>KARTHICK AGENCIES</v>
      </c>
      <c r="AD1" s="46"/>
      <c r="AE1" s="46" t="str">
        <f>APRIL!AE1</f>
        <v>NIRMALA AGENCIES</v>
      </c>
      <c r="AF1" s="46"/>
      <c r="AG1" s="46" t="str">
        <f>APRIL!AG1</f>
        <v>HIMALAYA MEDICAL AGENCIES</v>
      </c>
      <c r="AH1" s="46"/>
      <c r="AI1" s="46" t="str">
        <f>APRIL!AI1</f>
        <v xml:space="preserve">Maruthi </v>
      </c>
      <c r="AJ1" s="46"/>
      <c r="AK1" s="46" t="str">
        <f>APRIL!AK1</f>
        <v>LAXMI SAI MEDICAL AGENCIES</v>
      </c>
      <c r="AL1" s="46"/>
      <c r="AM1" s="46" t="str">
        <f>APRIL!AM1</f>
        <v>Patwari Pharma</v>
      </c>
      <c r="AN1" s="46"/>
      <c r="AO1" s="46" t="str">
        <f>APRIL!AO1</f>
        <v>Vishnu &amp; Co</v>
      </c>
      <c r="AP1" s="46"/>
      <c r="AQ1" s="46" t="str">
        <f>APRIL!AQ1</f>
        <v>SUMAN AGENCIES HYD PVT LTD</v>
      </c>
      <c r="AR1" s="46"/>
      <c r="AS1" s="46" t="str">
        <f>APRIL!AS1</f>
        <v>Sri Nirmala</v>
      </c>
      <c r="AT1" s="46"/>
      <c r="AU1" s="46" t="str">
        <f>APRIL!AU1</f>
        <v>SHREE SHARADA PHARMA</v>
      </c>
      <c r="AV1" s="46"/>
      <c r="AW1" s="46" t="str">
        <f>APRIL!AW1</f>
        <v>ALLIED PHARMA</v>
      </c>
      <c r="AX1" s="46"/>
      <c r="AY1" s="46" t="str">
        <f>APRIL!AY1</f>
        <v>GOEL DISTRIBUTER</v>
      </c>
      <c r="AZ1" s="46"/>
      <c r="BA1" s="46" t="str">
        <f>APRIL!BA1</f>
        <v>KAMALESH PHARMA</v>
      </c>
      <c r="BB1" s="46"/>
      <c r="BC1" s="46" t="str">
        <f>APRIL!BC1</f>
        <v>ARVIND PHARMA DISTRIBUTER</v>
      </c>
      <c r="BD1" s="46"/>
      <c r="BE1" s="46" t="str">
        <f>APRIL!BE1</f>
        <v>GOEL PHARMA</v>
      </c>
      <c r="BF1" s="46"/>
      <c r="BG1" s="46" t="str">
        <f>APRIL!BG1</f>
        <v>KRISHNA  PHARMACEUTICALS</v>
      </c>
      <c r="BH1" s="46"/>
      <c r="BI1" s="46" t="str">
        <f>APRIL!BI1</f>
        <v>AP DRUGS</v>
      </c>
      <c r="BJ1" s="46"/>
      <c r="BK1" s="46" t="str">
        <f>APRIL!BK1</f>
        <v>MAWA PHARMACEUTICALS</v>
      </c>
      <c r="BL1" s="46"/>
      <c r="BM1" s="46" t="str">
        <f>APRIL!BM1</f>
        <v>TIRUMALA AGENCIES</v>
      </c>
      <c r="BN1" s="46"/>
      <c r="BO1" s="46" t="str">
        <f>APRIL!BO1</f>
        <v>SREE HARI MEDICALS</v>
      </c>
      <c r="BP1" s="46"/>
      <c r="BQ1" s="46" t="str">
        <f>APRIL!BQ1</f>
        <v>SREE VENKATESHWARA MEDISOLUTIONS</v>
      </c>
      <c r="BR1" s="46"/>
      <c r="BS1" s="46" t="str">
        <f>APRIL!BS1</f>
        <v>SRI BALAJI DRUGS</v>
      </c>
      <c r="BT1" s="46"/>
      <c r="BU1" s="46" t="str">
        <f>APRIL!BU1</f>
        <v>VISHNU MEDICAL HALL</v>
      </c>
      <c r="BV1" s="46"/>
      <c r="BW1" s="46" t="str">
        <f>APRIL!BW1</f>
        <v>HYDERABAD SPECIALITY DRUGS</v>
      </c>
      <c r="BX1" s="46"/>
      <c r="BY1" s="46" t="str">
        <f>APRIL!BY1</f>
        <v>LORVEN PHARMA &amp; SURGICALS (CORP)</v>
      </c>
      <c r="BZ1" s="46"/>
      <c r="CA1" s="46" t="str">
        <f>APRIL!CA1</f>
        <v>AK PHARMA</v>
      </c>
      <c r="CB1" s="46"/>
      <c r="CC1" s="46" t="str">
        <f>APRIL!CC1</f>
        <v>OPTIVAL HEALTHSOLUTIONS</v>
      </c>
      <c r="CD1" s="46"/>
      <c r="CE1" s="46" t="str">
        <f>APRIL!CE1</f>
        <v>BALAJI MEDICAL AGENCIES</v>
      </c>
      <c r="CF1" s="46"/>
      <c r="CG1" s="46" t="str">
        <f>APRIL!CG1</f>
        <v>S42</v>
      </c>
      <c r="CH1" s="46"/>
      <c r="CI1" s="46" t="str">
        <f>APRIL!CI1</f>
        <v>S43</v>
      </c>
      <c r="CJ1" s="46"/>
      <c r="CK1" s="46" t="str">
        <f>APRIL!CK1</f>
        <v>S44</v>
      </c>
      <c r="CL1" s="46"/>
      <c r="CM1" s="46" t="str">
        <f>APRIL!CM1</f>
        <v>S45</v>
      </c>
      <c r="CN1" s="46"/>
      <c r="CO1" s="46" t="str">
        <f>APRIL!CO1</f>
        <v>S46</v>
      </c>
      <c r="CP1" s="46"/>
      <c r="CQ1" s="46" t="str">
        <f>APRIL!CQ1</f>
        <v>S47</v>
      </c>
      <c r="CR1" s="46"/>
      <c r="CS1" s="46" t="str">
        <f>APRIL!CS1</f>
        <v>S48</v>
      </c>
      <c r="CT1" s="46"/>
      <c r="CU1" s="46" t="str">
        <f>APRIL!CU1</f>
        <v>S49</v>
      </c>
      <c r="CV1" s="46"/>
      <c r="CW1" s="46" t="str">
        <f>APRIL!CW1</f>
        <v>S50</v>
      </c>
      <c r="CX1" s="46"/>
      <c r="CY1" s="43" t="s">
        <v>1</v>
      </c>
      <c r="CZ1" s="43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</row>
    <row r="2" spans="1:122" ht="43.5">
      <c r="A2" s="44"/>
      <c r="B2" s="12" t="s">
        <v>2</v>
      </c>
      <c r="C2" s="7" t="s">
        <v>90</v>
      </c>
      <c r="D2" s="7" t="s">
        <v>91</v>
      </c>
      <c r="E2" s="7" t="s">
        <v>90</v>
      </c>
      <c r="F2" s="7" t="s">
        <v>91</v>
      </c>
      <c r="G2" s="7" t="s">
        <v>90</v>
      </c>
      <c r="H2" s="7" t="s">
        <v>91</v>
      </c>
      <c r="I2" s="7" t="s">
        <v>90</v>
      </c>
      <c r="J2" s="7" t="s">
        <v>91</v>
      </c>
      <c r="K2" s="7" t="s">
        <v>90</v>
      </c>
      <c r="L2" s="7" t="s">
        <v>91</v>
      </c>
      <c r="M2" s="7" t="s">
        <v>90</v>
      </c>
      <c r="N2" s="7" t="s">
        <v>91</v>
      </c>
      <c r="O2" s="7" t="s">
        <v>90</v>
      </c>
      <c r="P2" s="7" t="s">
        <v>91</v>
      </c>
      <c r="Q2" s="7" t="s">
        <v>90</v>
      </c>
      <c r="R2" s="7" t="s">
        <v>91</v>
      </c>
      <c r="S2" s="7" t="s">
        <v>90</v>
      </c>
      <c r="T2" s="7" t="s">
        <v>91</v>
      </c>
      <c r="U2" s="7" t="s">
        <v>90</v>
      </c>
      <c r="V2" s="7" t="s">
        <v>91</v>
      </c>
      <c r="W2" s="7" t="s">
        <v>90</v>
      </c>
      <c r="X2" s="7" t="s">
        <v>91</v>
      </c>
      <c r="Y2" s="7" t="s">
        <v>90</v>
      </c>
      <c r="Z2" s="7" t="s">
        <v>91</v>
      </c>
      <c r="AA2" s="7" t="s">
        <v>90</v>
      </c>
      <c r="AB2" s="7" t="s">
        <v>91</v>
      </c>
      <c r="AC2" s="7" t="s">
        <v>90</v>
      </c>
      <c r="AD2" s="7" t="s">
        <v>91</v>
      </c>
      <c r="AE2" s="7" t="s">
        <v>90</v>
      </c>
      <c r="AF2" s="7" t="s">
        <v>91</v>
      </c>
      <c r="AG2" s="7" t="s">
        <v>90</v>
      </c>
      <c r="AH2" s="7" t="s">
        <v>91</v>
      </c>
      <c r="AI2" s="7" t="s">
        <v>90</v>
      </c>
      <c r="AJ2" s="7" t="s">
        <v>91</v>
      </c>
      <c r="AK2" s="7" t="s">
        <v>90</v>
      </c>
      <c r="AL2" s="7" t="s">
        <v>91</v>
      </c>
      <c r="AM2" s="7" t="s">
        <v>90</v>
      </c>
      <c r="AN2" s="7" t="s">
        <v>91</v>
      </c>
      <c r="AO2" s="7" t="s">
        <v>90</v>
      </c>
      <c r="AP2" s="7" t="s">
        <v>91</v>
      </c>
      <c r="AQ2" s="7" t="s">
        <v>90</v>
      </c>
      <c r="AR2" s="7" t="s">
        <v>91</v>
      </c>
      <c r="AS2" s="7" t="s">
        <v>90</v>
      </c>
      <c r="AT2" s="7" t="s">
        <v>91</v>
      </c>
      <c r="AU2" s="7" t="s">
        <v>90</v>
      </c>
      <c r="AV2" s="7" t="s">
        <v>91</v>
      </c>
      <c r="AW2" s="7" t="s">
        <v>90</v>
      </c>
      <c r="AX2" s="7" t="s">
        <v>91</v>
      </c>
      <c r="AY2" s="7" t="s">
        <v>90</v>
      </c>
      <c r="AZ2" s="7" t="s">
        <v>91</v>
      </c>
      <c r="BA2" s="7" t="s">
        <v>90</v>
      </c>
      <c r="BB2" s="7" t="s">
        <v>91</v>
      </c>
      <c r="BC2" s="7" t="s">
        <v>90</v>
      </c>
      <c r="BD2" s="7" t="s">
        <v>91</v>
      </c>
      <c r="BE2" s="7" t="s">
        <v>90</v>
      </c>
      <c r="BF2" s="7" t="s">
        <v>91</v>
      </c>
      <c r="BG2" s="7" t="s">
        <v>90</v>
      </c>
      <c r="BH2" s="7" t="s">
        <v>91</v>
      </c>
      <c r="BI2" s="7" t="s">
        <v>90</v>
      </c>
      <c r="BJ2" s="7" t="s">
        <v>91</v>
      </c>
      <c r="BK2" s="7" t="s">
        <v>90</v>
      </c>
      <c r="BL2" s="7" t="s">
        <v>91</v>
      </c>
      <c r="BM2" s="7" t="s">
        <v>90</v>
      </c>
      <c r="BN2" s="7" t="s">
        <v>91</v>
      </c>
      <c r="BO2" s="7" t="s">
        <v>90</v>
      </c>
      <c r="BP2" s="7" t="s">
        <v>91</v>
      </c>
      <c r="BQ2" s="7" t="s">
        <v>90</v>
      </c>
      <c r="BR2" s="7" t="s">
        <v>91</v>
      </c>
      <c r="BS2" s="7" t="s">
        <v>90</v>
      </c>
      <c r="BT2" s="7" t="s">
        <v>91</v>
      </c>
      <c r="BU2" s="7" t="s">
        <v>90</v>
      </c>
      <c r="BV2" s="7" t="s">
        <v>91</v>
      </c>
      <c r="BW2" s="7" t="s">
        <v>90</v>
      </c>
      <c r="BX2" s="7" t="s">
        <v>91</v>
      </c>
      <c r="BY2" s="7" t="s">
        <v>90</v>
      </c>
      <c r="BZ2" s="7" t="s">
        <v>91</v>
      </c>
      <c r="CA2" s="7" t="s">
        <v>90</v>
      </c>
      <c r="CB2" s="7" t="s">
        <v>91</v>
      </c>
      <c r="CC2" s="7" t="s">
        <v>90</v>
      </c>
      <c r="CD2" s="7" t="s">
        <v>91</v>
      </c>
      <c r="CE2" s="7" t="s">
        <v>90</v>
      </c>
      <c r="CF2" s="7" t="s">
        <v>91</v>
      </c>
      <c r="CG2" s="7" t="s">
        <v>90</v>
      </c>
      <c r="CH2" s="7" t="s">
        <v>91</v>
      </c>
      <c r="CI2" s="7" t="s">
        <v>90</v>
      </c>
      <c r="CJ2" s="7" t="s">
        <v>91</v>
      </c>
      <c r="CK2" s="7" t="s">
        <v>90</v>
      </c>
      <c r="CL2" s="7" t="s">
        <v>91</v>
      </c>
      <c r="CM2" s="7" t="s">
        <v>90</v>
      </c>
      <c r="CN2" s="7" t="s">
        <v>91</v>
      </c>
      <c r="CO2" s="7" t="s">
        <v>90</v>
      </c>
      <c r="CP2" s="7" t="s">
        <v>91</v>
      </c>
      <c r="CQ2" s="7" t="s">
        <v>90</v>
      </c>
      <c r="CR2" s="7" t="s">
        <v>91</v>
      </c>
      <c r="CS2" s="7" t="s">
        <v>90</v>
      </c>
      <c r="CT2" s="7" t="s">
        <v>91</v>
      </c>
      <c r="CU2" s="7" t="s">
        <v>90</v>
      </c>
      <c r="CV2" s="7" t="s">
        <v>91</v>
      </c>
      <c r="CW2" s="7" t="s">
        <v>90</v>
      </c>
      <c r="CX2" s="7" t="s">
        <v>91</v>
      </c>
      <c r="CY2" s="7" t="s">
        <v>90</v>
      </c>
      <c r="CZ2" s="7" t="s">
        <v>91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</row>
    <row r="3" spans="1:122" ht="18" customHeight="1">
      <c r="A3" s="13" t="s">
        <v>3</v>
      </c>
      <c r="B3" s="14">
        <f>IFERROR(VLOOKUP(A3,PRICELIST!$A$3:$D$138,4,0),"-")</f>
        <v>167.79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9">
        <f>C3+E3+G3+I3+K3+M3+O3+Q3+S3+U3+W3+Y3+AA3+AC3+AE3+AG3+AI3+AK3+AM3+AO3+AQ3+AS3+AU3+AW3+AY3+BA3+BC3+BE3+BG3+BI3+BK3+BM3+BO3+BQ3+BS3+BU3+BW3+BY3+CA3+CC3+CE3+CG3+CI3+CK3+CM3+CO3+CQ3+CS3+CU3+CW3</f>
        <v>0</v>
      </c>
      <c r="CZ3" s="19">
        <f>D3+F3+H3+J3+L3+N3+P3+R3+T3+V3+X3+Z3+AB3+AD3+AF3+AH3+AJ3+AL3+AN3+AP3+AR3+AT3+AV3+AX3+AZ3+BB3+BD3+BF3+BH3+BJ3+BL3+BN3+BP3+BR3+BT3+BV3+BX3+BZ3+CB3+CD3+CF3+CH3+CJ3+CL3+CN3+CP3+CR3+CT3+CV3+CX3</f>
        <v>0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</row>
    <row r="4" spans="1:122" ht="18" customHeight="1">
      <c r="A4" s="13" t="s">
        <v>4</v>
      </c>
      <c r="B4" s="14">
        <f>IFERROR(VLOOKUP(A4,PRICELIST!$A$3:$D$138,4,0),"-")</f>
        <v>112.5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9">
        <f t="shared" ref="CY4:CZ9" si="0">C4+E4+G4+I4+K4+M4+O4+Q4+S4+U4+W4+Y4+AA4+AC4+AE4+AG4+AI4+AK4+AM4+AO4+AQ4+AS4+AU4+AW4+AY4+BA4+BC4+BE4+BG4+BI4+BK4+BM4+BO4+BQ4+BS4+BU4+BW4+BY4+CA4+CC4+CE4+CG4+CI4+CK4+CM4+CO4+CQ4+CS4+CU4+CW4</f>
        <v>0</v>
      </c>
      <c r="CZ4" s="19">
        <f t="shared" si="0"/>
        <v>0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</row>
    <row r="5" spans="1:122" ht="18" customHeight="1">
      <c r="A5" s="13" t="s">
        <v>5</v>
      </c>
      <c r="B5" s="14">
        <f>IFERROR(VLOOKUP(A5,PRICELIST!$A$3:$D$138,4,0),"-")</f>
        <v>127.87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9">
        <f t="shared" si="0"/>
        <v>0</v>
      </c>
      <c r="CZ5" s="19">
        <f t="shared" si="0"/>
        <v>0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</row>
    <row r="6" spans="1:122" ht="18" customHeight="1">
      <c r="A6" s="13" t="s">
        <v>6</v>
      </c>
      <c r="B6" s="14">
        <f>IFERROR(VLOOKUP(A6,PRICELIST!$A$3:$D$138,4,0),"-")</f>
        <v>88.7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9">
        <f t="shared" si="0"/>
        <v>0</v>
      </c>
      <c r="CZ6" s="19">
        <f t="shared" si="0"/>
        <v>0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</row>
    <row r="7" spans="1:122" ht="18" customHeight="1">
      <c r="A7" s="13" t="s">
        <v>78</v>
      </c>
      <c r="B7" s="14">
        <f>IFERROR(VLOOKUP(A7,PRICELIST!$A$3:$D$138,4,0),"-")</f>
        <v>171.64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9">
        <f t="shared" si="0"/>
        <v>0</v>
      </c>
      <c r="CZ7" s="19">
        <f t="shared" si="0"/>
        <v>0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</row>
    <row r="8" spans="1:122" ht="18" customHeight="1">
      <c r="A8" s="13" t="s">
        <v>7</v>
      </c>
      <c r="B8" s="14">
        <f>IFERROR(VLOOKUP(A8,PRICELIST!$A$3:$D$138,4,0),"-")</f>
        <v>216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9">
        <f t="shared" si="0"/>
        <v>0</v>
      </c>
      <c r="CZ8" s="19">
        <f t="shared" si="0"/>
        <v>0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</row>
    <row r="9" spans="1:122" ht="18" customHeight="1">
      <c r="A9" s="13" t="s">
        <v>8</v>
      </c>
      <c r="B9" s="14">
        <f>IFERROR(VLOOKUP(A9,PRICELIST!$A$3:$D$138,4,0),"-")</f>
        <v>163.93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9">
        <f t="shared" si="0"/>
        <v>0</v>
      </c>
      <c r="CZ9" s="19">
        <f t="shared" si="0"/>
        <v>0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</row>
    <row r="10" spans="1:122" ht="18" customHeight="1">
      <c r="A10" s="9" t="s">
        <v>9</v>
      </c>
      <c r="B10" s="10"/>
      <c r="C10" s="11">
        <f>SUMPRODUCT($B3:$B9,C3:C9)</f>
        <v>0</v>
      </c>
      <c r="D10" s="11">
        <f t="shared" ref="D10:BO10" si="1">SUMPRODUCT($B3:$B9,D3:D9)</f>
        <v>0</v>
      </c>
      <c r="E10" s="11">
        <f t="shared" si="1"/>
        <v>0</v>
      </c>
      <c r="F10" s="11">
        <f t="shared" si="1"/>
        <v>0</v>
      </c>
      <c r="G10" s="11">
        <f t="shared" si="1"/>
        <v>0</v>
      </c>
      <c r="H10" s="11">
        <f t="shared" si="1"/>
        <v>0</v>
      </c>
      <c r="I10" s="11">
        <f t="shared" si="1"/>
        <v>0</v>
      </c>
      <c r="J10" s="11">
        <f t="shared" si="1"/>
        <v>0</v>
      </c>
      <c r="K10" s="11">
        <f t="shared" si="1"/>
        <v>0</v>
      </c>
      <c r="L10" s="11">
        <f t="shared" si="1"/>
        <v>0</v>
      </c>
      <c r="M10" s="11">
        <f t="shared" si="1"/>
        <v>0</v>
      </c>
      <c r="N10" s="11">
        <f t="shared" si="1"/>
        <v>0</v>
      </c>
      <c r="O10" s="11">
        <f t="shared" si="1"/>
        <v>0</v>
      </c>
      <c r="P10" s="11">
        <f t="shared" si="1"/>
        <v>0</v>
      </c>
      <c r="Q10" s="11">
        <f t="shared" si="1"/>
        <v>0</v>
      </c>
      <c r="R10" s="11">
        <f t="shared" si="1"/>
        <v>0</v>
      </c>
      <c r="S10" s="11">
        <f t="shared" si="1"/>
        <v>0</v>
      </c>
      <c r="T10" s="11">
        <f t="shared" si="1"/>
        <v>0</v>
      </c>
      <c r="U10" s="11">
        <f t="shared" si="1"/>
        <v>0</v>
      </c>
      <c r="V10" s="11">
        <f t="shared" si="1"/>
        <v>0</v>
      </c>
      <c r="W10" s="11">
        <f t="shared" si="1"/>
        <v>0</v>
      </c>
      <c r="X10" s="11">
        <f t="shared" si="1"/>
        <v>0</v>
      </c>
      <c r="Y10" s="11">
        <f t="shared" si="1"/>
        <v>0</v>
      </c>
      <c r="Z10" s="11">
        <f t="shared" si="1"/>
        <v>0</v>
      </c>
      <c r="AA10" s="11">
        <f t="shared" si="1"/>
        <v>0</v>
      </c>
      <c r="AB10" s="11">
        <f t="shared" si="1"/>
        <v>0</v>
      </c>
      <c r="AC10" s="11">
        <f t="shared" si="1"/>
        <v>0</v>
      </c>
      <c r="AD10" s="11">
        <f t="shared" si="1"/>
        <v>0</v>
      </c>
      <c r="AE10" s="11">
        <f t="shared" si="1"/>
        <v>0</v>
      </c>
      <c r="AF10" s="11">
        <f t="shared" si="1"/>
        <v>0</v>
      </c>
      <c r="AG10" s="11">
        <f t="shared" si="1"/>
        <v>0</v>
      </c>
      <c r="AH10" s="11">
        <f t="shared" si="1"/>
        <v>0</v>
      </c>
      <c r="AI10" s="11">
        <f t="shared" si="1"/>
        <v>0</v>
      </c>
      <c r="AJ10" s="11">
        <f t="shared" si="1"/>
        <v>0</v>
      </c>
      <c r="AK10" s="11">
        <f t="shared" si="1"/>
        <v>0</v>
      </c>
      <c r="AL10" s="11">
        <f t="shared" si="1"/>
        <v>0</v>
      </c>
      <c r="AM10" s="11">
        <f t="shared" si="1"/>
        <v>0</v>
      </c>
      <c r="AN10" s="11">
        <f t="shared" si="1"/>
        <v>0</v>
      </c>
      <c r="AO10" s="11">
        <f t="shared" si="1"/>
        <v>0</v>
      </c>
      <c r="AP10" s="11">
        <f t="shared" si="1"/>
        <v>0</v>
      </c>
      <c r="AQ10" s="11">
        <f t="shared" si="1"/>
        <v>0</v>
      </c>
      <c r="AR10" s="11">
        <f t="shared" si="1"/>
        <v>0</v>
      </c>
      <c r="AS10" s="11">
        <f t="shared" si="1"/>
        <v>0</v>
      </c>
      <c r="AT10" s="11">
        <f t="shared" si="1"/>
        <v>0</v>
      </c>
      <c r="AU10" s="11">
        <f t="shared" si="1"/>
        <v>0</v>
      </c>
      <c r="AV10" s="11">
        <f t="shared" si="1"/>
        <v>0</v>
      </c>
      <c r="AW10" s="11">
        <f t="shared" si="1"/>
        <v>0</v>
      </c>
      <c r="AX10" s="11">
        <f t="shared" si="1"/>
        <v>0</v>
      </c>
      <c r="AY10" s="11">
        <f t="shared" si="1"/>
        <v>0</v>
      </c>
      <c r="AZ10" s="11">
        <f t="shared" si="1"/>
        <v>0</v>
      </c>
      <c r="BA10" s="11">
        <f t="shared" si="1"/>
        <v>0</v>
      </c>
      <c r="BB10" s="11">
        <f t="shared" si="1"/>
        <v>0</v>
      </c>
      <c r="BC10" s="11">
        <f t="shared" si="1"/>
        <v>0</v>
      </c>
      <c r="BD10" s="11">
        <f t="shared" si="1"/>
        <v>0</v>
      </c>
      <c r="BE10" s="11">
        <f t="shared" si="1"/>
        <v>0</v>
      </c>
      <c r="BF10" s="11">
        <f t="shared" si="1"/>
        <v>0</v>
      </c>
      <c r="BG10" s="11">
        <f t="shared" si="1"/>
        <v>0</v>
      </c>
      <c r="BH10" s="11">
        <f t="shared" si="1"/>
        <v>0</v>
      </c>
      <c r="BI10" s="11">
        <f t="shared" si="1"/>
        <v>0</v>
      </c>
      <c r="BJ10" s="11">
        <f t="shared" si="1"/>
        <v>0</v>
      </c>
      <c r="BK10" s="11">
        <f t="shared" si="1"/>
        <v>0</v>
      </c>
      <c r="BL10" s="11">
        <f t="shared" si="1"/>
        <v>0</v>
      </c>
      <c r="BM10" s="11">
        <f t="shared" si="1"/>
        <v>0</v>
      </c>
      <c r="BN10" s="11">
        <f t="shared" si="1"/>
        <v>0</v>
      </c>
      <c r="BO10" s="11">
        <f t="shared" si="1"/>
        <v>0</v>
      </c>
      <c r="BP10" s="11">
        <f t="shared" ref="BP10:CZ10" si="2">SUMPRODUCT($B3:$B9,BP3:BP9)</f>
        <v>0</v>
      </c>
      <c r="BQ10" s="11">
        <f t="shared" si="2"/>
        <v>0</v>
      </c>
      <c r="BR10" s="11">
        <f t="shared" si="2"/>
        <v>0</v>
      </c>
      <c r="BS10" s="11">
        <f t="shared" si="2"/>
        <v>0</v>
      </c>
      <c r="BT10" s="11">
        <f t="shared" si="2"/>
        <v>0</v>
      </c>
      <c r="BU10" s="11">
        <f t="shared" si="2"/>
        <v>0</v>
      </c>
      <c r="BV10" s="11">
        <f t="shared" si="2"/>
        <v>0</v>
      </c>
      <c r="BW10" s="11">
        <f t="shared" si="2"/>
        <v>0</v>
      </c>
      <c r="BX10" s="11">
        <f t="shared" si="2"/>
        <v>0</v>
      </c>
      <c r="BY10" s="11">
        <f t="shared" si="2"/>
        <v>0</v>
      </c>
      <c r="BZ10" s="11">
        <f t="shared" si="2"/>
        <v>0</v>
      </c>
      <c r="CA10" s="11">
        <f t="shared" si="2"/>
        <v>0</v>
      </c>
      <c r="CB10" s="11">
        <f t="shared" si="2"/>
        <v>0</v>
      </c>
      <c r="CC10" s="11">
        <f t="shared" si="2"/>
        <v>0</v>
      </c>
      <c r="CD10" s="11">
        <f t="shared" si="2"/>
        <v>0</v>
      </c>
      <c r="CE10" s="11">
        <f t="shared" si="2"/>
        <v>0</v>
      </c>
      <c r="CF10" s="11">
        <f t="shared" si="2"/>
        <v>0</v>
      </c>
      <c r="CG10" s="11">
        <f t="shared" si="2"/>
        <v>0</v>
      </c>
      <c r="CH10" s="11">
        <f t="shared" si="2"/>
        <v>0</v>
      </c>
      <c r="CI10" s="11">
        <f t="shared" si="2"/>
        <v>0</v>
      </c>
      <c r="CJ10" s="11">
        <f t="shared" si="2"/>
        <v>0</v>
      </c>
      <c r="CK10" s="11">
        <f t="shared" si="2"/>
        <v>0</v>
      </c>
      <c r="CL10" s="11">
        <f t="shared" si="2"/>
        <v>0</v>
      </c>
      <c r="CM10" s="11">
        <f t="shared" si="2"/>
        <v>0</v>
      </c>
      <c r="CN10" s="11">
        <f t="shared" si="2"/>
        <v>0</v>
      </c>
      <c r="CO10" s="11">
        <f t="shared" si="2"/>
        <v>0</v>
      </c>
      <c r="CP10" s="11">
        <f t="shared" si="2"/>
        <v>0</v>
      </c>
      <c r="CQ10" s="11">
        <f t="shared" si="2"/>
        <v>0</v>
      </c>
      <c r="CR10" s="11">
        <f t="shared" si="2"/>
        <v>0</v>
      </c>
      <c r="CS10" s="11">
        <f t="shared" si="2"/>
        <v>0</v>
      </c>
      <c r="CT10" s="11">
        <f t="shared" si="2"/>
        <v>0</v>
      </c>
      <c r="CU10" s="11">
        <f t="shared" si="2"/>
        <v>0</v>
      </c>
      <c r="CV10" s="11">
        <f t="shared" si="2"/>
        <v>0</v>
      </c>
      <c r="CW10" s="11">
        <f t="shared" si="2"/>
        <v>0</v>
      </c>
      <c r="CX10" s="11">
        <f t="shared" si="2"/>
        <v>0</v>
      </c>
      <c r="CY10" s="11">
        <f t="shared" si="2"/>
        <v>0</v>
      </c>
      <c r="CZ10" s="11">
        <f t="shared" si="2"/>
        <v>0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</row>
    <row r="11" spans="1:122" ht="18" customHeight="1">
      <c r="A11" s="4" t="s">
        <v>127</v>
      </c>
      <c r="B11" s="14">
        <f>IFERROR(VLOOKUP(A11,PRICELIST!$A$3:$D$138,4,0),"-")</f>
        <v>432.21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9">
        <f t="shared" ref="CY11:CZ19" si="3">C11+E11+G11+I11+K11+M11+O11+Q11+S11+U11+W11+Y11+AA11+AC11+AE11+AG11+AI11+AK11+AM11+AO11+AQ11+AS11+AU11+AW11+AY11+BA11+BC11+BE11+BG11+BI11+BK11+BM11+BO11+BQ11+BS11+BU11+BW11+BY11+CA11+CC11+CE11+CG11+CI11+CK11+CM11+CO11+CQ11+CS11+CU11+CW11</f>
        <v>0</v>
      </c>
      <c r="CZ11" s="19">
        <f t="shared" si="3"/>
        <v>0</v>
      </c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</row>
    <row r="12" spans="1:122" ht="18" customHeight="1">
      <c r="A12" s="4" t="s">
        <v>128</v>
      </c>
      <c r="B12" s="14">
        <f>IFERROR(VLOOKUP(A12,PRICELIST!$A$3:$D$138,4,0),"-")</f>
        <v>107.11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9">
        <f t="shared" si="3"/>
        <v>0</v>
      </c>
      <c r="CZ12" s="19">
        <f t="shared" si="3"/>
        <v>0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</row>
    <row r="13" spans="1:122" ht="18" customHeight="1">
      <c r="A13" s="4" t="s">
        <v>129</v>
      </c>
      <c r="B13" s="14">
        <f>IFERROR(VLOOKUP(A13,PRICELIST!$A$3:$D$138,4,0),"-")</f>
        <v>205.07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9">
        <f t="shared" si="3"/>
        <v>0</v>
      </c>
      <c r="CZ13" s="19">
        <f t="shared" si="3"/>
        <v>0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</row>
    <row r="14" spans="1:122" ht="18" customHeight="1">
      <c r="A14" s="4" t="s">
        <v>130</v>
      </c>
      <c r="B14" s="14">
        <f>IFERROR(VLOOKUP(A14,PRICELIST!$A$3:$D$138,4,0),"-")</f>
        <v>322.70999999999998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9">
        <f t="shared" si="3"/>
        <v>0</v>
      </c>
      <c r="CZ14" s="19">
        <f t="shared" si="3"/>
        <v>0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</row>
    <row r="15" spans="1:122" ht="18" customHeight="1">
      <c r="A15" s="4" t="s">
        <v>118</v>
      </c>
      <c r="B15" s="14">
        <f>IFERROR(VLOOKUP(A15,PRICELIST!$A$3:$D$138,4,0),"-")</f>
        <v>272.23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9">
        <f t="shared" si="3"/>
        <v>0</v>
      </c>
      <c r="CZ15" s="19">
        <f t="shared" si="3"/>
        <v>0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</row>
    <row r="16" spans="1:122" ht="18" customHeight="1">
      <c r="A16" s="4" t="s">
        <v>119</v>
      </c>
      <c r="B16" s="14">
        <f>IFERROR(VLOOKUP(A16,PRICELIST!$A$3:$D$138,4,0),"-")</f>
        <v>352.76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9">
        <f t="shared" si="3"/>
        <v>0</v>
      </c>
      <c r="CZ16" s="19">
        <f t="shared" si="3"/>
        <v>0</v>
      </c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</row>
    <row r="17" spans="1:122" ht="18" customHeight="1">
      <c r="A17" s="4" t="s">
        <v>120</v>
      </c>
      <c r="B17" s="14">
        <f>IFERROR(VLOOKUP(A17,PRICELIST!$A$3:$D$138,4,0),"-")</f>
        <v>137.57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9">
        <f t="shared" si="3"/>
        <v>0</v>
      </c>
      <c r="CZ17" s="19">
        <f t="shared" si="3"/>
        <v>0</v>
      </c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</row>
    <row r="18" spans="1:122" ht="18" customHeight="1">
      <c r="A18" s="32" t="s">
        <v>124</v>
      </c>
      <c r="B18" s="14">
        <f>IFERROR(VLOOKUP(A18,PRICELIST!$A$3:$D$138,4,0),"-")</f>
        <v>647.36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9">
        <f t="shared" si="3"/>
        <v>0</v>
      </c>
      <c r="CZ18" s="19">
        <f t="shared" si="3"/>
        <v>0</v>
      </c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</row>
    <row r="19" spans="1:122" ht="18" customHeight="1">
      <c r="A19" s="4" t="s">
        <v>79</v>
      </c>
      <c r="B19" s="14">
        <f>IFERROR(VLOOKUP(A19,PRICELIST!$A$3:$D$138,4,0),"-")</f>
        <v>110.25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9">
        <f t="shared" si="3"/>
        <v>0</v>
      </c>
      <c r="CZ19" s="19">
        <f t="shared" si="3"/>
        <v>0</v>
      </c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</row>
    <row r="20" spans="1:122" ht="18" customHeight="1">
      <c r="A20" s="33" t="s">
        <v>125</v>
      </c>
      <c r="B20" s="15"/>
      <c r="C20" s="11">
        <f t="shared" ref="C20:BN20" si="4">SUMPRODUCT($B11:$B19,C11:C19)</f>
        <v>0</v>
      </c>
      <c r="D20" s="11">
        <f t="shared" si="4"/>
        <v>0</v>
      </c>
      <c r="E20" s="11">
        <f t="shared" si="4"/>
        <v>0</v>
      </c>
      <c r="F20" s="11">
        <f t="shared" si="4"/>
        <v>0</v>
      </c>
      <c r="G20" s="11">
        <f t="shared" si="4"/>
        <v>0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0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0</v>
      </c>
      <c r="X20" s="11">
        <f t="shared" si="4"/>
        <v>0</v>
      </c>
      <c r="Y20" s="11">
        <f t="shared" si="4"/>
        <v>0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  <c r="AI20" s="11">
        <f t="shared" si="4"/>
        <v>0</v>
      </c>
      <c r="AJ20" s="11">
        <f t="shared" si="4"/>
        <v>0</v>
      </c>
      <c r="AK20" s="11">
        <f t="shared" si="4"/>
        <v>0</v>
      </c>
      <c r="AL20" s="11">
        <f t="shared" si="4"/>
        <v>0</v>
      </c>
      <c r="AM20" s="11">
        <f t="shared" si="4"/>
        <v>0</v>
      </c>
      <c r="AN20" s="11">
        <f t="shared" si="4"/>
        <v>0</v>
      </c>
      <c r="AO20" s="11">
        <f t="shared" si="4"/>
        <v>0</v>
      </c>
      <c r="AP20" s="11">
        <f t="shared" si="4"/>
        <v>0</v>
      </c>
      <c r="AQ20" s="11">
        <f t="shared" si="4"/>
        <v>0</v>
      </c>
      <c r="AR20" s="11">
        <f t="shared" si="4"/>
        <v>0</v>
      </c>
      <c r="AS20" s="11">
        <f t="shared" si="4"/>
        <v>0</v>
      </c>
      <c r="AT20" s="11">
        <f t="shared" si="4"/>
        <v>0</v>
      </c>
      <c r="AU20" s="11">
        <f t="shared" si="4"/>
        <v>0</v>
      </c>
      <c r="AV20" s="11">
        <f t="shared" si="4"/>
        <v>0</v>
      </c>
      <c r="AW20" s="11">
        <f t="shared" si="4"/>
        <v>0</v>
      </c>
      <c r="AX20" s="11">
        <f t="shared" si="4"/>
        <v>0</v>
      </c>
      <c r="AY20" s="11">
        <f t="shared" si="4"/>
        <v>0</v>
      </c>
      <c r="AZ20" s="11">
        <f t="shared" si="4"/>
        <v>0</v>
      </c>
      <c r="BA20" s="11">
        <f t="shared" si="4"/>
        <v>0</v>
      </c>
      <c r="BB20" s="11">
        <f t="shared" si="4"/>
        <v>0</v>
      </c>
      <c r="BC20" s="11">
        <f t="shared" si="4"/>
        <v>0</v>
      </c>
      <c r="BD20" s="11">
        <f t="shared" si="4"/>
        <v>0</v>
      </c>
      <c r="BE20" s="11">
        <f t="shared" si="4"/>
        <v>0</v>
      </c>
      <c r="BF20" s="11">
        <f t="shared" si="4"/>
        <v>0</v>
      </c>
      <c r="BG20" s="11">
        <f t="shared" si="4"/>
        <v>0</v>
      </c>
      <c r="BH20" s="11">
        <f t="shared" si="4"/>
        <v>0</v>
      </c>
      <c r="BI20" s="11">
        <f t="shared" si="4"/>
        <v>0</v>
      </c>
      <c r="BJ20" s="11">
        <f t="shared" si="4"/>
        <v>0</v>
      </c>
      <c r="BK20" s="11">
        <f t="shared" si="4"/>
        <v>0</v>
      </c>
      <c r="BL20" s="11">
        <f t="shared" si="4"/>
        <v>0</v>
      </c>
      <c r="BM20" s="11">
        <f t="shared" si="4"/>
        <v>0</v>
      </c>
      <c r="BN20" s="11">
        <f t="shared" si="4"/>
        <v>0</v>
      </c>
      <c r="BO20" s="11">
        <f t="shared" ref="BO20:CZ20" si="5">SUMPRODUCT($B11:$B19,BO11:BO19)</f>
        <v>0</v>
      </c>
      <c r="BP20" s="11">
        <f t="shared" si="5"/>
        <v>0</v>
      </c>
      <c r="BQ20" s="11">
        <f t="shared" si="5"/>
        <v>0</v>
      </c>
      <c r="BR20" s="11">
        <f t="shared" si="5"/>
        <v>0</v>
      </c>
      <c r="BS20" s="11">
        <f t="shared" si="5"/>
        <v>0</v>
      </c>
      <c r="BT20" s="11">
        <f t="shared" si="5"/>
        <v>0</v>
      </c>
      <c r="BU20" s="11">
        <f t="shared" si="5"/>
        <v>0</v>
      </c>
      <c r="BV20" s="11">
        <f t="shared" si="5"/>
        <v>0</v>
      </c>
      <c r="BW20" s="11">
        <f t="shared" si="5"/>
        <v>0</v>
      </c>
      <c r="BX20" s="11">
        <f t="shared" si="5"/>
        <v>0</v>
      </c>
      <c r="BY20" s="11">
        <f t="shared" si="5"/>
        <v>0</v>
      </c>
      <c r="BZ20" s="11">
        <f t="shared" si="5"/>
        <v>0</v>
      </c>
      <c r="CA20" s="11">
        <f t="shared" si="5"/>
        <v>0</v>
      </c>
      <c r="CB20" s="11">
        <f t="shared" si="5"/>
        <v>0</v>
      </c>
      <c r="CC20" s="11">
        <f t="shared" si="5"/>
        <v>0</v>
      </c>
      <c r="CD20" s="11">
        <f t="shared" si="5"/>
        <v>0</v>
      </c>
      <c r="CE20" s="11">
        <f t="shared" si="5"/>
        <v>0</v>
      </c>
      <c r="CF20" s="11">
        <f t="shared" si="5"/>
        <v>0</v>
      </c>
      <c r="CG20" s="11">
        <f t="shared" si="5"/>
        <v>0</v>
      </c>
      <c r="CH20" s="11">
        <f t="shared" si="5"/>
        <v>0</v>
      </c>
      <c r="CI20" s="11">
        <f t="shared" si="5"/>
        <v>0</v>
      </c>
      <c r="CJ20" s="11">
        <f t="shared" si="5"/>
        <v>0</v>
      </c>
      <c r="CK20" s="11">
        <f t="shared" si="5"/>
        <v>0</v>
      </c>
      <c r="CL20" s="11">
        <f t="shared" si="5"/>
        <v>0</v>
      </c>
      <c r="CM20" s="11">
        <f t="shared" si="5"/>
        <v>0</v>
      </c>
      <c r="CN20" s="11">
        <f t="shared" si="5"/>
        <v>0</v>
      </c>
      <c r="CO20" s="11">
        <f t="shared" si="5"/>
        <v>0</v>
      </c>
      <c r="CP20" s="11">
        <f t="shared" si="5"/>
        <v>0</v>
      </c>
      <c r="CQ20" s="11">
        <f t="shared" si="5"/>
        <v>0</v>
      </c>
      <c r="CR20" s="11">
        <f t="shared" si="5"/>
        <v>0</v>
      </c>
      <c r="CS20" s="11">
        <f t="shared" si="5"/>
        <v>0</v>
      </c>
      <c r="CT20" s="11">
        <f t="shared" si="5"/>
        <v>0</v>
      </c>
      <c r="CU20" s="11">
        <f t="shared" si="5"/>
        <v>0</v>
      </c>
      <c r="CV20" s="11">
        <f t="shared" si="5"/>
        <v>0</v>
      </c>
      <c r="CW20" s="11">
        <f t="shared" si="5"/>
        <v>0</v>
      </c>
      <c r="CX20" s="11">
        <f t="shared" si="5"/>
        <v>0</v>
      </c>
      <c r="CY20" s="11">
        <f t="shared" si="5"/>
        <v>0</v>
      </c>
      <c r="CZ20" s="11">
        <f t="shared" si="5"/>
        <v>0</v>
      </c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</row>
    <row r="21" spans="1:122" ht="18" customHeight="1">
      <c r="A21" s="13" t="s">
        <v>80</v>
      </c>
      <c r="B21" s="14">
        <f>IFERROR(VLOOKUP(A21,PRICELIST!$A$3:$D$138,4,0),"-")</f>
        <v>128.88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9">
        <f t="shared" ref="CY21:CZ23" si="6">C21+E21+G21+I21+K21+M21+O21+Q21+S21+U21+W21+Y21+AA21+AC21+AE21+AG21+AI21+AK21+AM21+AO21+AQ21+AS21+AU21+AW21+AY21+BA21+BC21+BE21+BG21+BI21+BK21+BM21+BO21+BQ21+BS21+BU21+BW21+BY21+CA21+CC21+CE21+CG21+CI21+CK21+CM21+CO21+CQ21+CS21+CU21+CW21</f>
        <v>0</v>
      </c>
      <c r="CZ21" s="19">
        <f t="shared" si="6"/>
        <v>0</v>
      </c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</row>
    <row r="22" spans="1:122" ht="18" customHeight="1">
      <c r="A22" s="13" t="s">
        <v>10</v>
      </c>
      <c r="B22" s="14">
        <f>IFERROR(VLOOKUP(A22,PRICELIST!$A$3:$D$138,4,0),"-")</f>
        <v>120.53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9">
        <f t="shared" si="6"/>
        <v>0</v>
      </c>
      <c r="CZ22" s="19">
        <f t="shared" si="6"/>
        <v>0</v>
      </c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</row>
    <row r="23" spans="1:122" ht="18" customHeight="1">
      <c r="A23" s="13" t="s">
        <v>11</v>
      </c>
      <c r="B23" s="14">
        <f>IFERROR(VLOOKUP(A23,PRICELIST!$A$3:$D$138,4,0),"-")</f>
        <v>144.29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9">
        <f t="shared" si="6"/>
        <v>0</v>
      </c>
      <c r="CZ23" s="19">
        <f t="shared" si="6"/>
        <v>0</v>
      </c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</row>
    <row r="24" spans="1:122" ht="18" customHeight="1">
      <c r="A24" s="9" t="s">
        <v>12</v>
      </c>
      <c r="B24" s="10"/>
      <c r="C24" s="11">
        <f>SUMPRODUCT($B21:$B23,C21:C23)</f>
        <v>0</v>
      </c>
      <c r="D24" s="11">
        <f t="shared" ref="D24:BO24" si="7">SUMPRODUCT($B21:$B23,D21:D23)</f>
        <v>0</v>
      </c>
      <c r="E24" s="11">
        <f t="shared" si="7"/>
        <v>0</v>
      </c>
      <c r="F24" s="11">
        <f t="shared" si="7"/>
        <v>0</v>
      </c>
      <c r="G24" s="11">
        <f t="shared" si="7"/>
        <v>0</v>
      </c>
      <c r="H24" s="11">
        <f t="shared" si="7"/>
        <v>0</v>
      </c>
      <c r="I24" s="11">
        <f t="shared" si="7"/>
        <v>0</v>
      </c>
      <c r="J24" s="11">
        <f t="shared" si="7"/>
        <v>0</v>
      </c>
      <c r="K24" s="11">
        <f t="shared" si="7"/>
        <v>0</v>
      </c>
      <c r="L24" s="11">
        <f t="shared" si="7"/>
        <v>0</v>
      </c>
      <c r="M24" s="11">
        <f t="shared" si="7"/>
        <v>0</v>
      </c>
      <c r="N24" s="11">
        <f t="shared" si="7"/>
        <v>0</v>
      </c>
      <c r="O24" s="11">
        <f t="shared" si="7"/>
        <v>0</v>
      </c>
      <c r="P24" s="11">
        <f t="shared" si="7"/>
        <v>0</v>
      </c>
      <c r="Q24" s="11">
        <f t="shared" si="7"/>
        <v>0</v>
      </c>
      <c r="R24" s="11">
        <f t="shared" si="7"/>
        <v>0</v>
      </c>
      <c r="S24" s="11">
        <f t="shared" si="7"/>
        <v>0</v>
      </c>
      <c r="T24" s="11">
        <f t="shared" si="7"/>
        <v>0</v>
      </c>
      <c r="U24" s="11">
        <f t="shared" si="7"/>
        <v>0</v>
      </c>
      <c r="V24" s="11">
        <f t="shared" si="7"/>
        <v>0</v>
      </c>
      <c r="W24" s="11">
        <f t="shared" si="7"/>
        <v>0</v>
      </c>
      <c r="X24" s="11">
        <f t="shared" si="7"/>
        <v>0</v>
      </c>
      <c r="Y24" s="11">
        <f t="shared" si="7"/>
        <v>0</v>
      </c>
      <c r="Z24" s="11">
        <f t="shared" si="7"/>
        <v>0</v>
      </c>
      <c r="AA24" s="11">
        <f t="shared" si="7"/>
        <v>0</v>
      </c>
      <c r="AB24" s="11">
        <f t="shared" si="7"/>
        <v>0</v>
      </c>
      <c r="AC24" s="11">
        <f t="shared" si="7"/>
        <v>0</v>
      </c>
      <c r="AD24" s="11">
        <f t="shared" si="7"/>
        <v>0</v>
      </c>
      <c r="AE24" s="11">
        <f t="shared" si="7"/>
        <v>0</v>
      </c>
      <c r="AF24" s="11">
        <f t="shared" si="7"/>
        <v>0</v>
      </c>
      <c r="AG24" s="11">
        <f t="shared" si="7"/>
        <v>0</v>
      </c>
      <c r="AH24" s="11">
        <f t="shared" si="7"/>
        <v>0</v>
      </c>
      <c r="AI24" s="11">
        <f t="shared" si="7"/>
        <v>0</v>
      </c>
      <c r="AJ24" s="11">
        <f t="shared" si="7"/>
        <v>0</v>
      </c>
      <c r="AK24" s="11">
        <f t="shared" si="7"/>
        <v>0</v>
      </c>
      <c r="AL24" s="11">
        <f t="shared" si="7"/>
        <v>0</v>
      </c>
      <c r="AM24" s="11">
        <f t="shared" si="7"/>
        <v>0</v>
      </c>
      <c r="AN24" s="11">
        <f t="shared" si="7"/>
        <v>0</v>
      </c>
      <c r="AO24" s="11">
        <f t="shared" si="7"/>
        <v>0</v>
      </c>
      <c r="AP24" s="11">
        <f t="shared" si="7"/>
        <v>0</v>
      </c>
      <c r="AQ24" s="11">
        <f t="shared" si="7"/>
        <v>0</v>
      </c>
      <c r="AR24" s="11">
        <f t="shared" si="7"/>
        <v>0</v>
      </c>
      <c r="AS24" s="11">
        <f t="shared" si="7"/>
        <v>0</v>
      </c>
      <c r="AT24" s="11">
        <f t="shared" si="7"/>
        <v>0</v>
      </c>
      <c r="AU24" s="11">
        <f t="shared" si="7"/>
        <v>0</v>
      </c>
      <c r="AV24" s="11">
        <f t="shared" si="7"/>
        <v>0</v>
      </c>
      <c r="AW24" s="11">
        <f t="shared" si="7"/>
        <v>0</v>
      </c>
      <c r="AX24" s="11">
        <f t="shared" si="7"/>
        <v>0</v>
      </c>
      <c r="AY24" s="11">
        <f t="shared" si="7"/>
        <v>0</v>
      </c>
      <c r="AZ24" s="11">
        <f t="shared" si="7"/>
        <v>0</v>
      </c>
      <c r="BA24" s="11">
        <f t="shared" si="7"/>
        <v>0</v>
      </c>
      <c r="BB24" s="11">
        <f t="shared" si="7"/>
        <v>0</v>
      </c>
      <c r="BC24" s="11">
        <f t="shared" si="7"/>
        <v>0</v>
      </c>
      <c r="BD24" s="11">
        <f t="shared" si="7"/>
        <v>0</v>
      </c>
      <c r="BE24" s="11">
        <f t="shared" si="7"/>
        <v>0</v>
      </c>
      <c r="BF24" s="11">
        <f t="shared" si="7"/>
        <v>0</v>
      </c>
      <c r="BG24" s="11">
        <f t="shared" si="7"/>
        <v>0</v>
      </c>
      <c r="BH24" s="11">
        <f t="shared" si="7"/>
        <v>0</v>
      </c>
      <c r="BI24" s="11">
        <f t="shared" si="7"/>
        <v>0</v>
      </c>
      <c r="BJ24" s="11">
        <f t="shared" si="7"/>
        <v>0</v>
      </c>
      <c r="BK24" s="11">
        <f t="shared" si="7"/>
        <v>0</v>
      </c>
      <c r="BL24" s="11">
        <f t="shared" si="7"/>
        <v>0</v>
      </c>
      <c r="BM24" s="11">
        <f t="shared" si="7"/>
        <v>0</v>
      </c>
      <c r="BN24" s="11">
        <f t="shared" si="7"/>
        <v>0</v>
      </c>
      <c r="BO24" s="11">
        <f t="shared" si="7"/>
        <v>0</v>
      </c>
      <c r="BP24" s="11">
        <f t="shared" ref="BP24:CZ24" si="8">SUMPRODUCT($B21:$B23,BP21:BP23)</f>
        <v>0</v>
      </c>
      <c r="BQ24" s="11">
        <f t="shared" si="8"/>
        <v>0</v>
      </c>
      <c r="BR24" s="11">
        <f t="shared" si="8"/>
        <v>0</v>
      </c>
      <c r="BS24" s="11">
        <f t="shared" si="8"/>
        <v>0</v>
      </c>
      <c r="BT24" s="11">
        <f t="shared" si="8"/>
        <v>0</v>
      </c>
      <c r="BU24" s="11">
        <f t="shared" si="8"/>
        <v>0</v>
      </c>
      <c r="BV24" s="11">
        <f t="shared" si="8"/>
        <v>0</v>
      </c>
      <c r="BW24" s="11">
        <f t="shared" si="8"/>
        <v>0</v>
      </c>
      <c r="BX24" s="11">
        <f t="shared" si="8"/>
        <v>0</v>
      </c>
      <c r="BY24" s="11">
        <f t="shared" si="8"/>
        <v>0</v>
      </c>
      <c r="BZ24" s="11">
        <f t="shared" si="8"/>
        <v>0</v>
      </c>
      <c r="CA24" s="11">
        <f t="shared" si="8"/>
        <v>0</v>
      </c>
      <c r="CB24" s="11">
        <f t="shared" si="8"/>
        <v>0</v>
      </c>
      <c r="CC24" s="11">
        <f t="shared" si="8"/>
        <v>0</v>
      </c>
      <c r="CD24" s="11">
        <f t="shared" si="8"/>
        <v>0</v>
      </c>
      <c r="CE24" s="11">
        <f t="shared" si="8"/>
        <v>0</v>
      </c>
      <c r="CF24" s="11">
        <f t="shared" si="8"/>
        <v>0</v>
      </c>
      <c r="CG24" s="11">
        <f t="shared" si="8"/>
        <v>0</v>
      </c>
      <c r="CH24" s="11">
        <f t="shared" si="8"/>
        <v>0</v>
      </c>
      <c r="CI24" s="11">
        <f t="shared" si="8"/>
        <v>0</v>
      </c>
      <c r="CJ24" s="11">
        <f t="shared" si="8"/>
        <v>0</v>
      </c>
      <c r="CK24" s="11">
        <f t="shared" si="8"/>
        <v>0</v>
      </c>
      <c r="CL24" s="11">
        <f t="shared" si="8"/>
        <v>0</v>
      </c>
      <c r="CM24" s="11">
        <f t="shared" si="8"/>
        <v>0</v>
      </c>
      <c r="CN24" s="11">
        <f t="shared" si="8"/>
        <v>0</v>
      </c>
      <c r="CO24" s="11">
        <f t="shared" si="8"/>
        <v>0</v>
      </c>
      <c r="CP24" s="11">
        <f t="shared" si="8"/>
        <v>0</v>
      </c>
      <c r="CQ24" s="11">
        <f t="shared" si="8"/>
        <v>0</v>
      </c>
      <c r="CR24" s="11">
        <f t="shared" si="8"/>
        <v>0</v>
      </c>
      <c r="CS24" s="11">
        <f t="shared" si="8"/>
        <v>0</v>
      </c>
      <c r="CT24" s="11">
        <f t="shared" si="8"/>
        <v>0</v>
      </c>
      <c r="CU24" s="11">
        <f t="shared" si="8"/>
        <v>0</v>
      </c>
      <c r="CV24" s="11">
        <f t="shared" si="8"/>
        <v>0</v>
      </c>
      <c r="CW24" s="11">
        <f t="shared" si="8"/>
        <v>0</v>
      </c>
      <c r="CX24" s="11">
        <f t="shared" si="8"/>
        <v>0</v>
      </c>
      <c r="CY24" s="11">
        <f t="shared" si="8"/>
        <v>0</v>
      </c>
      <c r="CZ24" s="11">
        <f t="shared" si="8"/>
        <v>0</v>
      </c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</row>
    <row r="25" spans="1:122" ht="18" customHeight="1">
      <c r="A25" s="13" t="s">
        <v>13</v>
      </c>
      <c r="B25" s="14">
        <f>IFERROR(VLOOKUP(A25,PRICELIST!$A$3:$D$138,4,0),"-")</f>
        <v>110.57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9">
        <f t="shared" ref="CY25:CZ26" si="9">C25+E25+G25+I25+K25+M25+O25+Q25+S25+U25+W25+Y25+AA25+AC25+AE25+AG25+AI25+AK25+AM25+AO25+AQ25+AS25+AU25+AW25+AY25+BA25+BC25+BE25+BG25+BI25+BK25+BM25+BO25+BQ25+BS25+BU25+BW25+BY25+CA25+CC25+CE25+CG25+CI25+CK25+CM25+CO25+CQ25+CS25+CU25+CW25</f>
        <v>0</v>
      </c>
      <c r="CZ25" s="19">
        <f t="shared" si="9"/>
        <v>0</v>
      </c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</row>
    <row r="26" spans="1:122" ht="18" customHeight="1">
      <c r="A26" s="13" t="s">
        <v>14</v>
      </c>
      <c r="B26" s="14">
        <f>IFERROR(VLOOKUP(A26,PRICELIST!$A$3:$D$138,4,0),"-")</f>
        <v>184.82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9">
        <f t="shared" si="9"/>
        <v>0</v>
      </c>
      <c r="CZ26" s="19">
        <f t="shared" si="9"/>
        <v>0</v>
      </c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</row>
    <row r="27" spans="1:122" ht="18" customHeight="1">
      <c r="A27" s="9" t="s">
        <v>15</v>
      </c>
      <c r="B27" s="10"/>
      <c r="C27" s="11">
        <f>SUMPRODUCT($B25:$B26,C25:C26)</f>
        <v>0</v>
      </c>
      <c r="D27" s="11">
        <f t="shared" ref="D27:BO27" si="10">SUMPRODUCT($B25:$B26,D25:D26)</f>
        <v>0</v>
      </c>
      <c r="E27" s="11">
        <f t="shared" si="10"/>
        <v>0</v>
      </c>
      <c r="F27" s="11">
        <f t="shared" si="10"/>
        <v>0</v>
      </c>
      <c r="G27" s="11">
        <f t="shared" si="10"/>
        <v>0</v>
      </c>
      <c r="H27" s="11">
        <f t="shared" si="10"/>
        <v>0</v>
      </c>
      <c r="I27" s="11">
        <f t="shared" si="10"/>
        <v>0</v>
      </c>
      <c r="J27" s="11">
        <f t="shared" si="10"/>
        <v>0</v>
      </c>
      <c r="K27" s="11">
        <f t="shared" si="10"/>
        <v>0</v>
      </c>
      <c r="L27" s="11">
        <f t="shared" si="10"/>
        <v>0</v>
      </c>
      <c r="M27" s="11">
        <f t="shared" si="10"/>
        <v>0</v>
      </c>
      <c r="N27" s="11">
        <f t="shared" si="10"/>
        <v>0</v>
      </c>
      <c r="O27" s="11">
        <f t="shared" si="10"/>
        <v>0</v>
      </c>
      <c r="P27" s="11">
        <f t="shared" si="10"/>
        <v>0</v>
      </c>
      <c r="Q27" s="11">
        <f t="shared" si="10"/>
        <v>0</v>
      </c>
      <c r="R27" s="11">
        <f t="shared" si="10"/>
        <v>0</v>
      </c>
      <c r="S27" s="11">
        <f t="shared" si="10"/>
        <v>0</v>
      </c>
      <c r="T27" s="11">
        <f t="shared" si="10"/>
        <v>0</v>
      </c>
      <c r="U27" s="11">
        <f t="shared" si="10"/>
        <v>0</v>
      </c>
      <c r="V27" s="11">
        <f t="shared" si="10"/>
        <v>0</v>
      </c>
      <c r="W27" s="11">
        <f t="shared" si="10"/>
        <v>0</v>
      </c>
      <c r="X27" s="11">
        <f t="shared" si="10"/>
        <v>0</v>
      </c>
      <c r="Y27" s="11">
        <f t="shared" si="10"/>
        <v>0</v>
      </c>
      <c r="Z27" s="11">
        <f t="shared" si="10"/>
        <v>0</v>
      </c>
      <c r="AA27" s="11">
        <f t="shared" si="10"/>
        <v>0</v>
      </c>
      <c r="AB27" s="11">
        <f t="shared" si="10"/>
        <v>0</v>
      </c>
      <c r="AC27" s="11">
        <f t="shared" si="10"/>
        <v>0</v>
      </c>
      <c r="AD27" s="11">
        <f t="shared" si="10"/>
        <v>0</v>
      </c>
      <c r="AE27" s="11">
        <f t="shared" si="10"/>
        <v>0</v>
      </c>
      <c r="AF27" s="11">
        <f t="shared" si="10"/>
        <v>0</v>
      </c>
      <c r="AG27" s="11">
        <f t="shared" si="10"/>
        <v>0</v>
      </c>
      <c r="AH27" s="11">
        <f t="shared" si="10"/>
        <v>0</v>
      </c>
      <c r="AI27" s="11">
        <f t="shared" si="10"/>
        <v>0</v>
      </c>
      <c r="AJ27" s="11">
        <f t="shared" si="10"/>
        <v>0</v>
      </c>
      <c r="AK27" s="11">
        <f t="shared" si="10"/>
        <v>0</v>
      </c>
      <c r="AL27" s="11">
        <f t="shared" si="10"/>
        <v>0</v>
      </c>
      <c r="AM27" s="11">
        <f t="shared" si="10"/>
        <v>0</v>
      </c>
      <c r="AN27" s="11">
        <f t="shared" si="10"/>
        <v>0</v>
      </c>
      <c r="AO27" s="11">
        <f t="shared" si="10"/>
        <v>0</v>
      </c>
      <c r="AP27" s="11">
        <f t="shared" si="10"/>
        <v>0</v>
      </c>
      <c r="AQ27" s="11">
        <f t="shared" si="10"/>
        <v>0</v>
      </c>
      <c r="AR27" s="11">
        <f t="shared" si="10"/>
        <v>0</v>
      </c>
      <c r="AS27" s="11">
        <f t="shared" si="10"/>
        <v>0</v>
      </c>
      <c r="AT27" s="11">
        <f t="shared" si="10"/>
        <v>0</v>
      </c>
      <c r="AU27" s="11">
        <f t="shared" si="10"/>
        <v>0</v>
      </c>
      <c r="AV27" s="11">
        <f t="shared" si="10"/>
        <v>0</v>
      </c>
      <c r="AW27" s="11">
        <f t="shared" si="10"/>
        <v>0</v>
      </c>
      <c r="AX27" s="11">
        <f t="shared" si="10"/>
        <v>0</v>
      </c>
      <c r="AY27" s="11">
        <f t="shared" si="10"/>
        <v>0</v>
      </c>
      <c r="AZ27" s="11">
        <f t="shared" si="10"/>
        <v>0</v>
      </c>
      <c r="BA27" s="11">
        <f t="shared" si="10"/>
        <v>0</v>
      </c>
      <c r="BB27" s="11">
        <f t="shared" si="10"/>
        <v>0</v>
      </c>
      <c r="BC27" s="11">
        <f t="shared" si="10"/>
        <v>0</v>
      </c>
      <c r="BD27" s="11">
        <f t="shared" si="10"/>
        <v>0</v>
      </c>
      <c r="BE27" s="11">
        <f t="shared" si="10"/>
        <v>0</v>
      </c>
      <c r="BF27" s="11">
        <f t="shared" si="10"/>
        <v>0</v>
      </c>
      <c r="BG27" s="11">
        <f t="shared" si="10"/>
        <v>0</v>
      </c>
      <c r="BH27" s="11">
        <f t="shared" si="10"/>
        <v>0</v>
      </c>
      <c r="BI27" s="11">
        <f t="shared" si="10"/>
        <v>0</v>
      </c>
      <c r="BJ27" s="11">
        <f t="shared" si="10"/>
        <v>0</v>
      </c>
      <c r="BK27" s="11">
        <f t="shared" si="10"/>
        <v>0</v>
      </c>
      <c r="BL27" s="11">
        <f t="shared" si="10"/>
        <v>0</v>
      </c>
      <c r="BM27" s="11">
        <f t="shared" si="10"/>
        <v>0</v>
      </c>
      <c r="BN27" s="11">
        <f t="shared" si="10"/>
        <v>0</v>
      </c>
      <c r="BO27" s="11">
        <f t="shared" si="10"/>
        <v>0</v>
      </c>
      <c r="BP27" s="11">
        <f t="shared" ref="BP27:CZ27" si="11">SUMPRODUCT($B25:$B26,BP25:BP26)</f>
        <v>0</v>
      </c>
      <c r="BQ27" s="11">
        <f t="shared" si="11"/>
        <v>0</v>
      </c>
      <c r="BR27" s="11">
        <f t="shared" si="11"/>
        <v>0</v>
      </c>
      <c r="BS27" s="11">
        <f t="shared" si="11"/>
        <v>0</v>
      </c>
      <c r="BT27" s="11">
        <f t="shared" si="11"/>
        <v>0</v>
      </c>
      <c r="BU27" s="11">
        <f t="shared" si="11"/>
        <v>0</v>
      </c>
      <c r="BV27" s="11">
        <f t="shared" si="11"/>
        <v>0</v>
      </c>
      <c r="BW27" s="11">
        <f t="shared" si="11"/>
        <v>0</v>
      </c>
      <c r="BX27" s="11">
        <f t="shared" si="11"/>
        <v>0</v>
      </c>
      <c r="BY27" s="11">
        <f t="shared" si="11"/>
        <v>0</v>
      </c>
      <c r="BZ27" s="11">
        <f t="shared" si="11"/>
        <v>0</v>
      </c>
      <c r="CA27" s="11">
        <f t="shared" si="11"/>
        <v>0</v>
      </c>
      <c r="CB27" s="11">
        <f t="shared" si="11"/>
        <v>0</v>
      </c>
      <c r="CC27" s="11">
        <f t="shared" si="11"/>
        <v>0</v>
      </c>
      <c r="CD27" s="11">
        <f t="shared" si="11"/>
        <v>0</v>
      </c>
      <c r="CE27" s="11">
        <f t="shared" si="11"/>
        <v>0</v>
      </c>
      <c r="CF27" s="11">
        <f t="shared" si="11"/>
        <v>0</v>
      </c>
      <c r="CG27" s="11">
        <f t="shared" si="11"/>
        <v>0</v>
      </c>
      <c r="CH27" s="11">
        <f t="shared" si="11"/>
        <v>0</v>
      </c>
      <c r="CI27" s="11">
        <f t="shared" si="11"/>
        <v>0</v>
      </c>
      <c r="CJ27" s="11">
        <f t="shared" si="11"/>
        <v>0</v>
      </c>
      <c r="CK27" s="11">
        <f t="shared" si="11"/>
        <v>0</v>
      </c>
      <c r="CL27" s="11">
        <f t="shared" si="11"/>
        <v>0</v>
      </c>
      <c r="CM27" s="11">
        <f t="shared" si="11"/>
        <v>0</v>
      </c>
      <c r="CN27" s="11">
        <f t="shared" si="11"/>
        <v>0</v>
      </c>
      <c r="CO27" s="11">
        <f t="shared" si="11"/>
        <v>0</v>
      </c>
      <c r="CP27" s="11">
        <f t="shared" si="11"/>
        <v>0</v>
      </c>
      <c r="CQ27" s="11">
        <f t="shared" si="11"/>
        <v>0</v>
      </c>
      <c r="CR27" s="11">
        <f t="shared" si="11"/>
        <v>0</v>
      </c>
      <c r="CS27" s="11">
        <f t="shared" si="11"/>
        <v>0</v>
      </c>
      <c r="CT27" s="11">
        <f t="shared" si="11"/>
        <v>0</v>
      </c>
      <c r="CU27" s="11">
        <f t="shared" si="11"/>
        <v>0</v>
      </c>
      <c r="CV27" s="11">
        <f t="shared" si="11"/>
        <v>0</v>
      </c>
      <c r="CW27" s="11">
        <f t="shared" si="11"/>
        <v>0</v>
      </c>
      <c r="CX27" s="11">
        <f t="shared" si="11"/>
        <v>0</v>
      </c>
      <c r="CY27" s="11">
        <f t="shared" si="11"/>
        <v>0</v>
      </c>
      <c r="CZ27" s="11">
        <f t="shared" si="11"/>
        <v>0</v>
      </c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</row>
    <row r="28" spans="1:122" ht="18" customHeight="1">
      <c r="A28" s="13" t="s">
        <v>16</v>
      </c>
      <c r="B28" s="14">
        <f>IFERROR(VLOOKUP(A28,PRICELIST!$A$3:$D$138,4,0),"-")</f>
        <v>113.79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9">
        <f t="shared" ref="CY28:CZ33" si="12">C28+E28+G28+I28+K28+M28+O28+Q28+S28+U28+W28+Y28+AA28+AC28+AE28+AG28+AI28+AK28+AM28+AO28+AQ28+AS28+AU28+AW28+AY28+BA28+BC28+BE28+BG28+BI28+BK28+BM28+BO28+BQ28+BS28+BU28+BW28+BY28+CA28+CC28+CE28+CG28+CI28+CK28+CM28+CO28+CQ28+CS28+CU28+CW28</f>
        <v>0</v>
      </c>
      <c r="CZ28" s="19">
        <f t="shared" si="12"/>
        <v>0</v>
      </c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</row>
    <row r="29" spans="1:122" ht="18" customHeight="1">
      <c r="A29" s="13" t="s">
        <v>17</v>
      </c>
      <c r="B29" s="14">
        <f>IFERROR(VLOOKUP(A29,PRICELIST!$A$3:$D$138,4,0),"-")</f>
        <v>188.04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9">
        <f t="shared" si="12"/>
        <v>0</v>
      </c>
      <c r="CZ29" s="19">
        <f t="shared" si="12"/>
        <v>0</v>
      </c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</row>
    <row r="30" spans="1:122" ht="18" customHeight="1">
      <c r="A30" s="13" t="s">
        <v>18</v>
      </c>
      <c r="B30" s="14">
        <f>IFERROR(VLOOKUP(A30,PRICELIST!$A$3:$D$138,4,0),"-")</f>
        <v>68.16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9">
        <f t="shared" si="12"/>
        <v>0</v>
      </c>
      <c r="CZ30" s="19">
        <f t="shared" si="12"/>
        <v>0</v>
      </c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</row>
    <row r="31" spans="1:122" ht="18" customHeight="1">
      <c r="A31" s="13" t="s">
        <v>19</v>
      </c>
      <c r="B31" s="14">
        <f>IFERROR(VLOOKUP(A31,PRICELIST!$A$3:$D$138,4,0),"-")</f>
        <v>101.57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9">
        <f t="shared" si="12"/>
        <v>0</v>
      </c>
      <c r="CZ31" s="19">
        <f t="shared" si="12"/>
        <v>0</v>
      </c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</row>
    <row r="32" spans="1:122" ht="18" customHeight="1">
      <c r="A32" s="13" t="s">
        <v>20</v>
      </c>
      <c r="B32" s="14">
        <f>IFERROR(VLOOKUP(A32,PRICELIST!$A$3:$D$138,4,0),"-")</f>
        <v>164.73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9">
        <f t="shared" si="12"/>
        <v>0</v>
      </c>
      <c r="CZ32" s="19">
        <f t="shared" si="12"/>
        <v>0</v>
      </c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</row>
    <row r="33" spans="1:122" ht="18" customHeight="1">
      <c r="A33" s="13" t="s">
        <v>21</v>
      </c>
      <c r="B33" s="14">
        <f>IFERROR(VLOOKUP(A33,PRICELIST!$A$3:$D$138,4,0),"-")</f>
        <v>78.099999999999994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9">
        <f t="shared" si="12"/>
        <v>0</v>
      </c>
      <c r="CZ33" s="19">
        <f t="shared" si="12"/>
        <v>0</v>
      </c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</row>
    <row r="34" spans="1:122" ht="18" customHeight="1">
      <c r="A34" s="9" t="s">
        <v>22</v>
      </c>
      <c r="B34" s="10"/>
      <c r="C34" s="11">
        <f>SUMPRODUCT($B28:$B33,C28:C33)</f>
        <v>0</v>
      </c>
      <c r="D34" s="11">
        <f t="shared" ref="D34:BO34" si="13">SUMPRODUCT($B28:$B33,D28:D33)</f>
        <v>0</v>
      </c>
      <c r="E34" s="11">
        <f t="shared" si="13"/>
        <v>0</v>
      </c>
      <c r="F34" s="11">
        <f t="shared" si="13"/>
        <v>0</v>
      </c>
      <c r="G34" s="11">
        <f t="shared" si="13"/>
        <v>0</v>
      </c>
      <c r="H34" s="11">
        <f t="shared" si="13"/>
        <v>0</v>
      </c>
      <c r="I34" s="11">
        <f t="shared" si="13"/>
        <v>0</v>
      </c>
      <c r="J34" s="11">
        <f t="shared" si="13"/>
        <v>0</v>
      </c>
      <c r="K34" s="11">
        <f t="shared" si="13"/>
        <v>0</v>
      </c>
      <c r="L34" s="11">
        <f t="shared" si="13"/>
        <v>0</v>
      </c>
      <c r="M34" s="11">
        <f t="shared" si="13"/>
        <v>0</v>
      </c>
      <c r="N34" s="11">
        <f t="shared" si="13"/>
        <v>0</v>
      </c>
      <c r="O34" s="11">
        <f t="shared" si="13"/>
        <v>0</v>
      </c>
      <c r="P34" s="11">
        <f t="shared" si="13"/>
        <v>0</v>
      </c>
      <c r="Q34" s="11">
        <f t="shared" si="13"/>
        <v>0</v>
      </c>
      <c r="R34" s="11">
        <f t="shared" si="13"/>
        <v>0</v>
      </c>
      <c r="S34" s="11">
        <f t="shared" si="13"/>
        <v>0</v>
      </c>
      <c r="T34" s="11">
        <f t="shared" si="13"/>
        <v>0</v>
      </c>
      <c r="U34" s="11">
        <f t="shared" si="13"/>
        <v>0</v>
      </c>
      <c r="V34" s="11">
        <f t="shared" si="13"/>
        <v>0</v>
      </c>
      <c r="W34" s="11">
        <f t="shared" si="13"/>
        <v>0</v>
      </c>
      <c r="X34" s="11">
        <f t="shared" si="13"/>
        <v>0</v>
      </c>
      <c r="Y34" s="11">
        <f t="shared" si="13"/>
        <v>0</v>
      </c>
      <c r="Z34" s="11">
        <f t="shared" si="13"/>
        <v>0</v>
      </c>
      <c r="AA34" s="11">
        <f t="shared" si="13"/>
        <v>0</v>
      </c>
      <c r="AB34" s="11">
        <f t="shared" si="13"/>
        <v>0</v>
      </c>
      <c r="AC34" s="11">
        <f t="shared" si="13"/>
        <v>0</v>
      </c>
      <c r="AD34" s="11">
        <f t="shared" si="13"/>
        <v>0</v>
      </c>
      <c r="AE34" s="11">
        <f t="shared" si="13"/>
        <v>0</v>
      </c>
      <c r="AF34" s="11">
        <f t="shared" si="13"/>
        <v>0</v>
      </c>
      <c r="AG34" s="11">
        <f t="shared" si="13"/>
        <v>0</v>
      </c>
      <c r="AH34" s="11">
        <f t="shared" si="13"/>
        <v>0</v>
      </c>
      <c r="AI34" s="11">
        <f t="shared" si="13"/>
        <v>0</v>
      </c>
      <c r="AJ34" s="11">
        <f t="shared" si="13"/>
        <v>0</v>
      </c>
      <c r="AK34" s="11">
        <f t="shared" si="13"/>
        <v>0</v>
      </c>
      <c r="AL34" s="11">
        <f t="shared" si="13"/>
        <v>0</v>
      </c>
      <c r="AM34" s="11">
        <f t="shared" si="13"/>
        <v>0</v>
      </c>
      <c r="AN34" s="11">
        <f t="shared" si="13"/>
        <v>0</v>
      </c>
      <c r="AO34" s="11">
        <f t="shared" si="13"/>
        <v>0</v>
      </c>
      <c r="AP34" s="11">
        <f t="shared" si="13"/>
        <v>0</v>
      </c>
      <c r="AQ34" s="11">
        <f t="shared" si="13"/>
        <v>0</v>
      </c>
      <c r="AR34" s="11">
        <f t="shared" si="13"/>
        <v>0</v>
      </c>
      <c r="AS34" s="11">
        <f t="shared" si="13"/>
        <v>0</v>
      </c>
      <c r="AT34" s="11">
        <f t="shared" si="13"/>
        <v>0</v>
      </c>
      <c r="AU34" s="11">
        <f t="shared" si="13"/>
        <v>0</v>
      </c>
      <c r="AV34" s="11">
        <f t="shared" si="13"/>
        <v>0</v>
      </c>
      <c r="AW34" s="11">
        <f t="shared" si="13"/>
        <v>0</v>
      </c>
      <c r="AX34" s="11">
        <f t="shared" si="13"/>
        <v>0</v>
      </c>
      <c r="AY34" s="11">
        <f t="shared" si="13"/>
        <v>0</v>
      </c>
      <c r="AZ34" s="11">
        <f t="shared" si="13"/>
        <v>0</v>
      </c>
      <c r="BA34" s="11">
        <f t="shared" si="13"/>
        <v>0</v>
      </c>
      <c r="BB34" s="11">
        <f t="shared" si="13"/>
        <v>0</v>
      </c>
      <c r="BC34" s="11">
        <f t="shared" si="13"/>
        <v>0</v>
      </c>
      <c r="BD34" s="11">
        <f t="shared" si="13"/>
        <v>0</v>
      </c>
      <c r="BE34" s="11">
        <f t="shared" si="13"/>
        <v>0</v>
      </c>
      <c r="BF34" s="11">
        <f t="shared" si="13"/>
        <v>0</v>
      </c>
      <c r="BG34" s="11">
        <f t="shared" si="13"/>
        <v>0</v>
      </c>
      <c r="BH34" s="11">
        <f t="shared" si="13"/>
        <v>0</v>
      </c>
      <c r="BI34" s="11">
        <f t="shared" si="13"/>
        <v>0</v>
      </c>
      <c r="BJ34" s="11">
        <f t="shared" si="13"/>
        <v>0</v>
      </c>
      <c r="BK34" s="11">
        <f t="shared" si="13"/>
        <v>0</v>
      </c>
      <c r="BL34" s="11">
        <f t="shared" si="13"/>
        <v>0</v>
      </c>
      <c r="BM34" s="11">
        <f t="shared" si="13"/>
        <v>0</v>
      </c>
      <c r="BN34" s="11">
        <f t="shared" si="13"/>
        <v>0</v>
      </c>
      <c r="BO34" s="11">
        <f t="shared" si="13"/>
        <v>0</v>
      </c>
      <c r="BP34" s="11">
        <f t="shared" ref="BP34:CZ34" si="14">SUMPRODUCT($B28:$B33,BP28:BP33)</f>
        <v>0</v>
      </c>
      <c r="BQ34" s="11">
        <f t="shared" si="14"/>
        <v>0</v>
      </c>
      <c r="BR34" s="11">
        <f t="shared" si="14"/>
        <v>0</v>
      </c>
      <c r="BS34" s="11">
        <f t="shared" si="14"/>
        <v>0</v>
      </c>
      <c r="BT34" s="11">
        <f t="shared" si="14"/>
        <v>0</v>
      </c>
      <c r="BU34" s="11">
        <f t="shared" si="14"/>
        <v>0</v>
      </c>
      <c r="BV34" s="11">
        <f t="shared" si="14"/>
        <v>0</v>
      </c>
      <c r="BW34" s="11">
        <f t="shared" si="14"/>
        <v>0</v>
      </c>
      <c r="BX34" s="11">
        <f t="shared" si="14"/>
        <v>0</v>
      </c>
      <c r="BY34" s="11">
        <f t="shared" si="14"/>
        <v>0</v>
      </c>
      <c r="BZ34" s="11">
        <f t="shared" si="14"/>
        <v>0</v>
      </c>
      <c r="CA34" s="11">
        <f t="shared" si="14"/>
        <v>0</v>
      </c>
      <c r="CB34" s="11">
        <f t="shared" si="14"/>
        <v>0</v>
      </c>
      <c r="CC34" s="11">
        <f t="shared" si="14"/>
        <v>0</v>
      </c>
      <c r="CD34" s="11">
        <f t="shared" si="14"/>
        <v>0</v>
      </c>
      <c r="CE34" s="11">
        <f t="shared" si="14"/>
        <v>0</v>
      </c>
      <c r="CF34" s="11">
        <f t="shared" si="14"/>
        <v>0</v>
      </c>
      <c r="CG34" s="11">
        <f t="shared" si="14"/>
        <v>0</v>
      </c>
      <c r="CH34" s="11">
        <f t="shared" si="14"/>
        <v>0</v>
      </c>
      <c r="CI34" s="11">
        <f t="shared" si="14"/>
        <v>0</v>
      </c>
      <c r="CJ34" s="11">
        <f t="shared" si="14"/>
        <v>0</v>
      </c>
      <c r="CK34" s="11">
        <f t="shared" si="14"/>
        <v>0</v>
      </c>
      <c r="CL34" s="11">
        <f t="shared" si="14"/>
        <v>0</v>
      </c>
      <c r="CM34" s="11">
        <f t="shared" si="14"/>
        <v>0</v>
      </c>
      <c r="CN34" s="11">
        <f t="shared" si="14"/>
        <v>0</v>
      </c>
      <c r="CO34" s="11">
        <f t="shared" si="14"/>
        <v>0</v>
      </c>
      <c r="CP34" s="11">
        <f t="shared" si="14"/>
        <v>0</v>
      </c>
      <c r="CQ34" s="11">
        <f t="shared" si="14"/>
        <v>0</v>
      </c>
      <c r="CR34" s="11">
        <f t="shared" si="14"/>
        <v>0</v>
      </c>
      <c r="CS34" s="11">
        <f t="shared" si="14"/>
        <v>0</v>
      </c>
      <c r="CT34" s="11">
        <f t="shared" si="14"/>
        <v>0</v>
      </c>
      <c r="CU34" s="11">
        <f t="shared" si="14"/>
        <v>0</v>
      </c>
      <c r="CV34" s="11">
        <f t="shared" si="14"/>
        <v>0</v>
      </c>
      <c r="CW34" s="11">
        <f t="shared" si="14"/>
        <v>0</v>
      </c>
      <c r="CX34" s="11">
        <f t="shared" si="14"/>
        <v>0</v>
      </c>
      <c r="CY34" s="11">
        <f t="shared" si="14"/>
        <v>0</v>
      </c>
      <c r="CZ34" s="11">
        <f t="shared" si="14"/>
        <v>0</v>
      </c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</row>
    <row r="35" spans="1:122" ht="18" customHeight="1">
      <c r="A35" s="13" t="s">
        <v>23</v>
      </c>
      <c r="B35" s="14">
        <f>IFERROR(VLOOKUP(A35,PRICELIST!$A$3:$D$138,4,0),"-")</f>
        <v>60.11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9">
        <f t="shared" ref="CY35:CZ36" si="15">C35+E35+G35+I35+K35+M35+O35+Q35+S35+U35+W35+Y35+AA35+AC35+AE35+AG35+AI35+AK35+AM35+AO35+AQ35+AS35+AU35+AW35+AY35+BA35+BC35+BE35+BG35+BI35+BK35+BM35+BO35+BQ35+BS35+BU35+BW35+BY35+CA35+CC35+CE35+CG35+CI35+CK35+CM35+CO35+CQ35+CS35+CU35+CW35</f>
        <v>0</v>
      </c>
      <c r="CZ35" s="19">
        <f t="shared" si="15"/>
        <v>0</v>
      </c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</row>
    <row r="36" spans="1:122" ht="18" customHeight="1">
      <c r="A36" s="13" t="s">
        <v>24</v>
      </c>
      <c r="B36" s="14">
        <f>IFERROR(VLOOKUP(A36,PRICELIST!$A$3:$D$138,4,0),"-")</f>
        <v>91.2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9">
        <f t="shared" si="15"/>
        <v>0</v>
      </c>
      <c r="CZ36" s="19">
        <f t="shared" si="15"/>
        <v>0</v>
      </c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</row>
    <row r="37" spans="1:122" ht="18" customHeight="1">
      <c r="A37" s="9" t="s">
        <v>25</v>
      </c>
      <c r="B37" s="10"/>
      <c r="C37" s="11">
        <f>SUMPRODUCT($B35:$B36,C35:C36)</f>
        <v>0</v>
      </c>
      <c r="D37" s="11">
        <f t="shared" ref="D37:BO37" si="16">SUMPRODUCT($B35:$B36,D35:D36)</f>
        <v>0</v>
      </c>
      <c r="E37" s="11">
        <f t="shared" si="16"/>
        <v>0</v>
      </c>
      <c r="F37" s="11">
        <f t="shared" si="16"/>
        <v>0</v>
      </c>
      <c r="G37" s="11">
        <f t="shared" si="16"/>
        <v>0</v>
      </c>
      <c r="H37" s="11">
        <f t="shared" si="16"/>
        <v>0</v>
      </c>
      <c r="I37" s="11">
        <f t="shared" si="16"/>
        <v>0</v>
      </c>
      <c r="J37" s="11">
        <f t="shared" si="16"/>
        <v>0</v>
      </c>
      <c r="K37" s="11">
        <f t="shared" si="16"/>
        <v>0</v>
      </c>
      <c r="L37" s="11">
        <f t="shared" si="16"/>
        <v>0</v>
      </c>
      <c r="M37" s="11">
        <f t="shared" si="16"/>
        <v>0</v>
      </c>
      <c r="N37" s="11">
        <f t="shared" si="16"/>
        <v>0</v>
      </c>
      <c r="O37" s="11">
        <f t="shared" si="16"/>
        <v>0</v>
      </c>
      <c r="P37" s="11">
        <f t="shared" si="16"/>
        <v>0</v>
      </c>
      <c r="Q37" s="11">
        <f t="shared" si="16"/>
        <v>0</v>
      </c>
      <c r="R37" s="11">
        <f t="shared" si="16"/>
        <v>0</v>
      </c>
      <c r="S37" s="11">
        <f t="shared" si="16"/>
        <v>0</v>
      </c>
      <c r="T37" s="11">
        <f t="shared" si="16"/>
        <v>0</v>
      </c>
      <c r="U37" s="11">
        <f t="shared" si="16"/>
        <v>0</v>
      </c>
      <c r="V37" s="11">
        <f t="shared" si="16"/>
        <v>0</v>
      </c>
      <c r="W37" s="11">
        <f t="shared" si="16"/>
        <v>0</v>
      </c>
      <c r="X37" s="11">
        <f t="shared" si="16"/>
        <v>0</v>
      </c>
      <c r="Y37" s="11">
        <f t="shared" si="16"/>
        <v>0</v>
      </c>
      <c r="Z37" s="11">
        <f t="shared" si="16"/>
        <v>0</v>
      </c>
      <c r="AA37" s="11">
        <f t="shared" si="16"/>
        <v>0</v>
      </c>
      <c r="AB37" s="11">
        <f t="shared" si="16"/>
        <v>0</v>
      </c>
      <c r="AC37" s="11">
        <f t="shared" si="16"/>
        <v>0</v>
      </c>
      <c r="AD37" s="11">
        <f t="shared" si="16"/>
        <v>0</v>
      </c>
      <c r="AE37" s="11">
        <f t="shared" si="16"/>
        <v>0</v>
      </c>
      <c r="AF37" s="11">
        <f t="shared" si="16"/>
        <v>0</v>
      </c>
      <c r="AG37" s="11">
        <f t="shared" si="16"/>
        <v>0</v>
      </c>
      <c r="AH37" s="11">
        <f t="shared" si="16"/>
        <v>0</v>
      </c>
      <c r="AI37" s="11">
        <f t="shared" si="16"/>
        <v>0</v>
      </c>
      <c r="AJ37" s="11">
        <f t="shared" si="16"/>
        <v>0</v>
      </c>
      <c r="AK37" s="11">
        <f t="shared" si="16"/>
        <v>0</v>
      </c>
      <c r="AL37" s="11">
        <f t="shared" si="16"/>
        <v>0</v>
      </c>
      <c r="AM37" s="11">
        <f t="shared" si="16"/>
        <v>0</v>
      </c>
      <c r="AN37" s="11">
        <f t="shared" si="16"/>
        <v>0</v>
      </c>
      <c r="AO37" s="11">
        <f t="shared" si="16"/>
        <v>0</v>
      </c>
      <c r="AP37" s="11">
        <f t="shared" si="16"/>
        <v>0</v>
      </c>
      <c r="AQ37" s="11">
        <f t="shared" si="16"/>
        <v>0</v>
      </c>
      <c r="AR37" s="11">
        <f t="shared" si="16"/>
        <v>0</v>
      </c>
      <c r="AS37" s="11">
        <f t="shared" si="16"/>
        <v>0</v>
      </c>
      <c r="AT37" s="11">
        <f t="shared" si="16"/>
        <v>0</v>
      </c>
      <c r="AU37" s="11">
        <f t="shared" si="16"/>
        <v>0</v>
      </c>
      <c r="AV37" s="11">
        <f t="shared" si="16"/>
        <v>0</v>
      </c>
      <c r="AW37" s="11">
        <f t="shared" si="16"/>
        <v>0</v>
      </c>
      <c r="AX37" s="11">
        <f t="shared" si="16"/>
        <v>0</v>
      </c>
      <c r="AY37" s="11">
        <f t="shared" si="16"/>
        <v>0</v>
      </c>
      <c r="AZ37" s="11">
        <f t="shared" si="16"/>
        <v>0</v>
      </c>
      <c r="BA37" s="11">
        <f t="shared" si="16"/>
        <v>0</v>
      </c>
      <c r="BB37" s="11">
        <f t="shared" si="16"/>
        <v>0</v>
      </c>
      <c r="BC37" s="11">
        <f t="shared" si="16"/>
        <v>0</v>
      </c>
      <c r="BD37" s="11">
        <f t="shared" si="16"/>
        <v>0</v>
      </c>
      <c r="BE37" s="11">
        <f t="shared" si="16"/>
        <v>0</v>
      </c>
      <c r="BF37" s="11">
        <f t="shared" si="16"/>
        <v>0</v>
      </c>
      <c r="BG37" s="11">
        <f t="shared" si="16"/>
        <v>0</v>
      </c>
      <c r="BH37" s="11">
        <f t="shared" si="16"/>
        <v>0</v>
      </c>
      <c r="BI37" s="11">
        <f t="shared" si="16"/>
        <v>0</v>
      </c>
      <c r="BJ37" s="11">
        <f t="shared" si="16"/>
        <v>0</v>
      </c>
      <c r="BK37" s="11">
        <f t="shared" si="16"/>
        <v>0</v>
      </c>
      <c r="BL37" s="11">
        <f t="shared" si="16"/>
        <v>0</v>
      </c>
      <c r="BM37" s="11">
        <f t="shared" si="16"/>
        <v>0</v>
      </c>
      <c r="BN37" s="11">
        <f t="shared" si="16"/>
        <v>0</v>
      </c>
      <c r="BO37" s="11">
        <f t="shared" si="16"/>
        <v>0</v>
      </c>
      <c r="BP37" s="11">
        <f t="shared" ref="BP37:CZ37" si="17">SUMPRODUCT($B35:$B36,BP35:BP36)</f>
        <v>0</v>
      </c>
      <c r="BQ37" s="11">
        <f t="shared" si="17"/>
        <v>0</v>
      </c>
      <c r="BR37" s="11">
        <f t="shared" si="17"/>
        <v>0</v>
      </c>
      <c r="BS37" s="11">
        <f t="shared" si="17"/>
        <v>0</v>
      </c>
      <c r="BT37" s="11">
        <f t="shared" si="17"/>
        <v>0</v>
      </c>
      <c r="BU37" s="11">
        <f t="shared" si="17"/>
        <v>0</v>
      </c>
      <c r="BV37" s="11">
        <f t="shared" si="17"/>
        <v>0</v>
      </c>
      <c r="BW37" s="11">
        <f t="shared" si="17"/>
        <v>0</v>
      </c>
      <c r="BX37" s="11">
        <f t="shared" si="17"/>
        <v>0</v>
      </c>
      <c r="BY37" s="11">
        <f t="shared" si="17"/>
        <v>0</v>
      </c>
      <c r="BZ37" s="11">
        <f t="shared" si="17"/>
        <v>0</v>
      </c>
      <c r="CA37" s="11">
        <f t="shared" si="17"/>
        <v>0</v>
      </c>
      <c r="CB37" s="11">
        <f t="shared" si="17"/>
        <v>0</v>
      </c>
      <c r="CC37" s="11">
        <f t="shared" si="17"/>
        <v>0</v>
      </c>
      <c r="CD37" s="11">
        <f t="shared" si="17"/>
        <v>0</v>
      </c>
      <c r="CE37" s="11">
        <f t="shared" si="17"/>
        <v>0</v>
      </c>
      <c r="CF37" s="11">
        <f t="shared" si="17"/>
        <v>0</v>
      </c>
      <c r="CG37" s="11">
        <f t="shared" si="17"/>
        <v>0</v>
      </c>
      <c r="CH37" s="11">
        <f t="shared" si="17"/>
        <v>0</v>
      </c>
      <c r="CI37" s="11">
        <f t="shared" si="17"/>
        <v>0</v>
      </c>
      <c r="CJ37" s="11">
        <f t="shared" si="17"/>
        <v>0</v>
      </c>
      <c r="CK37" s="11">
        <f t="shared" si="17"/>
        <v>0</v>
      </c>
      <c r="CL37" s="11">
        <f t="shared" si="17"/>
        <v>0</v>
      </c>
      <c r="CM37" s="11">
        <f t="shared" si="17"/>
        <v>0</v>
      </c>
      <c r="CN37" s="11">
        <f t="shared" si="17"/>
        <v>0</v>
      </c>
      <c r="CO37" s="11">
        <f t="shared" si="17"/>
        <v>0</v>
      </c>
      <c r="CP37" s="11">
        <f t="shared" si="17"/>
        <v>0</v>
      </c>
      <c r="CQ37" s="11">
        <f t="shared" si="17"/>
        <v>0</v>
      </c>
      <c r="CR37" s="11">
        <f t="shared" si="17"/>
        <v>0</v>
      </c>
      <c r="CS37" s="11">
        <f t="shared" si="17"/>
        <v>0</v>
      </c>
      <c r="CT37" s="11">
        <f t="shared" si="17"/>
        <v>0</v>
      </c>
      <c r="CU37" s="11">
        <f t="shared" si="17"/>
        <v>0</v>
      </c>
      <c r="CV37" s="11">
        <f t="shared" si="17"/>
        <v>0</v>
      </c>
      <c r="CW37" s="11">
        <f t="shared" si="17"/>
        <v>0</v>
      </c>
      <c r="CX37" s="11">
        <f t="shared" si="17"/>
        <v>0</v>
      </c>
      <c r="CY37" s="11">
        <f t="shared" si="17"/>
        <v>0</v>
      </c>
      <c r="CZ37" s="11">
        <f t="shared" si="17"/>
        <v>0</v>
      </c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</row>
    <row r="38" spans="1:122" ht="18" customHeight="1">
      <c r="A38" s="13" t="s">
        <v>26</v>
      </c>
      <c r="B38" s="14">
        <f>IFERROR(VLOOKUP(A38,PRICELIST!$A$3:$D$138,4,0),"-")</f>
        <v>159.75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9">
        <f t="shared" ref="CY38:CZ39" si="18">C38+E38+G38+I38+K38+M38+O38+Q38+S38+U38+W38+Y38+AA38+AC38+AE38+AG38+AI38+AK38+AM38+AO38+AQ38+AS38+AU38+AW38+AY38+BA38+BC38+BE38+BG38+BI38+BK38+BM38+BO38+BQ38+BS38+BU38+BW38+BY38+CA38+CC38+CE38+CG38+CI38+CK38+CM38+CO38+CQ38+CS38+CU38+CW38</f>
        <v>0</v>
      </c>
      <c r="CZ38" s="19">
        <f t="shared" si="18"/>
        <v>0</v>
      </c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</row>
    <row r="39" spans="1:122" ht="18" customHeight="1">
      <c r="A39" s="13" t="s">
        <v>27</v>
      </c>
      <c r="B39" s="14">
        <f>IFERROR(VLOOKUP(A39,PRICELIST!$A$3:$D$138,4,0),"-")</f>
        <v>83.59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9">
        <f t="shared" si="18"/>
        <v>0</v>
      </c>
      <c r="CZ39" s="19">
        <f t="shared" si="18"/>
        <v>0</v>
      </c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</row>
    <row r="40" spans="1:122" ht="18" customHeight="1">
      <c r="A40" s="9" t="s">
        <v>28</v>
      </c>
      <c r="B40" s="10"/>
      <c r="C40" s="11">
        <f>SUMPRODUCT($B38:$B39,C38:C39)</f>
        <v>0</v>
      </c>
      <c r="D40" s="11">
        <f t="shared" ref="D40:BO40" si="19">SUMPRODUCT($B38:$B39,D38:D39)</f>
        <v>0</v>
      </c>
      <c r="E40" s="11">
        <f t="shared" si="19"/>
        <v>0</v>
      </c>
      <c r="F40" s="11">
        <f t="shared" si="19"/>
        <v>0</v>
      </c>
      <c r="G40" s="11">
        <f t="shared" si="19"/>
        <v>0</v>
      </c>
      <c r="H40" s="11">
        <f t="shared" si="19"/>
        <v>0</v>
      </c>
      <c r="I40" s="11">
        <f t="shared" si="19"/>
        <v>0</v>
      </c>
      <c r="J40" s="11">
        <f t="shared" si="19"/>
        <v>0</v>
      </c>
      <c r="K40" s="11">
        <f t="shared" si="19"/>
        <v>0</v>
      </c>
      <c r="L40" s="11">
        <f t="shared" si="19"/>
        <v>0</v>
      </c>
      <c r="M40" s="11">
        <f t="shared" si="19"/>
        <v>0</v>
      </c>
      <c r="N40" s="11">
        <f t="shared" si="19"/>
        <v>0</v>
      </c>
      <c r="O40" s="11">
        <f t="shared" si="19"/>
        <v>0</v>
      </c>
      <c r="P40" s="11">
        <f t="shared" si="19"/>
        <v>0</v>
      </c>
      <c r="Q40" s="11">
        <f t="shared" si="19"/>
        <v>0</v>
      </c>
      <c r="R40" s="11">
        <f t="shared" si="19"/>
        <v>0</v>
      </c>
      <c r="S40" s="11">
        <f t="shared" si="19"/>
        <v>0</v>
      </c>
      <c r="T40" s="11">
        <f t="shared" si="19"/>
        <v>0</v>
      </c>
      <c r="U40" s="11">
        <f t="shared" si="19"/>
        <v>0</v>
      </c>
      <c r="V40" s="11">
        <f t="shared" si="19"/>
        <v>0</v>
      </c>
      <c r="W40" s="11">
        <f t="shared" si="19"/>
        <v>0</v>
      </c>
      <c r="X40" s="11">
        <f t="shared" si="19"/>
        <v>0</v>
      </c>
      <c r="Y40" s="11">
        <f t="shared" si="19"/>
        <v>0</v>
      </c>
      <c r="Z40" s="11">
        <f t="shared" si="19"/>
        <v>0</v>
      </c>
      <c r="AA40" s="11">
        <f t="shared" si="19"/>
        <v>0</v>
      </c>
      <c r="AB40" s="11">
        <f t="shared" si="19"/>
        <v>0</v>
      </c>
      <c r="AC40" s="11">
        <f t="shared" si="19"/>
        <v>0</v>
      </c>
      <c r="AD40" s="11">
        <f t="shared" si="19"/>
        <v>0</v>
      </c>
      <c r="AE40" s="11">
        <f t="shared" si="19"/>
        <v>0</v>
      </c>
      <c r="AF40" s="11">
        <f t="shared" si="19"/>
        <v>0</v>
      </c>
      <c r="AG40" s="11">
        <f t="shared" si="19"/>
        <v>0</v>
      </c>
      <c r="AH40" s="11">
        <f t="shared" si="19"/>
        <v>0</v>
      </c>
      <c r="AI40" s="11">
        <f t="shared" si="19"/>
        <v>0</v>
      </c>
      <c r="AJ40" s="11">
        <f t="shared" si="19"/>
        <v>0</v>
      </c>
      <c r="AK40" s="11">
        <f t="shared" si="19"/>
        <v>0</v>
      </c>
      <c r="AL40" s="11">
        <f t="shared" si="19"/>
        <v>0</v>
      </c>
      <c r="AM40" s="11">
        <f t="shared" si="19"/>
        <v>0</v>
      </c>
      <c r="AN40" s="11">
        <f t="shared" si="19"/>
        <v>0</v>
      </c>
      <c r="AO40" s="11">
        <f t="shared" si="19"/>
        <v>0</v>
      </c>
      <c r="AP40" s="11">
        <f t="shared" si="19"/>
        <v>0</v>
      </c>
      <c r="AQ40" s="11">
        <f t="shared" si="19"/>
        <v>0</v>
      </c>
      <c r="AR40" s="11">
        <f t="shared" si="19"/>
        <v>0</v>
      </c>
      <c r="AS40" s="11">
        <f t="shared" si="19"/>
        <v>0</v>
      </c>
      <c r="AT40" s="11">
        <f t="shared" si="19"/>
        <v>0</v>
      </c>
      <c r="AU40" s="11">
        <f t="shared" si="19"/>
        <v>0</v>
      </c>
      <c r="AV40" s="11">
        <f t="shared" si="19"/>
        <v>0</v>
      </c>
      <c r="AW40" s="11">
        <f t="shared" si="19"/>
        <v>0</v>
      </c>
      <c r="AX40" s="11">
        <f t="shared" si="19"/>
        <v>0</v>
      </c>
      <c r="AY40" s="11">
        <f t="shared" si="19"/>
        <v>0</v>
      </c>
      <c r="AZ40" s="11">
        <f t="shared" si="19"/>
        <v>0</v>
      </c>
      <c r="BA40" s="11">
        <f t="shared" si="19"/>
        <v>0</v>
      </c>
      <c r="BB40" s="11">
        <f t="shared" si="19"/>
        <v>0</v>
      </c>
      <c r="BC40" s="11">
        <f t="shared" si="19"/>
        <v>0</v>
      </c>
      <c r="BD40" s="11">
        <f t="shared" si="19"/>
        <v>0</v>
      </c>
      <c r="BE40" s="11">
        <f t="shared" si="19"/>
        <v>0</v>
      </c>
      <c r="BF40" s="11">
        <f t="shared" si="19"/>
        <v>0</v>
      </c>
      <c r="BG40" s="11">
        <f t="shared" si="19"/>
        <v>0</v>
      </c>
      <c r="BH40" s="11">
        <f t="shared" si="19"/>
        <v>0</v>
      </c>
      <c r="BI40" s="11">
        <f t="shared" si="19"/>
        <v>0</v>
      </c>
      <c r="BJ40" s="11">
        <f t="shared" si="19"/>
        <v>0</v>
      </c>
      <c r="BK40" s="11">
        <f t="shared" si="19"/>
        <v>0</v>
      </c>
      <c r="BL40" s="11">
        <f t="shared" si="19"/>
        <v>0</v>
      </c>
      <c r="BM40" s="11">
        <f t="shared" si="19"/>
        <v>0</v>
      </c>
      <c r="BN40" s="11">
        <f t="shared" si="19"/>
        <v>0</v>
      </c>
      <c r="BO40" s="11">
        <f t="shared" si="19"/>
        <v>0</v>
      </c>
      <c r="BP40" s="11">
        <f t="shared" ref="BP40:CZ40" si="20">SUMPRODUCT($B38:$B39,BP38:BP39)</f>
        <v>0</v>
      </c>
      <c r="BQ40" s="11">
        <f t="shared" si="20"/>
        <v>0</v>
      </c>
      <c r="BR40" s="11">
        <f t="shared" si="20"/>
        <v>0</v>
      </c>
      <c r="BS40" s="11">
        <f t="shared" si="20"/>
        <v>0</v>
      </c>
      <c r="BT40" s="11">
        <f t="shared" si="20"/>
        <v>0</v>
      </c>
      <c r="BU40" s="11">
        <f t="shared" si="20"/>
        <v>0</v>
      </c>
      <c r="BV40" s="11">
        <f t="shared" si="20"/>
        <v>0</v>
      </c>
      <c r="BW40" s="11">
        <f t="shared" si="20"/>
        <v>0</v>
      </c>
      <c r="BX40" s="11">
        <f t="shared" si="20"/>
        <v>0</v>
      </c>
      <c r="BY40" s="11">
        <f t="shared" si="20"/>
        <v>0</v>
      </c>
      <c r="BZ40" s="11">
        <f t="shared" si="20"/>
        <v>0</v>
      </c>
      <c r="CA40" s="11">
        <f t="shared" si="20"/>
        <v>0</v>
      </c>
      <c r="CB40" s="11">
        <f t="shared" si="20"/>
        <v>0</v>
      </c>
      <c r="CC40" s="11">
        <f t="shared" si="20"/>
        <v>0</v>
      </c>
      <c r="CD40" s="11">
        <f t="shared" si="20"/>
        <v>0</v>
      </c>
      <c r="CE40" s="11">
        <f t="shared" si="20"/>
        <v>0</v>
      </c>
      <c r="CF40" s="11">
        <f t="shared" si="20"/>
        <v>0</v>
      </c>
      <c r="CG40" s="11">
        <f t="shared" si="20"/>
        <v>0</v>
      </c>
      <c r="CH40" s="11">
        <f t="shared" si="20"/>
        <v>0</v>
      </c>
      <c r="CI40" s="11">
        <f t="shared" si="20"/>
        <v>0</v>
      </c>
      <c r="CJ40" s="11">
        <f t="shared" si="20"/>
        <v>0</v>
      </c>
      <c r="CK40" s="11">
        <f t="shared" si="20"/>
        <v>0</v>
      </c>
      <c r="CL40" s="11">
        <f t="shared" si="20"/>
        <v>0</v>
      </c>
      <c r="CM40" s="11">
        <f t="shared" si="20"/>
        <v>0</v>
      </c>
      <c r="CN40" s="11">
        <f t="shared" si="20"/>
        <v>0</v>
      </c>
      <c r="CO40" s="11">
        <f t="shared" si="20"/>
        <v>0</v>
      </c>
      <c r="CP40" s="11">
        <f t="shared" si="20"/>
        <v>0</v>
      </c>
      <c r="CQ40" s="11">
        <f t="shared" si="20"/>
        <v>0</v>
      </c>
      <c r="CR40" s="11">
        <f t="shared" si="20"/>
        <v>0</v>
      </c>
      <c r="CS40" s="11">
        <f t="shared" si="20"/>
        <v>0</v>
      </c>
      <c r="CT40" s="11">
        <f t="shared" si="20"/>
        <v>0</v>
      </c>
      <c r="CU40" s="11">
        <f t="shared" si="20"/>
        <v>0</v>
      </c>
      <c r="CV40" s="11">
        <f t="shared" si="20"/>
        <v>0</v>
      </c>
      <c r="CW40" s="11">
        <f t="shared" si="20"/>
        <v>0</v>
      </c>
      <c r="CX40" s="11">
        <f t="shared" si="20"/>
        <v>0</v>
      </c>
      <c r="CY40" s="11">
        <f t="shared" si="20"/>
        <v>0</v>
      </c>
      <c r="CZ40" s="11">
        <f t="shared" si="20"/>
        <v>0</v>
      </c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</row>
    <row r="41" spans="1:122" ht="18" customHeight="1">
      <c r="A41" s="13" t="s">
        <v>29</v>
      </c>
      <c r="B41" s="14">
        <f>IFERROR(VLOOKUP(A41,PRICELIST!$A$3:$D$138,4,0),"-")</f>
        <v>78.790000000000006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9">
        <f t="shared" ref="CY41:CZ46" si="21">C41+E41+G41+I41+K41+M41+O41+Q41+S41+U41+W41+Y41+AA41+AC41+AE41+AG41+AI41+AK41+AM41+AO41+AQ41+AS41+AU41+AW41+AY41+BA41+BC41+BE41+BG41+BI41+BK41+BM41+BO41+BQ41+BS41+BU41+BW41+BY41+CA41+CC41+CE41+CG41+CI41+CK41+CM41+CO41+CQ41+CS41+CU41+CW41</f>
        <v>0</v>
      </c>
      <c r="CZ41" s="19">
        <f t="shared" si="21"/>
        <v>0</v>
      </c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</row>
    <row r="42" spans="1:122" ht="18" customHeight="1">
      <c r="A42" s="13" t="s">
        <v>30</v>
      </c>
      <c r="B42" s="14">
        <f>IFERROR(VLOOKUP(A42,PRICELIST!$A$3:$D$138,4,0),"-")</f>
        <v>142.29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9">
        <f t="shared" si="21"/>
        <v>0</v>
      </c>
      <c r="CZ42" s="19">
        <f t="shared" si="21"/>
        <v>0</v>
      </c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</row>
    <row r="43" spans="1:122" ht="18" customHeight="1">
      <c r="A43" s="13" t="s">
        <v>31</v>
      </c>
      <c r="B43" s="14">
        <f>IFERROR(VLOOKUP(A43,PRICELIST!$A$3:$D$138,4,0),"-")</f>
        <v>35.36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9">
        <f t="shared" si="21"/>
        <v>0</v>
      </c>
      <c r="CZ43" s="19">
        <f t="shared" si="21"/>
        <v>0</v>
      </c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</row>
    <row r="44" spans="1:122" ht="18" customHeight="1">
      <c r="A44" s="13" t="s">
        <v>32</v>
      </c>
      <c r="B44" s="14">
        <f>IFERROR(VLOOKUP(A44,PRICELIST!$A$3:$D$138,4,0),"-")</f>
        <v>175.18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9">
        <f t="shared" si="21"/>
        <v>0</v>
      </c>
      <c r="CZ44" s="19">
        <f t="shared" si="21"/>
        <v>0</v>
      </c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</row>
    <row r="45" spans="1:122" ht="18" customHeight="1">
      <c r="A45" s="13" t="s">
        <v>33</v>
      </c>
      <c r="B45" s="14">
        <f>IFERROR(VLOOKUP(A45,PRICELIST!$A$3:$D$138,4,0),"-")</f>
        <v>42.72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9">
        <f t="shared" si="21"/>
        <v>0</v>
      </c>
      <c r="CZ45" s="19">
        <f t="shared" si="21"/>
        <v>0</v>
      </c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</row>
    <row r="46" spans="1:122" ht="18" customHeight="1">
      <c r="A46" s="13" t="s">
        <v>34</v>
      </c>
      <c r="B46" s="14">
        <f>IFERROR(VLOOKUP(A46,PRICELIST!$A$3:$D$138,4,0),"-")</f>
        <v>84.28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9">
        <f t="shared" si="21"/>
        <v>0</v>
      </c>
      <c r="CZ46" s="19">
        <f t="shared" si="21"/>
        <v>0</v>
      </c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</row>
    <row r="47" spans="1:122" ht="18" customHeight="1">
      <c r="A47" s="9" t="s">
        <v>35</v>
      </c>
      <c r="B47" s="10"/>
      <c r="C47" s="11">
        <f>SUMPRODUCT($B41:$B46,C41:C46)</f>
        <v>0</v>
      </c>
      <c r="D47" s="11">
        <f t="shared" ref="D47:BO47" si="22">SUMPRODUCT($B41:$B46,D41:D46)</f>
        <v>0</v>
      </c>
      <c r="E47" s="11">
        <f t="shared" si="22"/>
        <v>0</v>
      </c>
      <c r="F47" s="11">
        <f t="shared" si="22"/>
        <v>0</v>
      </c>
      <c r="G47" s="11">
        <f t="shared" si="22"/>
        <v>0</v>
      </c>
      <c r="H47" s="11">
        <f t="shared" si="22"/>
        <v>0</v>
      </c>
      <c r="I47" s="11">
        <f t="shared" si="22"/>
        <v>0</v>
      </c>
      <c r="J47" s="11">
        <f t="shared" si="22"/>
        <v>0</v>
      </c>
      <c r="K47" s="11">
        <f t="shared" si="22"/>
        <v>0</v>
      </c>
      <c r="L47" s="11">
        <f t="shared" si="22"/>
        <v>0</v>
      </c>
      <c r="M47" s="11">
        <f t="shared" si="22"/>
        <v>0</v>
      </c>
      <c r="N47" s="11">
        <f t="shared" si="22"/>
        <v>0</v>
      </c>
      <c r="O47" s="11">
        <f t="shared" si="22"/>
        <v>0</v>
      </c>
      <c r="P47" s="11">
        <f t="shared" si="22"/>
        <v>0</v>
      </c>
      <c r="Q47" s="11">
        <f t="shared" si="22"/>
        <v>0</v>
      </c>
      <c r="R47" s="11">
        <f t="shared" si="22"/>
        <v>0</v>
      </c>
      <c r="S47" s="11">
        <f t="shared" si="22"/>
        <v>0</v>
      </c>
      <c r="T47" s="11">
        <f t="shared" si="22"/>
        <v>0</v>
      </c>
      <c r="U47" s="11">
        <f t="shared" si="22"/>
        <v>0</v>
      </c>
      <c r="V47" s="11">
        <f t="shared" si="22"/>
        <v>0</v>
      </c>
      <c r="W47" s="11">
        <f t="shared" si="22"/>
        <v>0</v>
      </c>
      <c r="X47" s="11">
        <f t="shared" si="22"/>
        <v>0</v>
      </c>
      <c r="Y47" s="11">
        <f t="shared" si="22"/>
        <v>0</v>
      </c>
      <c r="Z47" s="11">
        <f t="shared" si="22"/>
        <v>0</v>
      </c>
      <c r="AA47" s="11">
        <f t="shared" si="22"/>
        <v>0</v>
      </c>
      <c r="AB47" s="11">
        <f t="shared" si="22"/>
        <v>0</v>
      </c>
      <c r="AC47" s="11">
        <f t="shared" si="22"/>
        <v>0</v>
      </c>
      <c r="AD47" s="11">
        <f t="shared" si="22"/>
        <v>0</v>
      </c>
      <c r="AE47" s="11">
        <f t="shared" si="22"/>
        <v>0</v>
      </c>
      <c r="AF47" s="11">
        <f t="shared" si="22"/>
        <v>0</v>
      </c>
      <c r="AG47" s="11">
        <f t="shared" si="22"/>
        <v>0</v>
      </c>
      <c r="AH47" s="11">
        <f t="shared" si="22"/>
        <v>0</v>
      </c>
      <c r="AI47" s="11">
        <f t="shared" si="22"/>
        <v>0</v>
      </c>
      <c r="AJ47" s="11">
        <f t="shared" si="22"/>
        <v>0</v>
      </c>
      <c r="AK47" s="11">
        <f t="shared" si="22"/>
        <v>0</v>
      </c>
      <c r="AL47" s="11">
        <f t="shared" si="22"/>
        <v>0</v>
      </c>
      <c r="AM47" s="11">
        <f t="shared" si="22"/>
        <v>0</v>
      </c>
      <c r="AN47" s="11">
        <f t="shared" si="22"/>
        <v>0</v>
      </c>
      <c r="AO47" s="11">
        <f t="shared" si="22"/>
        <v>0</v>
      </c>
      <c r="AP47" s="11">
        <f t="shared" si="22"/>
        <v>0</v>
      </c>
      <c r="AQ47" s="11">
        <f t="shared" si="22"/>
        <v>0</v>
      </c>
      <c r="AR47" s="11">
        <f t="shared" si="22"/>
        <v>0</v>
      </c>
      <c r="AS47" s="11">
        <f t="shared" si="22"/>
        <v>0</v>
      </c>
      <c r="AT47" s="11">
        <f t="shared" si="22"/>
        <v>0</v>
      </c>
      <c r="AU47" s="11">
        <f t="shared" si="22"/>
        <v>0</v>
      </c>
      <c r="AV47" s="11">
        <f t="shared" si="22"/>
        <v>0</v>
      </c>
      <c r="AW47" s="11">
        <f t="shared" si="22"/>
        <v>0</v>
      </c>
      <c r="AX47" s="11">
        <f t="shared" si="22"/>
        <v>0</v>
      </c>
      <c r="AY47" s="11">
        <f t="shared" si="22"/>
        <v>0</v>
      </c>
      <c r="AZ47" s="11">
        <f t="shared" si="22"/>
        <v>0</v>
      </c>
      <c r="BA47" s="11">
        <f t="shared" si="22"/>
        <v>0</v>
      </c>
      <c r="BB47" s="11">
        <f t="shared" si="22"/>
        <v>0</v>
      </c>
      <c r="BC47" s="11">
        <f t="shared" si="22"/>
        <v>0</v>
      </c>
      <c r="BD47" s="11">
        <f t="shared" si="22"/>
        <v>0</v>
      </c>
      <c r="BE47" s="11">
        <f t="shared" si="22"/>
        <v>0</v>
      </c>
      <c r="BF47" s="11">
        <f t="shared" si="22"/>
        <v>0</v>
      </c>
      <c r="BG47" s="11">
        <f t="shared" si="22"/>
        <v>0</v>
      </c>
      <c r="BH47" s="11">
        <f t="shared" si="22"/>
        <v>0</v>
      </c>
      <c r="BI47" s="11">
        <f t="shared" si="22"/>
        <v>0</v>
      </c>
      <c r="BJ47" s="11">
        <f t="shared" si="22"/>
        <v>0</v>
      </c>
      <c r="BK47" s="11">
        <f t="shared" si="22"/>
        <v>0</v>
      </c>
      <c r="BL47" s="11">
        <f t="shared" si="22"/>
        <v>0</v>
      </c>
      <c r="BM47" s="11">
        <f t="shared" si="22"/>
        <v>0</v>
      </c>
      <c r="BN47" s="11">
        <f t="shared" si="22"/>
        <v>0</v>
      </c>
      <c r="BO47" s="11">
        <f t="shared" si="22"/>
        <v>0</v>
      </c>
      <c r="BP47" s="11">
        <f t="shared" ref="BP47:CZ47" si="23">SUMPRODUCT($B41:$B46,BP41:BP46)</f>
        <v>0</v>
      </c>
      <c r="BQ47" s="11">
        <f t="shared" si="23"/>
        <v>0</v>
      </c>
      <c r="BR47" s="11">
        <f t="shared" si="23"/>
        <v>0</v>
      </c>
      <c r="BS47" s="11">
        <f t="shared" si="23"/>
        <v>0</v>
      </c>
      <c r="BT47" s="11">
        <f t="shared" si="23"/>
        <v>0</v>
      </c>
      <c r="BU47" s="11">
        <f t="shared" si="23"/>
        <v>0</v>
      </c>
      <c r="BV47" s="11">
        <f t="shared" si="23"/>
        <v>0</v>
      </c>
      <c r="BW47" s="11">
        <f t="shared" si="23"/>
        <v>0</v>
      </c>
      <c r="BX47" s="11">
        <f t="shared" si="23"/>
        <v>0</v>
      </c>
      <c r="BY47" s="11">
        <f t="shared" si="23"/>
        <v>0</v>
      </c>
      <c r="BZ47" s="11">
        <f t="shared" si="23"/>
        <v>0</v>
      </c>
      <c r="CA47" s="11">
        <f t="shared" si="23"/>
        <v>0</v>
      </c>
      <c r="CB47" s="11">
        <f t="shared" si="23"/>
        <v>0</v>
      </c>
      <c r="CC47" s="11">
        <f t="shared" si="23"/>
        <v>0</v>
      </c>
      <c r="CD47" s="11">
        <f t="shared" si="23"/>
        <v>0</v>
      </c>
      <c r="CE47" s="11">
        <f t="shared" si="23"/>
        <v>0</v>
      </c>
      <c r="CF47" s="11">
        <f t="shared" si="23"/>
        <v>0</v>
      </c>
      <c r="CG47" s="11">
        <f t="shared" si="23"/>
        <v>0</v>
      </c>
      <c r="CH47" s="11">
        <f t="shared" si="23"/>
        <v>0</v>
      </c>
      <c r="CI47" s="11">
        <f t="shared" si="23"/>
        <v>0</v>
      </c>
      <c r="CJ47" s="11">
        <f t="shared" si="23"/>
        <v>0</v>
      </c>
      <c r="CK47" s="11">
        <f t="shared" si="23"/>
        <v>0</v>
      </c>
      <c r="CL47" s="11">
        <f t="shared" si="23"/>
        <v>0</v>
      </c>
      <c r="CM47" s="11">
        <f t="shared" si="23"/>
        <v>0</v>
      </c>
      <c r="CN47" s="11">
        <f t="shared" si="23"/>
        <v>0</v>
      </c>
      <c r="CO47" s="11">
        <f t="shared" si="23"/>
        <v>0</v>
      </c>
      <c r="CP47" s="11">
        <f t="shared" si="23"/>
        <v>0</v>
      </c>
      <c r="CQ47" s="11">
        <f t="shared" si="23"/>
        <v>0</v>
      </c>
      <c r="CR47" s="11">
        <f t="shared" si="23"/>
        <v>0</v>
      </c>
      <c r="CS47" s="11">
        <f t="shared" si="23"/>
        <v>0</v>
      </c>
      <c r="CT47" s="11">
        <f t="shared" si="23"/>
        <v>0</v>
      </c>
      <c r="CU47" s="11">
        <f t="shared" si="23"/>
        <v>0</v>
      </c>
      <c r="CV47" s="11">
        <f t="shared" si="23"/>
        <v>0</v>
      </c>
      <c r="CW47" s="11">
        <f t="shared" si="23"/>
        <v>0</v>
      </c>
      <c r="CX47" s="11">
        <f t="shared" si="23"/>
        <v>0</v>
      </c>
      <c r="CY47" s="11">
        <f t="shared" si="23"/>
        <v>0</v>
      </c>
      <c r="CZ47" s="11">
        <f t="shared" si="23"/>
        <v>0</v>
      </c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</row>
    <row r="48" spans="1:122" ht="18" customHeight="1">
      <c r="A48" s="4" t="s">
        <v>81</v>
      </c>
      <c r="B48" s="14">
        <f>IFERROR(VLOOKUP(A48,PRICELIST!$A$3:$D$138,4,0),"-")</f>
        <v>201.26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9">
        <f t="shared" ref="CY48:CZ48" si="24">C48+E48+G48+I48+K48+M48+O48+Q48+S48+U48+W48+Y48+AA48+AC48+AE48+AG48+AI48+AK48+AM48+AO48+AQ48+AS48+AU48+AW48+AY48+BA48+BC48+BE48+BG48+BI48+BK48+BM48+BO48+BQ48+BS48+BU48+BW48+BY48+CA48+CC48+CE48+CG48+CI48+CK48+CM48+CO48+CQ48+CS48+CU48+CW48</f>
        <v>0</v>
      </c>
      <c r="CZ48" s="19">
        <f t="shared" si="24"/>
        <v>0</v>
      </c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</row>
    <row r="49" spans="1:122" ht="18" customHeight="1">
      <c r="A49" s="9" t="s">
        <v>77</v>
      </c>
      <c r="B49" s="15"/>
      <c r="C49" s="11">
        <f>SUMPRODUCT($B48*C48)</f>
        <v>0</v>
      </c>
      <c r="D49" s="11">
        <f t="shared" ref="D49:BO49" si="25">SUMPRODUCT($B48*D48)</f>
        <v>0</v>
      </c>
      <c r="E49" s="11">
        <f t="shared" si="25"/>
        <v>0</v>
      </c>
      <c r="F49" s="11">
        <f t="shared" si="25"/>
        <v>0</v>
      </c>
      <c r="G49" s="11">
        <f t="shared" si="25"/>
        <v>0</v>
      </c>
      <c r="H49" s="11">
        <f t="shared" si="25"/>
        <v>0</v>
      </c>
      <c r="I49" s="11">
        <f t="shared" si="25"/>
        <v>0</v>
      </c>
      <c r="J49" s="11">
        <f t="shared" si="25"/>
        <v>0</v>
      </c>
      <c r="K49" s="11">
        <f t="shared" si="25"/>
        <v>0</v>
      </c>
      <c r="L49" s="11">
        <f t="shared" si="25"/>
        <v>0</v>
      </c>
      <c r="M49" s="11">
        <f t="shared" si="25"/>
        <v>0</v>
      </c>
      <c r="N49" s="11">
        <f t="shared" si="25"/>
        <v>0</v>
      </c>
      <c r="O49" s="11">
        <f t="shared" si="25"/>
        <v>0</v>
      </c>
      <c r="P49" s="11">
        <f t="shared" si="25"/>
        <v>0</v>
      </c>
      <c r="Q49" s="11">
        <f t="shared" si="25"/>
        <v>0</v>
      </c>
      <c r="R49" s="11">
        <f t="shared" si="25"/>
        <v>0</v>
      </c>
      <c r="S49" s="11">
        <f t="shared" si="25"/>
        <v>0</v>
      </c>
      <c r="T49" s="11">
        <f t="shared" si="25"/>
        <v>0</v>
      </c>
      <c r="U49" s="11">
        <f t="shared" si="25"/>
        <v>0</v>
      </c>
      <c r="V49" s="11">
        <f t="shared" si="25"/>
        <v>0</v>
      </c>
      <c r="W49" s="11">
        <f t="shared" si="25"/>
        <v>0</v>
      </c>
      <c r="X49" s="11">
        <f t="shared" si="25"/>
        <v>0</v>
      </c>
      <c r="Y49" s="11">
        <f t="shared" si="25"/>
        <v>0</v>
      </c>
      <c r="Z49" s="11">
        <f t="shared" si="25"/>
        <v>0</v>
      </c>
      <c r="AA49" s="11">
        <f t="shared" si="25"/>
        <v>0</v>
      </c>
      <c r="AB49" s="11">
        <f t="shared" si="25"/>
        <v>0</v>
      </c>
      <c r="AC49" s="11">
        <f t="shared" si="25"/>
        <v>0</v>
      </c>
      <c r="AD49" s="11">
        <f t="shared" si="25"/>
        <v>0</v>
      </c>
      <c r="AE49" s="11">
        <f t="shared" si="25"/>
        <v>0</v>
      </c>
      <c r="AF49" s="11">
        <f t="shared" si="25"/>
        <v>0</v>
      </c>
      <c r="AG49" s="11">
        <f t="shared" si="25"/>
        <v>0</v>
      </c>
      <c r="AH49" s="11">
        <f t="shared" si="25"/>
        <v>0</v>
      </c>
      <c r="AI49" s="11">
        <f t="shared" si="25"/>
        <v>0</v>
      </c>
      <c r="AJ49" s="11">
        <f t="shared" si="25"/>
        <v>0</v>
      </c>
      <c r="AK49" s="11">
        <f t="shared" si="25"/>
        <v>0</v>
      </c>
      <c r="AL49" s="11">
        <f t="shared" si="25"/>
        <v>0</v>
      </c>
      <c r="AM49" s="11">
        <f t="shared" si="25"/>
        <v>0</v>
      </c>
      <c r="AN49" s="11">
        <f t="shared" si="25"/>
        <v>0</v>
      </c>
      <c r="AO49" s="11">
        <f t="shared" si="25"/>
        <v>0</v>
      </c>
      <c r="AP49" s="11">
        <f t="shared" si="25"/>
        <v>0</v>
      </c>
      <c r="AQ49" s="11">
        <f t="shared" si="25"/>
        <v>0</v>
      </c>
      <c r="AR49" s="11">
        <f t="shared" si="25"/>
        <v>0</v>
      </c>
      <c r="AS49" s="11">
        <f t="shared" si="25"/>
        <v>0</v>
      </c>
      <c r="AT49" s="11">
        <f t="shared" si="25"/>
        <v>0</v>
      </c>
      <c r="AU49" s="11">
        <f t="shared" si="25"/>
        <v>0</v>
      </c>
      <c r="AV49" s="11">
        <f t="shared" si="25"/>
        <v>0</v>
      </c>
      <c r="AW49" s="11">
        <f t="shared" si="25"/>
        <v>0</v>
      </c>
      <c r="AX49" s="11">
        <f t="shared" si="25"/>
        <v>0</v>
      </c>
      <c r="AY49" s="11">
        <f t="shared" si="25"/>
        <v>0</v>
      </c>
      <c r="AZ49" s="11">
        <f t="shared" si="25"/>
        <v>0</v>
      </c>
      <c r="BA49" s="11">
        <f t="shared" si="25"/>
        <v>0</v>
      </c>
      <c r="BB49" s="11">
        <f t="shared" si="25"/>
        <v>0</v>
      </c>
      <c r="BC49" s="11">
        <f t="shared" si="25"/>
        <v>0</v>
      </c>
      <c r="BD49" s="11">
        <f t="shared" si="25"/>
        <v>0</v>
      </c>
      <c r="BE49" s="11">
        <f t="shared" si="25"/>
        <v>0</v>
      </c>
      <c r="BF49" s="11">
        <f t="shared" si="25"/>
        <v>0</v>
      </c>
      <c r="BG49" s="11">
        <f t="shared" si="25"/>
        <v>0</v>
      </c>
      <c r="BH49" s="11">
        <f t="shared" si="25"/>
        <v>0</v>
      </c>
      <c r="BI49" s="11">
        <f t="shared" si="25"/>
        <v>0</v>
      </c>
      <c r="BJ49" s="11">
        <f t="shared" si="25"/>
        <v>0</v>
      </c>
      <c r="BK49" s="11">
        <f t="shared" si="25"/>
        <v>0</v>
      </c>
      <c r="BL49" s="11">
        <f t="shared" si="25"/>
        <v>0</v>
      </c>
      <c r="BM49" s="11">
        <f t="shared" si="25"/>
        <v>0</v>
      </c>
      <c r="BN49" s="11">
        <f t="shared" si="25"/>
        <v>0</v>
      </c>
      <c r="BO49" s="11">
        <f t="shared" si="25"/>
        <v>0</v>
      </c>
      <c r="BP49" s="11">
        <f t="shared" ref="BP49:CZ49" si="26">SUMPRODUCT($B48*BP48)</f>
        <v>0</v>
      </c>
      <c r="BQ49" s="11">
        <f t="shared" si="26"/>
        <v>0</v>
      </c>
      <c r="BR49" s="11">
        <f t="shared" si="26"/>
        <v>0</v>
      </c>
      <c r="BS49" s="11">
        <f t="shared" si="26"/>
        <v>0</v>
      </c>
      <c r="BT49" s="11">
        <f t="shared" si="26"/>
        <v>0</v>
      </c>
      <c r="BU49" s="11">
        <f t="shared" si="26"/>
        <v>0</v>
      </c>
      <c r="BV49" s="11">
        <f t="shared" si="26"/>
        <v>0</v>
      </c>
      <c r="BW49" s="11">
        <f t="shared" si="26"/>
        <v>0</v>
      </c>
      <c r="BX49" s="11">
        <f t="shared" si="26"/>
        <v>0</v>
      </c>
      <c r="BY49" s="11">
        <f t="shared" si="26"/>
        <v>0</v>
      </c>
      <c r="BZ49" s="11">
        <f t="shared" si="26"/>
        <v>0</v>
      </c>
      <c r="CA49" s="11">
        <f t="shared" si="26"/>
        <v>0</v>
      </c>
      <c r="CB49" s="11">
        <f t="shared" si="26"/>
        <v>0</v>
      </c>
      <c r="CC49" s="11">
        <f t="shared" si="26"/>
        <v>0</v>
      </c>
      <c r="CD49" s="11">
        <f t="shared" si="26"/>
        <v>0</v>
      </c>
      <c r="CE49" s="11">
        <f t="shared" si="26"/>
        <v>0</v>
      </c>
      <c r="CF49" s="11">
        <f t="shared" si="26"/>
        <v>0</v>
      </c>
      <c r="CG49" s="11">
        <f t="shared" si="26"/>
        <v>0</v>
      </c>
      <c r="CH49" s="11">
        <f t="shared" si="26"/>
        <v>0</v>
      </c>
      <c r="CI49" s="11">
        <f t="shared" si="26"/>
        <v>0</v>
      </c>
      <c r="CJ49" s="11">
        <f t="shared" si="26"/>
        <v>0</v>
      </c>
      <c r="CK49" s="11">
        <f t="shared" si="26"/>
        <v>0</v>
      </c>
      <c r="CL49" s="11">
        <f t="shared" si="26"/>
        <v>0</v>
      </c>
      <c r="CM49" s="11">
        <f t="shared" si="26"/>
        <v>0</v>
      </c>
      <c r="CN49" s="11">
        <f t="shared" si="26"/>
        <v>0</v>
      </c>
      <c r="CO49" s="11">
        <f t="shared" si="26"/>
        <v>0</v>
      </c>
      <c r="CP49" s="11">
        <f t="shared" si="26"/>
        <v>0</v>
      </c>
      <c r="CQ49" s="11">
        <f t="shared" si="26"/>
        <v>0</v>
      </c>
      <c r="CR49" s="11">
        <f t="shared" si="26"/>
        <v>0</v>
      </c>
      <c r="CS49" s="11">
        <f t="shared" si="26"/>
        <v>0</v>
      </c>
      <c r="CT49" s="11">
        <f t="shared" si="26"/>
        <v>0</v>
      </c>
      <c r="CU49" s="11">
        <f t="shared" si="26"/>
        <v>0</v>
      </c>
      <c r="CV49" s="11">
        <f t="shared" si="26"/>
        <v>0</v>
      </c>
      <c r="CW49" s="11">
        <f t="shared" si="26"/>
        <v>0</v>
      </c>
      <c r="CX49" s="11">
        <f t="shared" si="26"/>
        <v>0</v>
      </c>
      <c r="CY49" s="11">
        <f t="shared" si="26"/>
        <v>0</v>
      </c>
      <c r="CZ49" s="11">
        <f t="shared" si="26"/>
        <v>0</v>
      </c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</row>
    <row r="50" spans="1:122" ht="18" customHeight="1">
      <c r="A50" s="4" t="s">
        <v>82</v>
      </c>
      <c r="B50" s="14">
        <f>IFERROR(VLOOKUP(A50,PRICELIST!$A$3:$D$138,4,0),"-")</f>
        <v>170.19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9">
        <f t="shared" ref="CY50:CZ52" si="27">C50+E50+G50+I50+K50+M50+O50+Q50+S50+U50+W50+Y50+AA50+AC50+AE50+AG50+AI50+AK50+AM50+AO50+AQ50+AS50+AU50+AW50+AY50+BA50+BC50+BE50+BG50+BI50+BK50+BM50+BO50+BQ50+BS50+BU50+BW50+BY50+CA50+CC50+CE50+CG50+CI50+CK50+CM50+CO50+CQ50+CS50+CU50+CW50</f>
        <v>0</v>
      </c>
      <c r="CZ50" s="19">
        <f t="shared" si="27"/>
        <v>0</v>
      </c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</row>
    <row r="51" spans="1:122" ht="18" customHeight="1">
      <c r="A51" s="4" t="s">
        <v>83</v>
      </c>
      <c r="B51" s="14">
        <f>IFERROR(VLOOKUP(A51,PRICELIST!$A$3:$D$138,4,0),"-")</f>
        <v>209.89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9">
        <f t="shared" si="27"/>
        <v>0</v>
      </c>
      <c r="CZ51" s="19">
        <f t="shared" si="27"/>
        <v>0</v>
      </c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</row>
    <row r="52" spans="1:122" ht="18" customHeight="1">
      <c r="A52" s="4" t="s">
        <v>84</v>
      </c>
      <c r="B52" s="14">
        <f>IFERROR(VLOOKUP(A52,PRICELIST!$A$3:$D$138,4,0),"-")</f>
        <v>302.79000000000002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9">
        <f t="shared" si="27"/>
        <v>0</v>
      </c>
      <c r="CZ52" s="19">
        <f t="shared" si="27"/>
        <v>0</v>
      </c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</row>
    <row r="53" spans="1:122" ht="18" customHeight="1">
      <c r="A53" s="9" t="s">
        <v>89</v>
      </c>
      <c r="B53" s="15"/>
      <c r="C53" s="11">
        <f>SUMPRODUCT($B50:$B52,C50:C52)</f>
        <v>0</v>
      </c>
      <c r="D53" s="11">
        <f t="shared" ref="D53:BO53" si="28">SUMPRODUCT($B50:$B52,D50:D52)</f>
        <v>0</v>
      </c>
      <c r="E53" s="11">
        <f t="shared" si="28"/>
        <v>0</v>
      </c>
      <c r="F53" s="11">
        <f t="shared" si="28"/>
        <v>0</v>
      </c>
      <c r="G53" s="11">
        <f t="shared" si="28"/>
        <v>0</v>
      </c>
      <c r="H53" s="11">
        <f t="shared" si="28"/>
        <v>0</v>
      </c>
      <c r="I53" s="11">
        <f t="shared" si="28"/>
        <v>0</v>
      </c>
      <c r="J53" s="11">
        <f t="shared" si="28"/>
        <v>0</v>
      </c>
      <c r="K53" s="11">
        <f t="shared" si="28"/>
        <v>0</v>
      </c>
      <c r="L53" s="11">
        <f t="shared" si="28"/>
        <v>0</v>
      </c>
      <c r="M53" s="11">
        <f t="shared" si="28"/>
        <v>0</v>
      </c>
      <c r="N53" s="11">
        <f t="shared" si="28"/>
        <v>0</v>
      </c>
      <c r="O53" s="11">
        <f t="shared" si="28"/>
        <v>0</v>
      </c>
      <c r="P53" s="11">
        <f t="shared" si="28"/>
        <v>0</v>
      </c>
      <c r="Q53" s="11">
        <f t="shared" si="28"/>
        <v>0</v>
      </c>
      <c r="R53" s="11">
        <f t="shared" si="28"/>
        <v>0</v>
      </c>
      <c r="S53" s="11">
        <f t="shared" si="28"/>
        <v>0</v>
      </c>
      <c r="T53" s="11">
        <f t="shared" si="28"/>
        <v>0</v>
      </c>
      <c r="U53" s="11">
        <f t="shared" si="28"/>
        <v>0</v>
      </c>
      <c r="V53" s="11">
        <f t="shared" si="28"/>
        <v>0</v>
      </c>
      <c r="W53" s="11">
        <f t="shared" si="28"/>
        <v>0</v>
      </c>
      <c r="X53" s="11">
        <f t="shared" si="28"/>
        <v>0</v>
      </c>
      <c r="Y53" s="11">
        <f t="shared" si="28"/>
        <v>0</v>
      </c>
      <c r="Z53" s="11">
        <f t="shared" si="28"/>
        <v>0</v>
      </c>
      <c r="AA53" s="11">
        <f t="shared" si="28"/>
        <v>0</v>
      </c>
      <c r="AB53" s="11">
        <f t="shared" si="28"/>
        <v>0</v>
      </c>
      <c r="AC53" s="11">
        <f t="shared" si="28"/>
        <v>0</v>
      </c>
      <c r="AD53" s="11">
        <f t="shared" si="28"/>
        <v>0</v>
      </c>
      <c r="AE53" s="11">
        <f t="shared" si="28"/>
        <v>0</v>
      </c>
      <c r="AF53" s="11">
        <f t="shared" si="28"/>
        <v>0</v>
      </c>
      <c r="AG53" s="11">
        <f t="shared" si="28"/>
        <v>0</v>
      </c>
      <c r="AH53" s="11">
        <f t="shared" si="28"/>
        <v>0</v>
      </c>
      <c r="AI53" s="11">
        <f t="shared" si="28"/>
        <v>0</v>
      </c>
      <c r="AJ53" s="11">
        <f t="shared" si="28"/>
        <v>0</v>
      </c>
      <c r="AK53" s="11">
        <f t="shared" si="28"/>
        <v>0</v>
      </c>
      <c r="AL53" s="11">
        <f t="shared" si="28"/>
        <v>0</v>
      </c>
      <c r="AM53" s="11">
        <f t="shared" si="28"/>
        <v>0</v>
      </c>
      <c r="AN53" s="11">
        <f t="shared" si="28"/>
        <v>0</v>
      </c>
      <c r="AO53" s="11">
        <f t="shared" si="28"/>
        <v>0</v>
      </c>
      <c r="AP53" s="11">
        <f t="shared" si="28"/>
        <v>0</v>
      </c>
      <c r="AQ53" s="11">
        <f t="shared" si="28"/>
        <v>0</v>
      </c>
      <c r="AR53" s="11">
        <f t="shared" si="28"/>
        <v>0</v>
      </c>
      <c r="AS53" s="11">
        <f t="shared" si="28"/>
        <v>0</v>
      </c>
      <c r="AT53" s="11">
        <f t="shared" si="28"/>
        <v>0</v>
      </c>
      <c r="AU53" s="11">
        <f t="shared" si="28"/>
        <v>0</v>
      </c>
      <c r="AV53" s="11">
        <f t="shared" si="28"/>
        <v>0</v>
      </c>
      <c r="AW53" s="11">
        <f t="shared" si="28"/>
        <v>0</v>
      </c>
      <c r="AX53" s="11">
        <f t="shared" si="28"/>
        <v>0</v>
      </c>
      <c r="AY53" s="11">
        <f t="shared" si="28"/>
        <v>0</v>
      </c>
      <c r="AZ53" s="11">
        <f t="shared" si="28"/>
        <v>0</v>
      </c>
      <c r="BA53" s="11">
        <f t="shared" si="28"/>
        <v>0</v>
      </c>
      <c r="BB53" s="11">
        <f t="shared" si="28"/>
        <v>0</v>
      </c>
      <c r="BC53" s="11">
        <f t="shared" si="28"/>
        <v>0</v>
      </c>
      <c r="BD53" s="11">
        <f t="shared" si="28"/>
        <v>0</v>
      </c>
      <c r="BE53" s="11">
        <f t="shared" si="28"/>
        <v>0</v>
      </c>
      <c r="BF53" s="11">
        <f t="shared" si="28"/>
        <v>0</v>
      </c>
      <c r="BG53" s="11">
        <f t="shared" si="28"/>
        <v>0</v>
      </c>
      <c r="BH53" s="11">
        <f t="shared" si="28"/>
        <v>0</v>
      </c>
      <c r="BI53" s="11">
        <f t="shared" si="28"/>
        <v>0</v>
      </c>
      <c r="BJ53" s="11">
        <f t="shared" si="28"/>
        <v>0</v>
      </c>
      <c r="BK53" s="11">
        <f t="shared" si="28"/>
        <v>0</v>
      </c>
      <c r="BL53" s="11">
        <f t="shared" si="28"/>
        <v>0</v>
      </c>
      <c r="BM53" s="11">
        <f t="shared" si="28"/>
        <v>0</v>
      </c>
      <c r="BN53" s="11">
        <f t="shared" si="28"/>
        <v>0</v>
      </c>
      <c r="BO53" s="11">
        <f t="shared" si="28"/>
        <v>0</v>
      </c>
      <c r="BP53" s="11">
        <f t="shared" ref="BP53:CZ53" si="29">SUMPRODUCT($B50:$B52,BP50:BP52)</f>
        <v>0</v>
      </c>
      <c r="BQ53" s="11">
        <f t="shared" si="29"/>
        <v>0</v>
      </c>
      <c r="BR53" s="11">
        <f t="shared" si="29"/>
        <v>0</v>
      </c>
      <c r="BS53" s="11">
        <f t="shared" si="29"/>
        <v>0</v>
      </c>
      <c r="BT53" s="11">
        <f t="shared" si="29"/>
        <v>0</v>
      </c>
      <c r="BU53" s="11">
        <f t="shared" si="29"/>
        <v>0</v>
      </c>
      <c r="BV53" s="11">
        <f t="shared" si="29"/>
        <v>0</v>
      </c>
      <c r="BW53" s="11">
        <f t="shared" si="29"/>
        <v>0</v>
      </c>
      <c r="BX53" s="11">
        <f t="shared" si="29"/>
        <v>0</v>
      </c>
      <c r="BY53" s="11">
        <f t="shared" si="29"/>
        <v>0</v>
      </c>
      <c r="BZ53" s="11">
        <f t="shared" si="29"/>
        <v>0</v>
      </c>
      <c r="CA53" s="11">
        <f t="shared" si="29"/>
        <v>0</v>
      </c>
      <c r="CB53" s="11">
        <f t="shared" si="29"/>
        <v>0</v>
      </c>
      <c r="CC53" s="11">
        <f t="shared" si="29"/>
        <v>0</v>
      </c>
      <c r="CD53" s="11">
        <f t="shared" si="29"/>
        <v>0</v>
      </c>
      <c r="CE53" s="11">
        <f t="shared" si="29"/>
        <v>0</v>
      </c>
      <c r="CF53" s="11">
        <f t="shared" si="29"/>
        <v>0</v>
      </c>
      <c r="CG53" s="11">
        <f t="shared" si="29"/>
        <v>0</v>
      </c>
      <c r="CH53" s="11">
        <f t="shared" si="29"/>
        <v>0</v>
      </c>
      <c r="CI53" s="11">
        <f t="shared" si="29"/>
        <v>0</v>
      </c>
      <c r="CJ53" s="11">
        <f t="shared" si="29"/>
        <v>0</v>
      </c>
      <c r="CK53" s="11">
        <f t="shared" si="29"/>
        <v>0</v>
      </c>
      <c r="CL53" s="11">
        <f t="shared" si="29"/>
        <v>0</v>
      </c>
      <c r="CM53" s="11">
        <f t="shared" si="29"/>
        <v>0</v>
      </c>
      <c r="CN53" s="11">
        <f t="shared" si="29"/>
        <v>0</v>
      </c>
      <c r="CO53" s="11">
        <f t="shared" si="29"/>
        <v>0</v>
      </c>
      <c r="CP53" s="11">
        <f t="shared" si="29"/>
        <v>0</v>
      </c>
      <c r="CQ53" s="11">
        <f t="shared" si="29"/>
        <v>0</v>
      </c>
      <c r="CR53" s="11">
        <f t="shared" si="29"/>
        <v>0</v>
      </c>
      <c r="CS53" s="11">
        <f t="shared" si="29"/>
        <v>0</v>
      </c>
      <c r="CT53" s="11">
        <f t="shared" si="29"/>
        <v>0</v>
      </c>
      <c r="CU53" s="11">
        <f t="shared" si="29"/>
        <v>0</v>
      </c>
      <c r="CV53" s="11">
        <f t="shared" si="29"/>
        <v>0</v>
      </c>
      <c r="CW53" s="11">
        <f t="shared" si="29"/>
        <v>0</v>
      </c>
      <c r="CX53" s="11">
        <f t="shared" si="29"/>
        <v>0</v>
      </c>
      <c r="CY53" s="11">
        <f t="shared" si="29"/>
        <v>0</v>
      </c>
      <c r="CZ53" s="11">
        <f t="shared" si="29"/>
        <v>0</v>
      </c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</row>
    <row r="54" spans="1:122" ht="18" customHeight="1">
      <c r="A54" s="13" t="s">
        <v>36</v>
      </c>
      <c r="B54" s="14">
        <f>IFERROR(VLOOKUP(A54,PRICELIST!$A$3:$D$138,4,0),"-")</f>
        <v>508.18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9">
        <f t="shared" ref="CY54:CZ58" si="30">C54+E54+G54+I54+K54+M54+O54+Q54+S54+U54+W54+Y54+AA54+AC54+AE54+AG54+AI54+AK54+AM54+AO54+AQ54+AS54+AU54+AW54+AY54+BA54+BC54+BE54+BG54+BI54+BK54+BM54+BO54+BQ54+BS54+BU54+BW54+BY54+CA54+CC54+CE54+CG54+CI54+CK54+CM54+CO54+CQ54+CS54+CU54+CW54</f>
        <v>0</v>
      </c>
      <c r="CZ54" s="19">
        <f t="shared" si="30"/>
        <v>0</v>
      </c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</row>
    <row r="55" spans="1:122" ht="18" customHeight="1">
      <c r="A55" s="13" t="s">
        <v>37</v>
      </c>
      <c r="B55" s="14">
        <f>IFERROR(VLOOKUP(A55,PRICELIST!$A$3:$D$138,4,0),"-")</f>
        <v>115.71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9">
        <f t="shared" si="30"/>
        <v>0</v>
      </c>
      <c r="CZ55" s="19">
        <f t="shared" si="30"/>
        <v>0</v>
      </c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</row>
    <row r="56" spans="1:122" ht="18" customHeight="1">
      <c r="A56" s="13" t="s">
        <v>38</v>
      </c>
      <c r="B56" s="14">
        <f>IFERROR(VLOOKUP(A56,PRICELIST!$A$3:$D$138,4,0),"-")</f>
        <v>207.64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9">
        <f t="shared" si="30"/>
        <v>0</v>
      </c>
      <c r="CZ56" s="19">
        <f t="shared" si="30"/>
        <v>0</v>
      </c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</row>
    <row r="57" spans="1:122" ht="18" customHeight="1">
      <c r="A57" s="13" t="s">
        <v>39</v>
      </c>
      <c r="B57" s="14">
        <f>IFERROR(VLOOKUP(A57,PRICELIST!$A$3:$D$138,4,0),"-")</f>
        <v>576.96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9">
        <f t="shared" si="30"/>
        <v>0</v>
      </c>
      <c r="CZ57" s="19">
        <f t="shared" si="30"/>
        <v>0</v>
      </c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</row>
    <row r="58" spans="1:122" ht="18" customHeight="1">
      <c r="A58" s="13" t="s">
        <v>40</v>
      </c>
      <c r="B58" s="14">
        <f>IFERROR(VLOOKUP(A58,PRICELIST!$A$3:$D$138,4,0),"-")</f>
        <v>635.30999999999995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9">
        <f t="shared" si="30"/>
        <v>0</v>
      </c>
      <c r="CZ58" s="19">
        <f t="shared" si="30"/>
        <v>0</v>
      </c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</row>
    <row r="59" spans="1:122" ht="18" customHeight="1">
      <c r="A59" s="9" t="s">
        <v>41</v>
      </c>
      <c r="B59" s="10"/>
      <c r="C59" s="11">
        <f>SUMPRODUCT($B54:$B58,C54:C58)</f>
        <v>0</v>
      </c>
      <c r="D59" s="11">
        <f t="shared" ref="D59:BO59" si="31">SUMPRODUCT($B54:$B58,D54:D58)</f>
        <v>0</v>
      </c>
      <c r="E59" s="11">
        <f t="shared" si="31"/>
        <v>0</v>
      </c>
      <c r="F59" s="11">
        <f t="shared" si="31"/>
        <v>0</v>
      </c>
      <c r="G59" s="11">
        <f t="shared" si="31"/>
        <v>0</v>
      </c>
      <c r="H59" s="11">
        <f t="shared" si="31"/>
        <v>0</v>
      </c>
      <c r="I59" s="11">
        <f t="shared" si="31"/>
        <v>0</v>
      </c>
      <c r="J59" s="11">
        <f t="shared" si="31"/>
        <v>0</v>
      </c>
      <c r="K59" s="11">
        <f t="shared" si="31"/>
        <v>0</v>
      </c>
      <c r="L59" s="11">
        <f t="shared" si="31"/>
        <v>0</v>
      </c>
      <c r="M59" s="11">
        <f t="shared" si="31"/>
        <v>0</v>
      </c>
      <c r="N59" s="11">
        <f t="shared" si="31"/>
        <v>0</v>
      </c>
      <c r="O59" s="11">
        <f t="shared" si="31"/>
        <v>0</v>
      </c>
      <c r="P59" s="11">
        <f t="shared" si="31"/>
        <v>0</v>
      </c>
      <c r="Q59" s="11">
        <f t="shared" si="31"/>
        <v>0</v>
      </c>
      <c r="R59" s="11">
        <f t="shared" si="31"/>
        <v>0</v>
      </c>
      <c r="S59" s="11">
        <f t="shared" si="31"/>
        <v>0</v>
      </c>
      <c r="T59" s="11">
        <f t="shared" si="31"/>
        <v>0</v>
      </c>
      <c r="U59" s="11">
        <f t="shared" si="31"/>
        <v>0</v>
      </c>
      <c r="V59" s="11">
        <f t="shared" si="31"/>
        <v>0</v>
      </c>
      <c r="W59" s="11">
        <f t="shared" si="31"/>
        <v>0</v>
      </c>
      <c r="X59" s="11">
        <f t="shared" si="31"/>
        <v>0</v>
      </c>
      <c r="Y59" s="11">
        <f t="shared" si="31"/>
        <v>0</v>
      </c>
      <c r="Z59" s="11">
        <f t="shared" si="31"/>
        <v>0</v>
      </c>
      <c r="AA59" s="11">
        <f t="shared" si="31"/>
        <v>0</v>
      </c>
      <c r="AB59" s="11">
        <f t="shared" si="31"/>
        <v>0</v>
      </c>
      <c r="AC59" s="11">
        <f t="shared" si="31"/>
        <v>0</v>
      </c>
      <c r="AD59" s="11">
        <f t="shared" si="31"/>
        <v>0</v>
      </c>
      <c r="AE59" s="11">
        <f t="shared" si="31"/>
        <v>0</v>
      </c>
      <c r="AF59" s="11">
        <f t="shared" si="31"/>
        <v>0</v>
      </c>
      <c r="AG59" s="11">
        <f t="shared" si="31"/>
        <v>0</v>
      </c>
      <c r="AH59" s="11">
        <f t="shared" si="31"/>
        <v>0</v>
      </c>
      <c r="AI59" s="11">
        <f t="shared" si="31"/>
        <v>0</v>
      </c>
      <c r="AJ59" s="11">
        <f t="shared" si="31"/>
        <v>0</v>
      </c>
      <c r="AK59" s="11">
        <f t="shared" si="31"/>
        <v>0</v>
      </c>
      <c r="AL59" s="11">
        <f t="shared" si="31"/>
        <v>0</v>
      </c>
      <c r="AM59" s="11">
        <f t="shared" si="31"/>
        <v>0</v>
      </c>
      <c r="AN59" s="11">
        <f t="shared" si="31"/>
        <v>0</v>
      </c>
      <c r="AO59" s="11">
        <f t="shared" si="31"/>
        <v>0</v>
      </c>
      <c r="AP59" s="11">
        <f t="shared" si="31"/>
        <v>0</v>
      </c>
      <c r="AQ59" s="11">
        <f t="shared" si="31"/>
        <v>0</v>
      </c>
      <c r="AR59" s="11">
        <f t="shared" si="31"/>
        <v>0</v>
      </c>
      <c r="AS59" s="11">
        <f t="shared" si="31"/>
        <v>0</v>
      </c>
      <c r="AT59" s="11">
        <f t="shared" si="31"/>
        <v>0</v>
      </c>
      <c r="AU59" s="11">
        <f t="shared" si="31"/>
        <v>0</v>
      </c>
      <c r="AV59" s="11">
        <f t="shared" si="31"/>
        <v>0</v>
      </c>
      <c r="AW59" s="11">
        <f t="shared" si="31"/>
        <v>0</v>
      </c>
      <c r="AX59" s="11">
        <f t="shared" si="31"/>
        <v>0</v>
      </c>
      <c r="AY59" s="11">
        <f t="shared" si="31"/>
        <v>0</v>
      </c>
      <c r="AZ59" s="11">
        <f t="shared" si="31"/>
        <v>0</v>
      </c>
      <c r="BA59" s="11">
        <f t="shared" si="31"/>
        <v>0</v>
      </c>
      <c r="BB59" s="11">
        <f t="shared" si="31"/>
        <v>0</v>
      </c>
      <c r="BC59" s="11">
        <f t="shared" si="31"/>
        <v>0</v>
      </c>
      <c r="BD59" s="11">
        <f t="shared" si="31"/>
        <v>0</v>
      </c>
      <c r="BE59" s="11">
        <f t="shared" si="31"/>
        <v>0</v>
      </c>
      <c r="BF59" s="11">
        <f t="shared" si="31"/>
        <v>0</v>
      </c>
      <c r="BG59" s="11">
        <f t="shared" si="31"/>
        <v>0</v>
      </c>
      <c r="BH59" s="11">
        <f t="shared" si="31"/>
        <v>0</v>
      </c>
      <c r="BI59" s="11">
        <f t="shared" si="31"/>
        <v>0</v>
      </c>
      <c r="BJ59" s="11">
        <f t="shared" si="31"/>
        <v>0</v>
      </c>
      <c r="BK59" s="11">
        <f t="shared" si="31"/>
        <v>0</v>
      </c>
      <c r="BL59" s="11">
        <f t="shared" si="31"/>
        <v>0</v>
      </c>
      <c r="BM59" s="11">
        <f t="shared" si="31"/>
        <v>0</v>
      </c>
      <c r="BN59" s="11">
        <f t="shared" si="31"/>
        <v>0</v>
      </c>
      <c r="BO59" s="11">
        <f t="shared" si="31"/>
        <v>0</v>
      </c>
      <c r="BP59" s="11">
        <f t="shared" ref="BP59:CZ59" si="32">SUMPRODUCT($B54:$B58,BP54:BP58)</f>
        <v>0</v>
      </c>
      <c r="BQ59" s="11">
        <f t="shared" si="32"/>
        <v>0</v>
      </c>
      <c r="BR59" s="11">
        <f t="shared" si="32"/>
        <v>0</v>
      </c>
      <c r="BS59" s="11">
        <f t="shared" si="32"/>
        <v>0</v>
      </c>
      <c r="BT59" s="11">
        <f t="shared" si="32"/>
        <v>0</v>
      </c>
      <c r="BU59" s="11">
        <f t="shared" si="32"/>
        <v>0</v>
      </c>
      <c r="BV59" s="11">
        <f t="shared" si="32"/>
        <v>0</v>
      </c>
      <c r="BW59" s="11">
        <f t="shared" si="32"/>
        <v>0</v>
      </c>
      <c r="BX59" s="11">
        <f t="shared" si="32"/>
        <v>0</v>
      </c>
      <c r="BY59" s="11">
        <f t="shared" si="32"/>
        <v>0</v>
      </c>
      <c r="BZ59" s="11">
        <f t="shared" si="32"/>
        <v>0</v>
      </c>
      <c r="CA59" s="11">
        <f t="shared" si="32"/>
        <v>0</v>
      </c>
      <c r="CB59" s="11">
        <f t="shared" si="32"/>
        <v>0</v>
      </c>
      <c r="CC59" s="11">
        <f t="shared" si="32"/>
        <v>0</v>
      </c>
      <c r="CD59" s="11">
        <f t="shared" si="32"/>
        <v>0</v>
      </c>
      <c r="CE59" s="11">
        <f t="shared" si="32"/>
        <v>0</v>
      </c>
      <c r="CF59" s="11">
        <f t="shared" si="32"/>
        <v>0</v>
      </c>
      <c r="CG59" s="11">
        <f t="shared" si="32"/>
        <v>0</v>
      </c>
      <c r="CH59" s="11">
        <f t="shared" si="32"/>
        <v>0</v>
      </c>
      <c r="CI59" s="11">
        <f t="shared" si="32"/>
        <v>0</v>
      </c>
      <c r="CJ59" s="11">
        <f t="shared" si="32"/>
        <v>0</v>
      </c>
      <c r="CK59" s="11">
        <f t="shared" si="32"/>
        <v>0</v>
      </c>
      <c r="CL59" s="11">
        <f t="shared" si="32"/>
        <v>0</v>
      </c>
      <c r="CM59" s="11">
        <f t="shared" si="32"/>
        <v>0</v>
      </c>
      <c r="CN59" s="11">
        <f t="shared" si="32"/>
        <v>0</v>
      </c>
      <c r="CO59" s="11">
        <f t="shared" si="32"/>
        <v>0</v>
      </c>
      <c r="CP59" s="11">
        <f t="shared" si="32"/>
        <v>0</v>
      </c>
      <c r="CQ59" s="11">
        <f t="shared" si="32"/>
        <v>0</v>
      </c>
      <c r="CR59" s="11">
        <f t="shared" si="32"/>
        <v>0</v>
      </c>
      <c r="CS59" s="11">
        <f t="shared" si="32"/>
        <v>0</v>
      </c>
      <c r="CT59" s="11">
        <f t="shared" si="32"/>
        <v>0</v>
      </c>
      <c r="CU59" s="11">
        <f t="shared" si="32"/>
        <v>0</v>
      </c>
      <c r="CV59" s="11">
        <f t="shared" si="32"/>
        <v>0</v>
      </c>
      <c r="CW59" s="11">
        <f t="shared" si="32"/>
        <v>0</v>
      </c>
      <c r="CX59" s="11">
        <f t="shared" si="32"/>
        <v>0</v>
      </c>
      <c r="CY59" s="11">
        <f t="shared" si="32"/>
        <v>0</v>
      </c>
      <c r="CZ59" s="11">
        <f t="shared" si="32"/>
        <v>0</v>
      </c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</row>
    <row r="60" spans="1:122" ht="18" customHeight="1">
      <c r="A60" s="13" t="s">
        <v>133</v>
      </c>
      <c r="B60" s="14">
        <f>IFERROR(VLOOKUP(A60,PRICELIST!$A$3:$D$138,4,0),"-")</f>
        <v>23.41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9">
        <f t="shared" ref="CY60:CZ70" si="33">C60+E60+G60+I60+K60+M60+O60+Q60+S60+U60+W60+Y60+AA60+AC60+AE60+AG60+AI60+AK60+AM60+AO60+AQ60+AS60+AU60+AW60+AY60+BA60+BC60+BE60+BG60+BI60+BK60+BM60+BO60+BQ60+BS60+BU60+BW60+BY60+CA60+CC60+CE60+CG60+CI60+CK60+CM60+CO60+CQ60+CS60+CU60+CW60</f>
        <v>0</v>
      </c>
      <c r="CZ60" s="19">
        <f t="shared" si="33"/>
        <v>0</v>
      </c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</row>
    <row r="61" spans="1:122" ht="18" customHeight="1">
      <c r="A61" s="13" t="s">
        <v>42</v>
      </c>
      <c r="B61" s="14">
        <f>IFERROR(VLOOKUP(A61,PRICELIST!$A$3:$D$138,4,0),"-")</f>
        <v>23.57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9">
        <f t="shared" si="33"/>
        <v>0</v>
      </c>
      <c r="CZ61" s="19">
        <f t="shared" si="33"/>
        <v>0</v>
      </c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</row>
    <row r="62" spans="1:122" ht="18" customHeight="1">
      <c r="A62" s="13" t="s">
        <v>43</v>
      </c>
      <c r="B62" s="14">
        <f>IFERROR(VLOOKUP(A62,PRICELIST!$A$3:$D$138,4,0),"-")</f>
        <v>66.7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9">
        <f t="shared" si="33"/>
        <v>0</v>
      </c>
      <c r="CZ62" s="19">
        <f t="shared" si="33"/>
        <v>0</v>
      </c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</row>
    <row r="63" spans="1:122" ht="18" customHeight="1">
      <c r="A63" s="13" t="s">
        <v>44</v>
      </c>
      <c r="B63" s="14">
        <f>IFERROR(VLOOKUP(A63,PRICELIST!$A$3:$D$138,4,0),"-")</f>
        <v>67.819999999999993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9">
        <f t="shared" si="33"/>
        <v>0</v>
      </c>
      <c r="CZ63" s="19">
        <f t="shared" si="33"/>
        <v>0</v>
      </c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</row>
    <row r="64" spans="1:122" ht="18" customHeight="1">
      <c r="A64" s="13" t="s">
        <v>45</v>
      </c>
      <c r="B64" s="14">
        <f>IFERROR(VLOOKUP(A64,PRICELIST!$A$3:$D$138,4,0),"-")</f>
        <v>9.58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9">
        <f t="shared" si="33"/>
        <v>0</v>
      </c>
      <c r="CZ64" s="19">
        <f t="shared" si="33"/>
        <v>0</v>
      </c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</row>
    <row r="65" spans="1:122" ht="18" customHeight="1">
      <c r="A65" s="13" t="s">
        <v>46</v>
      </c>
      <c r="B65" s="14">
        <f>IFERROR(VLOOKUP(A65,PRICELIST!$A$3:$D$138,4,0),"-")</f>
        <v>23.41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9">
        <f t="shared" si="33"/>
        <v>0</v>
      </c>
      <c r="CZ65" s="19">
        <f t="shared" si="33"/>
        <v>0</v>
      </c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</row>
    <row r="66" spans="1:122" ht="18" customHeight="1">
      <c r="A66" s="13" t="s">
        <v>47</v>
      </c>
      <c r="B66" s="14">
        <f>IFERROR(VLOOKUP(A66,PRICELIST!$A$3:$D$138,4,0),"-")</f>
        <v>23.57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9">
        <f t="shared" si="33"/>
        <v>0</v>
      </c>
      <c r="CZ66" s="19">
        <f t="shared" si="33"/>
        <v>0</v>
      </c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</row>
    <row r="67" spans="1:122" ht="18" customHeight="1">
      <c r="A67" s="13" t="s">
        <v>49</v>
      </c>
      <c r="B67" s="14">
        <f>IFERROR(VLOOKUP(A67,PRICELIST!$A$3:$D$138,4,0),"-")</f>
        <v>132.43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9">
        <f t="shared" si="33"/>
        <v>0</v>
      </c>
      <c r="CZ67" s="19">
        <f t="shared" si="33"/>
        <v>0</v>
      </c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</row>
    <row r="68" spans="1:122" ht="18" customHeight="1">
      <c r="A68" s="13" t="s">
        <v>50</v>
      </c>
      <c r="B68" s="14">
        <f>IFERROR(VLOOKUP(A68,PRICELIST!$A$3:$D$138,4,0),"-")</f>
        <v>94.7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9">
        <f t="shared" si="33"/>
        <v>0</v>
      </c>
      <c r="CZ68" s="19">
        <f t="shared" si="33"/>
        <v>0</v>
      </c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</row>
    <row r="69" spans="1:122" ht="18" customHeight="1">
      <c r="A69" s="13" t="s">
        <v>51</v>
      </c>
      <c r="B69" s="14">
        <f>IFERROR(VLOOKUP(A69,PRICELIST!$A$3:$D$138,4,0),"-")</f>
        <v>58.82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9">
        <f t="shared" si="33"/>
        <v>0</v>
      </c>
      <c r="CZ69" s="19">
        <f t="shared" si="33"/>
        <v>0</v>
      </c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</row>
    <row r="70" spans="1:122" ht="18" customHeight="1">
      <c r="A70" s="13" t="s">
        <v>52</v>
      </c>
      <c r="B70" s="14">
        <f>IFERROR(VLOOKUP(A70,PRICELIST!$A$3:$D$138,4,0),"-")</f>
        <v>61.39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9">
        <f t="shared" si="33"/>
        <v>0</v>
      </c>
      <c r="CZ70" s="19">
        <f t="shared" si="33"/>
        <v>0</v>
      </c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</row>
    <row r="71" spans="1:122" ht="18" customHeight="1">
      <c r="A71" s="9" t="s">
        <v>48</v>
      </c>
      <c r="B71" s="10"/>
      <c r="C71" s="11">
        <f t="shared" ref="C71:AH71" si="34">SUMPRODUCT($B60:$B70,C60:C70)</f>
        <v>0</v>
      </c>
      <c r="D71" s="11">
        <f t="shared" si="34"/>
        <v>0</v>
      </c>
      <c r="E71" s="11">
        <f t="shared" si="34"/>
        <v>0</v>
      </c>
      <c r="F71" s="11">
        <f t="shared" si="34"/>
        <v>0</v>
      </c>
      <c r="G71" s="11">
        <f t="shared" si="34"/>
        <v>0</v>
      </c>
      <c r="H71" s="11">
        <f t="shared" si="34"/>
        <v>0</v>
      </c>
      <c r="I71" s="11">
        <f t="shared" si="34"/>
        <v>0</v>
      </c>
      <c r="J71" s="11">
        <f t="shared" si="34"/>
        <v>0</v>
      </c>
      <c r="K71" s="11">
        <f t="shared" si="34"/>
        <v>0</v>
      </c>
      <c r="L71" s="11">
        <f t="shared" si="34"/>
        <v>0</v>
      </c>
      <c r="M71" s="11">
        <f t="shared" si="34"/>
        <v>0</v>
      </c>
      <c r="N71" s="11">
        <f t="shared" si="34"/>
        <v>0</v>
      </c>
      <c r="O71" s="11">
        <f t="shared" si="34"/>
        <v>0</v>
      </c>
      <c r="P71" s="11">
        <f t="shared" si="34"/>
        <v>0</v>
      </c>
      <c r="Q71" s="11">
        <f t="shared" si="34"/>
        <v>0</v>
      </c>
      <c r="R71" s="11">
        <f t="shared" si="34"/>
        <v>0</v>
      </c>
      <c r="S71" s="11">
        <f t="shared" si="34"/>
        <v>0</v>
      </c>
      <c r="T71" s="11">
        <f t="shared" si="34"/>
        <v>0</v>
      </c>
      <c r="U71" s="11">
        <f t="shared" si="34"/>
        <v>0</v>
      </c>
      <c r="V71" s="11">
        <f t="shared" si="34"/>
        <v>0</v>
      </c>
      <c r="W71" s="11">
        <f t="shared" si="34"/>
        <v>0</v>
      </c>
      <c r="X71" s="11">
        <f t="shared" si="34"/>
        <v>0</v>
      </c>
      <c r="Y71" s="11">
        <f t="shared" si="34"/>
        <v>0</v>
      </c>
      <c r="Z71" s="11">
        <f t="shared" si="34"/>
        <v>0</v>
      </c>
      <c r="AA71" s="11">
        <f t="shared" si="34"/>
        <v>0</v>
      </c>
      <c r="AB71" s="11">
        <f t="shared" si="34"/>
        <v>0</v>
      </c>
      <c r="AC71" s="11">
        <f t="shared" si="34"/>
        <v>0</v>
      </c>
      <c r="AD71" s="11">
        <f t="shared" si="34"/>
        <v>0</v>
      </c>
      <c r="AE71" s="11">
        <f t="shared" si="34"/>
        <v>0</v>
      </c>
      <c r="AF71" s="11">
        <f t="shared" si="34"/>
        <v>0</v>
      </c>
      <c r="AG71" s="11">
        <f t="shared" si="34"/>
        <v>0</v>
      </c>
      <c r="AH71" s="11">
        <f t="shared" si="34"/>
        <v>0</v>
      </c>
      <c r="AI71" s="11">
        <f t="shared" ref="AI71:BN71" si="35">SUMPRODUCT($B60:$B70,AI60:AI70)</f>
        <v>0</v>
      </c>
      <c r="AJ71" s="11">
        <f t="shared" si="35"/>
        <v>0</v>
      </c>
      <c r="AK71" s="11">
        <f t="shared" si="35"/>
        <v>0</v>
      </c>
      <c r="AL71" s="11">
        <f t="shared" si="35"/>
        <v>0</v>
      </c>
      <c r="AM71" s="11">
        <f t="shared" si="35"/>
        <v>0</v>
      </c>
      <c r="AN71" s="11">
        <f t="shared" si="35"/>
        <v>0</v>
      </c>
      <c r="AO71" s="11">
        <f t="shared" si="35"/>
        <v>0</v>
      </c>
      <c r="AP71" s="11">
        <f t="shared" si="35"/>
        <v>0</v>
      </c>
      <c r="AQ71" s="11">
        <f t="shared" si="35"/>
        <v>0</v>
      </c>
      <c r="AR71" s="11">
        <f t="shared" si="35"/>
        <v>0</v>
      </c>
      <c r="AS71" s="11">
        <f t="shared" si="35"/>
        <v>0</v>
      </c>
      <c r="AT71" s="11">
        <f t="shared" si="35"/>
        <v>0</v>
      </c>
      <c r="AU71" s="11">
        <f t="shared" si="35"/>
        <v>0</v>
      </c>
      <c r="AV71" s="11">
        <f t="shared" si="35"/>
        <v>0</v>
      </c>
      <c r="AW71" s="11">
        <f t="shared" si="35"/>
        <v>0</v>
      </c>
      <c r="AX71" s="11">
        <f t="shared" si="35"/>
        <v>0</v>
      </c>
      <c r="AY71" s="11">
        <f t="shared" si="35"/>
        <v>0</v>
      </c>
      <c r="AZ71" s="11">
        <f t="shared" si="35"/>
        <v>0</v>
      </c>
      <c r="BA71" s="11">
        <f t="shared" si="35"/>
        <v>0</v>
      </c>
      <c r="BB71" s="11">
        <f t="shared" si="35"/>
        <v>0</v>
      </c>
      <c r="BC71" s="11">
        <f t="shared" si="35"/>
        <v>0</v>
      </c>
      <c r="BD71" s="11">
        <f t="shared" si="35"/>
        <v>0</v>
      </c>
      <c r="BE71" s="11">
        <f t="shared" si="35"/>
        <v>0</v>
      </c>
      <c r="BF71" s="11">
        <f t="shared" si="35"/>
        <v>0</v>
      </c>
      <c r="BG71" s="11">
        <f t="shared" si="35"/>
        <v>0</v>
      </c>
      <c r="BH71" s="11">
        <f t="shared" si="35"/>
        <v>0</v>
      </c>
      <c r="BI71" s="11">
        <f t="shared" si="35"/>
        <v>0</v>
      </c>
      <c r="BJ71" s="11">
        <f t="shared" si="35"/>
        <v>0</v>
      </c>
      <c r="BK71" s="11">
        <f t="shared" si="35"/>
        <v>0</v>
      </c>
      <c r="BL71" s="11">
        <f t="shared" si="35"/>
        <v>0</v>
      </c>
      <c r="BM71" s="11">
        <f t="shared" si="35"/>
        <v>0</v>
      </c>
      <c r="BN71" s="11">
        <f t="shared" si="35"/>
        <v>0</v>
      </c>
      <c r="BO71" s="11">
        <f t="shared" ref="BO71:CT71" si="36">SUMPRODUCT($B60:$B70,BO60:BO70)</f>
        <v>0</v>
      </c>
      <c r="BP71" s="11">
        <f t="shared" si="36"/>
        <v>0</v>
      </c>
      <c r="BQ71" s="11">
        <f t="shared" si="36"/>
        <v>0</v>
      </c>
      <c r="BR71" s="11">
        <f t="shared" si="36"/>
        <v>0</v>
      </c>
      <c r="BS71" s="11">
        <f t="shared" si="36"/>
        <v>0</v>
      </c>
      <c r="BT71" s="11">
        <f t="shared" si="36"/>
        <v>0</v>
      </c>
      <c r="BU71" s="11">
        <f t="shared" si="36"/>
        <v>0</v>
      </c>
      <c r="BV71" s="11">
        <f t="shared" si="36"/>
        <v>0</v>
      </c>
      <c r="BW71" s="11">
        <f t="shared" si="36"/>
        <v>0</v>
      </c>
      <c r="BX71" s="11">
        <f t="shared" si="36"/>
        <v>0</v>
      </c>
      <c r="BY71" s="11">
        <f t="shared" si="36"/>
        <v>0</v>
      </c>
      <c r="BZ71" s="11">
        <f t="shared" si="36"/>
        <v>0</v>
      </c>
      <c r="CA71" s="11">
        <f t="shared" si="36"/>
        <v>0</v>
      </c>
      <c r="CB71" s="11">
        <f t="shared" si="36"/>
        <v>0</v>
      </c>
      <c r="CC71" s="11">
        <f t="shared" si="36"/>
        <v>0</v>
      </c>
      <c r="CD71" s="11">
        <f t="shared" si="36"/>
        <v>0</v>
      </c>
      <c r="CE71" s="11">
        <f t="shared" si="36"/>
        <v>0</v>
      </c>
      <c r="CF71" s="11">
        <f t="shared" si="36"/>
        <v>0</v>
      </c>
      <c r="CG71" s="11">
        <f t="shared" si="36"/>
        <v>0</v>
      </c>
      <c r="CH71" s="11">
        <f t="shared" si="36"/>
        <v>0</v>
      </c>
      <c r="CI71" s="11">
        <f t="shared" si="36"/>
        <v>0</v>
      </c>
      <c r="CJ71" s="11">
        <f t="shared" si="36"/>
        <v>0</v>
      </c>
      <c r="CK71" s="11">
        <f t="shared" si="36"/>
        <v>0</v>
      </c>
      <c r="CL71" s="11">
        <f t="shared" si="36"/>
        <v>0</v>
      </c>
      <c r="CM71" s="11">
        <f t="shared" si="36"/>
        <v>0</v>
      </c>
      <c r="CN71" s="11">
        <f t="shared" si="36"/>
        <v>0</v>
      </c>
      <c r="CO71" s="11">
        <f t="shared" si="36"/>
        <v>0</v>
      </c>
      <c r="CP71" s="11">
        <f t="shared" si="36"/>
        <v>0</v>
      </c>
      <c r="CQ71" s="11">
        <f t="shared" si="36"/>
        <v>0</v>
      </c>
      <c r="CR71" s="11">
        <f t="shared" si="36"/>
        <v>0</v>
      </c>
      <c r="CS71" s="11">
        <f t="shared" si="36"/>
        <v>0</v>
      </c>
      <c r="CT71" s="11">
        <f t="shared" si="36"/>
        <v>0</v>
      </c>
      <c r="CU71" s="11">
        <f t="shared" ref="CU71:CZ71" si="37">SUMPRODUCT($B60:$B70,CU60:CU70)</f>
        <v>0</v>
      </c>
      <c r="CV71" s="11">
        <f t="shared" si="37"/>
        <v>0</v>
      </c>
      <c r="CW71" s="11">
        <f t="shared" si="37"/>
        <v>0</v>
      </c>
      <c r="CX71" s="11">
        <f t="shared" si="37"/>
        <v>0</v>
      </c>
      <c r="CY71" s="11">
        <f t="shared" si="37"/>
        <v>0</v>
      </c>
      <c r="CZ71" s="11">
        <f t="shared" si="37"/>
        <v>0</v>
      </c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</row>
    <row r="72" spans="1:122" ht="18" customHeight="1">
      <c r="A72" s="13" t="s">
        <v>85</v>
      </c>
      <c r="B72" s="14">
        <f>IFERROR(VLOOKUP(A72,PRICELIST!$A$3:$D$138,4,0),"-")</f>
        <v>165.86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9">
        <f t="shared" ref="CY72:CZ78" si="38">C72+E72+G72+I72+K72+M72+O72+Q72+S72+U72+W72+Y72+AA72+AC72+AE72+AG72+AI72+AK72+AM72+AO72+AQ72+AS72+AU72+AW72+AY72+BA72+BC72+BE72+BG72+BI72+BK72+BM72+BO72+BQ72+BS72+BU72+BW72+BY72+CA72+CC72+CE72+CG72+CI72+CK72+CM72+CO72+CQ72+CS72+CU72+CW72</f>
        <v>0</v>
      </c>
      <c r="CZ72" s="19">
        <f t="shared" si="38"/>
        <v>0</v>
      </c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</row>
    <row r="73" spans="1:122" ht="18" customHeight="1">
      <c r="A73" s="13" t="s">
        <v>53</v>
      </c>
      <c r="B73" s="14">
        <f>IFERROR(VLOOKUP(A73,PRICELIST!$A$3:$D$138,4,0),"-")</f>
        <v>82.93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9">
        <f t="shared" si="38"/>
        <v>0</v>
      </c>
      <c r="CZ73" s="19">
        <f t="shared" si="38"/>
        <v>0</v>
      </c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</row>
    <row r="74" spans="1:122" ht="18" customHeight="1">
      <c r="A74" s="13" t="s">
        <v>54</v>
      </c>
      <c r="B74" s="14">
        <f>IFERROR(VLOOKUP(A74,PRICELIST!$A$3:$D$138,4,0),"-")</f>
        <v>96.43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9">
        <f t="shared" si="38"/>
        <v>0</v>
      </c>
      <c r="CZ74" s="19">
        <f t="shared" si="38"/>
        <v>0</v>
      </c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</row>
    <row r="75" spans="1:122" ht="18" customHeight="1">
      <c r="A75" s="13" t="s">
        <v>55</v>
      </c>
      <c r="B75" s="14">
        <f>IFERROR(VLOOKUP(A75,PRICELIST!$A$3:$D$138,4,0),"-")</f>
        <v>47.57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9">
        <f t="shared" si="38"/>
        <v>0</v>
      </c>
      <c r="CZ75" s="19">
        <f t="shared" si="38"/>
        <v>0</v>
      </c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</row>
    <row r="76" spans="1:122" ht="18" customHeight="1">
      <c r="A76" s="13" t="s">
        <v>132</v>
      </c>
      <c r="B76" s="14">
        <f>IFERROR(VLOOKUP(A76,PRICELIST!$A$3:$D$138,4,0),"-")</f>
        <v>128.57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9">
        <f t="shared" si="38"/>
        <v>0</v>
      </c>
      <c r="CZ76" s="19">
        <f t="shared" si="38"/>
        <v>0</v>
      </c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</row>
    <row r="77" spans="1:122" ht="18" customHeight="1">
      <c r="A77" s="13" t="s">
        <v>86</v>
      </c>
      <c r="B77" s="14">
        <f>IFERROR(VLOOKUP(A77,PRICELIST!$A$3:$D$138,4,0),"-")</f>
        <v>130.5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9">
        <f t="shared" si="38"/>
        <v>0</v>
      </c>
      <c r="CZ77" s="19">
        <f t="shared" si="38"/>
        <v>0</v>
      </c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</row>
    <row r="78" spans="1:122" ht="18" customHeight="1">
      <c r="A78" s="26" t="s">
        <v>121</v>
      </c>
      <c r="B78" s="14">
        <f>IFERROR(VLOOKUP(A78,PRICELIST!$A$3:$D$138,4,0),"-")</f>
        <v>146.88999999999999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9">
        <f t="shared" si="38"/>
        <v>0</v>
      </c>
      <c r="CZ78" s="19">
        <f t="shared" si="38"/>
        <v>0</v>
      </c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</row>
    <row r="79" spans="1:122" ht="18" customHeight="1">
      <c r="A79" s="9" t="s">
        <v>56</v>
      </c>
      <c r="B79" s="10"/>
      <c r="C79" s="11">
        <f>SUMPRODUCT($B72:$B78,C72:C78)</f>
        <v>0</v>
      </c>
      <c r="D79" s="11">
        <f t="shared" ref="D79:BO79" si="39">SUMPRODUCT($B72:$B78,D72:D78)</f>
        <v>0</v>
      </c>
      <c r="E79" s="11">
        <f t="shared" si="39"/>
        <v>0</v>
      </c>
      <c r="F79" s="11">
        <f t="shared" si="39"/>
        <v>0</v>
      </c>
      <c r="G79" s="11">
        <f t="shared" si="39"/>
        <v>0</v>
      </c>
      <c r="H79" s="11">
        <f t="shared" si="39"/>
        <v>0</v>
      </c>
      <c r="I79" s="11">
        <f t="shared" si="39"/>
        <v>0</v>
      </c>
      <c r="J79" s="11">
        <f t="shared" si="39"/>
        <v>0</v>
      </c>
      <c r="K79" s="11">
        <f t="shared" si="39"/>
        <v>0</v>
      </c>
      <c r="L79" s="11">
        <f t="shared" si="39"/>
        <v>0</v>
      </c>
      <c r="M79" s="11">
        <f t="shared" si="39"/>
        <v>0</v>
      </c>
      <c r="N79" s="11">
        <f t="shared" si="39"/>
        <v>0</v>
      </c>
      <c r="O79" s="11">
        <f t="shared" si="39"/>
        <v>0</v>
      </c>
      <c r="P79" s="11">
        <f t="shared" si="39"/>
        <v>0</v>
      </c>
      <c r="Q79" s="11">
        <f t="shared" si="39"/>
        <v>0</v>
      </c>
      <c r="R79" s="11">
        <f t="shared" si="39"/>
        <v>0</v>
      </c>
      <c r="S79" s="11">
        <f t="shared" si="39"/>
        <v>0</v>
      </c>
      <c r="T79" s="11">
        <f t="shared" si="39"/>
        <v>0</v>
      </c>
      <c r="U79" s="11">
        <f t="shared" si="39"/>
        <v>0</v>
      </c>
      <c r="V79" s="11">
        <f t="shared" si="39"/>
        <v>0</v>
      </c>
      <c r="W79" s="11">
        <f t="shared" si="39"/>
        <v>0</v>
      </c>
      <c r="X79" s="11">
        <f t="shared" si="39"/>
        <v>0</v>
      </c>
      <c r="Y79" s="11">
        <f t="shared" si="39"/>
        <v>0</v>
      </c>
      <c r="Z79" s="11">
        <f t="shared" si="39"/>
        <v>0</v>
      </c>
      <c r="AA79" s="11">
        <f t="shared" si="39"/>
        <v>0</v>
      </c>
      <c r="AB79" s="11">
        <f t="shared" si="39"/>
        <v>0</v>
      </c>
      <c r="AC79" s="11">
        <f t="shared" si="39"/>
        <v>0</v>
      </c>
      <c r="AD79" s="11">
        <f t="shared" si="39"/>
        <v>0</v>
      </c>
      <c r="AE79" s="11">
        <f t="shared" si="39"/>
        <v>0</v>
      </c>
      <c r="AF79" s="11">
        <f t="shared" si="39"/>
        <v>0</v>
      </c>
      <c r="AG79" s="11">
        <f t="shared" si="39"/>
        <v>0</v>
      </c>
      <c r="AH79" s="11">
        <f t="shared" si="39"/>
        <v>0</v>
      </c>
      <c r="AI79" s="11">
        <f t="shared" si="39"/>
        <v>0</v>
      </c>
      <c r="AJ79" s="11">
        <f t="shared" si="39"/>
        <v>0</v>
      </c>
      <c r="AK79" s="11">
        <f t="shared" si="39"/>
        <v>0</v>
      </c>
      <c r="AL79" s="11">
        <f t="shared" si="39"/>
        <v>0</v>
      </c>
      <c r="AM79" s="11">
        <f t="shared" si="39"/>
        <v>0</v>
      </c>
      <c r="AN79" s="11">
        <f t="shared" si="39"/>
        <v>0</v>
      </c>
      <c r="AO79" s="11">
        <f t="shared" si="39"/>
        <v>0</v>
      </c>
      <c r="AP79" s="11">
        <f t="shared" si="39"/>
        <v>0</v>
      </c>
      <c r="AQ79" s="11">
        <f t="shared" si="39"/>
        <v>0</v>
      </c>
      <c r="AR79" s="11">
        <f t="shared" si="39"/>
        <v>0</v>
      </c>
      <c r="AS79" s="11">
        <f t="shared" si="39"/>
        <v>0</v>
      </c>
      <c r="AT79" s="11">
        <f t="shared" si="39"/>
        <v>0</v>
      </c>
      <c r="AU79" s="11">
        <f t="shared" si="39"/>
        <v>0</v>
      </c>
      <c r="AV79" s="11">
        <f t="shared" si="39"/>
        <v>0</v>
      </c>
      <c r="AW79" s="11">
        <f t="shared" si="39"/>
        <v>0</v>
      </c>
      <c r="AX79" s="11">
        <f t="shared" si="39"/>
        <v>0</v>
      </c>
      <c r="AY79" s="11">
        <f t="shared" si="39"/>
        <v>0</v>
      </c>
      <c r="AZ79" s="11">
        <f t="shared" si="39"/>
        <v>0</v>
      </c>
      <c r="BA79" s="11">
        <f t="shared" si="39"/>
        <v>0</v>
      </c>
      <c r="BB79" s="11">
        <f t="shared" si="39"/>
        <v>0</v>
      </c>
      <c r="BC79" s="11">
        <f t="shared" si="39"/>
        <v>0</v>
      </c>
      <c r="BD79" s="11">
        <f t="shared" si="39"/>
        <v>0</v>
      </c>
      <c r="BE79" s="11">
        <f t="shared" si="39"/>
        <v>0</v>
      </c>
      <c r="BF79" s="11">
        <f t="shared" si="39"/>
        <v>0</v>
      </c>
      <c r="BG79" s="11">
        <f t="shared" si="39"/>
        <v>0</v>
      </c>
      <c r="BH79" s="11">
        <f t="shared" si="39"/>
        <v>0</v>
      </c>
      <c r="BI79" s="11">
        <f t="shared" si="39"/>
        <v>0</v>
      </c>
      <c r="BJ79" s="11">
        <f t="shared" si="39"/>
        <v>0</v>
      </c>
      <c r="BK79" s="11">
        <f t="shared" si="39"/>
        <v>0</v>
      </c>
      <c r="BL79" s="11">
        <f t="shared" si="39"/>
        <v>0</v>
      </c>
      <c r="BM79" s="11">
        <f t="shared" si="39"/>
        <v>0</v>
      </c>
      <c r="BN79" s="11">
        <f t="shared" si="39"/>
        <v>0</v>
      </c>
      <c r="BO79" s="11">
        <f t="shared" si="39"/>
        <v>0</v>
      </c>
      <c r="BP79" s="11">
        <f t="shared" ref="BP79:CZ79" si="40">SUMPRODUCT($B72:$B78,BP72:BP78)</f>
        <v>0</v>
      </c>
      <c r="BQ79" s="11">
        <f t="shared" si="40"/>
        <v>0</v>
      </c>
      <c r="BR79" s="11">
        <f t="shared" si="40"/>
        <v>0</v>
      </c>
      <c r="BS79" s="11">
        <f t="shared" si="40"/>
        <v>0</v>
      </c>
      <c r="BT79" s="11">
        <f t="shared" si="40"/>
        <v>0</v>
      </c>
      <c r="BU79" s="11">
        <f t="shared" si="40"/>
        <v>0</v>
      </c>
      <c r="BV79" s="11">
        <f t="shared" si="40"/>
        <v>0</v>
      </c>
      <c r="BW79" s="11">
        <f t="shared" si="40"/>
        <v>0</v>
      </c>
      <c r="BX79" s="11">
        <f t="shared" si="40"/>
        <v>0</v>
      </c>
      <c r="BY79" s="11">
        <f t="shared" si="40"/>
        <v>0</v>
      </c>
      <c r="BZ79" s="11">
        <f t="shared" si="40"/>
        <v>0</v>
      </c>
      <c r="CA79" s="11">
        <f t="shared" si="40"/>
        <v>0</v>
      </c>
      <c r="CB79" s="11">
        <f t="shared" si="40"/>
        <v>0</v>
      </c>
      <c r="CC79" s="11">
        <f t="shared" si="40"/>
        <v>0</v>
      </c>
      <c r="CD79" s="11">
        <f t="shared" si="40"/>
        <v>0</v>
      </c>
      <c r="CE79" s="11">
        <f t="shared" si="40"/>
        <v>0</v>
      </c>
      <c r="CF79" s="11">
        <f t="shared" si="40"/>
        <v>0</v>
      </c>
      <c r="CG79" s="11">
        <f t="shared" si="40"/>
        <v>0</v>
      </c>
      <c r="CH79" s="11">
        <f t="shared" si="40"/>
        <v>0</v>
      </c>
      <c r="CI79" s="11">
        <f t="shared" si="40"/>
        <v>0</v>
      </c>
      <c r="CJ79" s="11">
        <f t="shared" si="40"/>
        <v>0</v>
      </c>
      <c r="CK79" s="11">
        <f t="shared" si="40"/>
        <v>0</v>
      </c>
      <c r="CL79" s="11">
        <f t="shared" si="40"/>
        <v>0</v>
      </c>
      <c r="CM79" s="11">
        <f t="shared" si="40"/>
        <v>0</v>
      </c>
      <c r="CN79" s="11">
        <f t="shared" si="40"/>
        <v>0</v>
      </c>
      <c r="CO79" s="11">
        <f t="shared" si="40"/>
        <v>0</v>
      </c>
      <c r="CP79" s="11">
        <f t="shared" si="40"/>
        <v>0</v>
      </c>
      <c r="CQ79" s="11">
        <f t="shared" si="40"/>
        <v>0</v>
      </c>
      <c r="CR79" s="11">
        <f t="shared" si="40"/>
        <v>0</v>
      </c>
      <c r="CS79" s="11">
        <f t="shared" si="40"/>
        <v>0</v>
      </c>
      <c r="CT79" s="11">
        <f t="shared" si="40"/>
        <v>0</v>
      </c>
      <c r="CU79" s="11">
        <f t="shared" si="40"/>
        <v>0</v>
      </c>
      <c r="CV79" s="11">
        <f t="shared" si="40"/>
        <v>0</v>
      </c>
      <c r="CW79" s="11">
        <f t="shared" si="40"/>
        <v>0</v>
      </c>
      <c r="CX79" s="11">
        <f t="shared" si="40"/>
        <v>0</v>
      </c>
      <c r="CY79" s="11">
        <f t="shared" si="40"/>
        <v>0</v>
      </c>
      <c r="CZ79" s="11">
        <f t="shared" si="40"/>
        <v>0</v>
      </c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</row>
    <row r="80" spans="1:122" ht="18" customHeight="1">
      <c r="A80" s="13" t="s">
        <v>57</v>
      </c>
      <c r="B80" s="14">
        <f>IFERROR(VLOOKUP(A80,PRICELIST!$A$3:$D$138,4,0),"-")</f>
        <v>78.75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9">
        <f>C80+E80+G80+I80+K80+M80+O80+Q80+S80+U80+W80+Y80+AA80+AC80+AE80+AG80+AI80+AK80+AM80+AO80+AQ80+AS80+AU80+AW80+AY80+BA80+BC80+BE80+BG80+BI80+BK80+BM80+BO80+BQ80+BS80+BU80+BW80+BY80+CA80+CC80+CE80+CG80+CI80+CK80+CM80+CO80+CQ80+CS80+CU80+CW80</f>
        <v>0</v>
      </c>
      <c r="CZ80" s="19">
        <f>D80+F80+H80+J80+L80+N80+P80+R80+T80+V80+X80+Z80+AB80+AD80+AF80+AH80+AJ80+AL80+AN80+AP80+AR80+AT80+AV80+AX80+AZ80+BB80+BD80+BF80+BH80+BJ80+BL80+BN80+BP80+BR80+BT80+BV80+BX80+BZ80+CB80+CD80+CF80+CH80+CJ80+CL80+CN80+CP80+CR80+CT80+CV80+CX80</f>
        <v>0</v>
      </c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</row>
    <row r="81" spans="1:122" ht="18" customHeight="1">
      <c r="A81" s="9" t="s">
        <v>58</v>
      </c>
      <c r="B81" s="10"/>
      <c r="C81" s="11">
        <f>SUMPRODUCT($B80*C80)</f>
        <v>0</v>
      </c>
      <c r="D81" s="11">
        <f t="shared" ref="D81:BO81" si="41">SUMPRODUCT($B80*D80)</f>
        <v>0</v>
      </c>
      <c r="E81" s="11">
        <f t="shared" si="41"/>
        <v>0</v>
      </c>
      <c r="F81" s="11">
        <f t="shared" si="41"/>
        <v>0</v>
      </c>
      <c r="G81" s="11">
        <f t="shared" si="41"/>
        <v>0</v>
      </c>
      <c r="H81" s="11">
        <f t="shared" si="41"/>
        <v>0</v>
      </c>
      <c r="I81" s="11">
        <f t="shared" si="41"/>
        <v>0</v>
      </c>
      <c r="J81" s="11">
        <f t="shared" si="41"/>
        <v>0</v>
      </c>
      <c r="K81" s="11">
        <f t="shared" si="41"/>
        <v>0</v>
      </c>
      <c r="L81" s="11">
        <f t="shared" si="41"/>
        <v>0</v>
      </c>
      <c r="M81" s="11">
        <f t="shared" si="41"/>
        <v>0</v>
      </c>
      <c r="N81" s="11">
        <f t="shared" si="41"/>
        <v>0</v>
      </c>
      <c r="O81" s="11">
        <f t="shared" si="41"/>
        <v>0</v>
      </c>
      <c r="P81" s="11">
        <f t="shared" si="41"/>
        <v>0</v>
      </c>
      <c r="Q81" s="11">
        <f t="shared" si="41"/>
        <v>0</v>
      </c>
      <c r="R81" s="11">
        <f t="shared" si="41"/>
        <v>0</v>
      </c>
      <c r="S81" s="11">
        <f t="shared" si="41"/>
        <v>0</v>
      </c>
      <c r="T81" s="11">
        <f t="shared" si="41"/>
        <v>0</v>
      </c>
      <c r="U81" s="11">
        <f t="shared" si="41"/>
        <v>0</v>
      </c>
      <c r="V81" s="11">
        <f t="shared" si="41"/>
        <v>0</v>
      </c>
      <c r="W81" s="11">
        <f t="shared" si="41"/>
        <v>0</v>
      </c>
      <c r="X81" s="11">
        <f t="shared" si="41"/>
        <v>0</v>
      </c>
      <c r="Y81" s="11">
        <f t="shared" si="41"/>
        <v>0</v>
      </c>
      <c r="Z81" s="11">
        <f t="shared" si="41"/>
        <v>0</v>
      </c>
      <c r="AA81" s="11">
        <f t="shared" si="41"/>
        <v>0</v>
      </c>
      <c r="AB81" s="11">
        <f t="shared" si="41"/>
        <v>0</v>
      </c>
      <c r="AC81" s="11">
        <f t="shared" si="41"/>
        <v>0</v>
      </c>
      <c r="AD81" s="11">
        <f t="shared" si="41"/>
        <v>0</v>
      </c>
      <c r="AE81" s="11">
        <f t="shared" si="41"/>
        <v>0</v>
      </c>
      <c r="AF81" s="11">
        <f t="shared" si="41"/>
        <v>0</v>
      </c>
      <c r="AG81" s="11">
        <f t="shared" si="41"/>
        <v>0</v>
      </c>
      <c r="AH81" s="11">
        <f t="shared" si="41"/>
        <v>0</v>
      </c>
      <c r="AI81" s="11">
        <f t="shared" si="41"/>
        <v>0</v>
      </c>
      <c r="AJ81" s="11">
        <f t="shared" si="41"/>
        <v>0</v>
      </c>
      <c r="AK81" s="11">
        <f t="shared" si="41"/>
        <v>0</v>
      </c>
      <c r="AL81" s="11">
        <f t="shared" si="41"/>
        <v>0</v>
      </c>
      <c r="AM81" s="11">
        <f t="shared" si="41"/>
        <v>0</v>
      </c>
      <c r="AN81" s="11">
        <f t="shared" si="41"/>
        <v>0</v>
      </c>
      <c r="AO81" s="11">
        <f t="shared" si="41"/>
        <v>0</v>
      </c>
      <c r="AP81" s="11">
        <f t="shared" si="41"/>
        <v>0</v>
      </c>
      <c r="AQ81" s="11">
        <f t="shared" si="41"/>
        <v>0</v>
      </c>
      <c r="AR81" s="11">
        <f t="shared" si="41"/>
        <v>0</v>
      </c>
      <c r="AS81" s="11">
        <f t="shared" si="41"/>
        <v>0</v>
      </c>
      <c r="AT81" s="11">
        <f t="shared" si="41"/>
        <v>0</v>
      </c>
      <c r="AU81" s="11">
        <f t="shared" si="41"/>
        <v>0</v>
      </c>
      <c r="AV81" s="11">
        <f t="shared" si="41"/>
        <v>0</v>
      </c>
      <c r="AW81" s="11">
        <f t="shared" si="41"/>
        <v>0</v>
      </c>
      <c r="AX81" s="11">
        <f t="shared" si="41"/>
        <v>0</v>
      </c>
      <c r="AY81" s="11">
        <f t="shared" si="41"/>
        <v>0</v>
      </c>
      <c r="AZ81" s="11">
        <f t="shared" si="41"/>
        <v>0</v>
      </c>
      <c r="BA81" s="11">
        <f t="shared" si="41"/>
        <v>0</v>
      </c>
      <c r="BB81" s="11">
        <f t="shared" si="41"/>
        <v>0</v>
      </c>
      <c r="BC81" s="11">
        <f t="shared" si="41"/>
        <v>0</v>
      </c>
      <c r="BD81" s="11">
        <f t="shared" si="41"/>
        <v>0</v>
      </c>
      <c r="BE81" s="11">
        <f t="shared" si="41"/>
        <v>0</v>
      </c>
      <c r="BF81" s="11">
        <f t="shared" si="41"/>
        <v>0</v>
      </c>
      <c r="BG81" s="11">
        <f t="shared" si="41"/>
        <v>0</v>
      </c>
      <c r="BH81" s="11">
        <f t="shared" si="41"/>
        <v>0</v>
      </c>
      <c r="BI81" s="11">
        <f t="shared" si="41"/>
        <v>0</v>
      </c>
      <c r="BJ81" s="11">
        <f t="shared" si="41"/>
        <v>0</v>
      </c>
      <c r="BK81" s="11">
        <f t="shared" si="41"/>
        <v>0</v>
      </c>
      <c r="BL81" s="11">
        <f t="shared" si="41"/>
        <v>0</v>
      </c>
      <c r="BM81" s="11">
        <f t="shared" si="41"/>
        <v>0</v>
      </c>
      <c r="BN81" s="11">
        <f t="shared" si="41"/>
        <v>0</v>
      </c>
      <c r="BO81" s="11">
        <f t="shared" si="41"/>
        <v>0</v>
      </c>
      <c r="BP81" s="11">
        <f t="shared" ref="BP81:CZ81" si="42">SUMPRODUCT($B80*BP80)</f>
        <v>0</v>
      </c>
      <c r="BQ81" s="11">
        <f t="shared" si="42"/>
        <v>0</v>
      </c>
      <c r="BR81" s="11">
        <f t="shared" si="42"/>
        <v>0</v>
      </c>
      <c r="BS81" s="11">
        <f t="shared" si="42"/>
        <v>0</v>
      </c>
      <c r="BT81" s="11">
        <f t="shared" si="42"/>
        <v>0</v>
      </c>
      <c r="BU81" s="11">
        <f t="shared" si="42"/>
        <v>0</v>
      </c>
      <c r="BV81" s="11">
        <f t="shared" si="42"/>
        <v>0</v>
      </c>
      <c r="BW81" s="11">
        <f t="shared" si="42"/>
        <v>0</v>
      </c>
      <c r="BX81" s="11">
        <f t="shared" si="42"/>
        <v>0</v>
      </c>
      <c r="BY81" s="11">
        <f t="shared" si="42"/>
        <v>0</v>
      </c>
      <c r="BZ81" s="11">
        <f t="shared" si="42"/>
        <v>0</v>
      </c>
      <c r="CA81" s="11">
        <f t="shared" si="42"/>
        <v>0</v>
      </c>
      <c r="CB81" s="11">
        <f t="shared" si="42"/>
        <v>0</v>
      </c>
      <c r="CC81" s="11">
        <f t="shared" si="42"/>
        <v>0</v>
      </c>
      <c r="CD81" s="11">
        <f t="shared" si="42"/>
        <v>0</v>
      </c>
      <c r="CE81" s="11">
        <f t="shared" si="42"/>
        <v>0</v>
      </c>
      <c r="CF81" s="11">
        <f t="shared" si="42"/>
        <v>0</v>
      </c>
      <c r="CG81" s="11">
        <f t="shared" si="42"/>
        <v>0</v>
      </c>
      <c r="CH81" s="11">
        <f t="shared" si="42"/>
        <v>0</v>
      </c>
      <c r="CI81" s="11">
        <f t="shared" si="42"/>
        <v>0</v>
      </c>
      <c r="CJ81" s="11">
        <f t="shared" si="42"/>
        <v>0</v>
      </c>
      <c r="CK81" s="11">
        <f t="shared" si="42"/>
        <v>0</v>
      </c>
      <c r="CL81" s="11">
        <f t="shared" si="42"/>
        <v>0</v>
      </c>
      <c r="CM81" s="11">
        <f t="shared" si="42"/>
        <v>0</v>
      </c>
      <c r="CN81" s="11">
        <f t="shared" si="42"/>
        <v>0</v>
      </c>
      <c r="CO81" s="11">
        <f t="shared" si="42"/>
        <v>0</v>
      </c>
      <c r="CP81" s="11">
        <f t="shared" si="42"/>
        <v>0</v>
      </c>
      <c r="CQ81" s="11">
        <f t="shared" si="42"/>
        <v>0</v>
      </c>
      <c r="CR81" s="11">
        <f t="shared" si="42"/>
        <v>0</v>
      </c>
      <c r="CS81" s="11">
        <f t="shared" si="42"/>
        <v>0</v>
      </c>
      <c r="CT81" s="11">
        <f t="shared" si="42"/>
        <v>0</v>
      </c>
      <c r="CU81" s="11">
        <f t="shared" si="42"/>
        <v>0</v>
      </c>
      <c r="CV81" s="11">
        <f t="shared" si="42"/>
        <v>0</v>
      </c>
      <c r="CW81" s="11">
        <f t="shared" si="42"/>
        <v>0</v>
      </c>
      <c r="CX81" s="11">
        <f t="shared" si="42"/>
        <v>0</v>
      </c>
      <c r="CY81" s="11">
        <f t="shared" si="42"/>
        <v>0</v>
      </c>
      <c r="CZ81" s="11">
        <f t="shared" si="42"/>
        <v>0</v>
      </c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</row>
    <row r="82" spans="1:122" ht="18" customHeight="1">
      <c r="A82" s="13" t="s">
        <v>59</v>
      </c>
      <c r="B82" s="14">
        <f>IFERROR(VLOOKUP(A82,PRICELIST!$A$3:$D$138,4,0),"-")</f>
        <v>276.11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9">
        <f t="shared" ref="CY82:CZ84" si="43">C82+E82+G82+I82+K82+M82+O82+Q82+S82+U82+W82+Y82+AA82+AC82+AE82+AG82+AI82+AK82+AM82+AO82+AQ82+AS82+AU82+AW82+AY82+BA82+BC82+BE82+BG82+BI82+BK82+BM82+BO82+BQ82+BS82+BU82+BW82+BY82+CA82+CC82+CE82+CG82+CI82+CK82+CM82+CO82+CQ82+CS82+CU82+CW82</f>
        <v>0</v>
      </c>
      <c r="CZ82" s="19">
        <f t="shared" si="43"/>
        <v>0</v>
      </c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</row>
    <row r="83" spans="1:122" ht="18" customHeight="1">
      <c r="A83" s="13" t="s">
        <v>60</v>
      </c>
      <c r="B83" s="14">
        <f>IFERROR(VLOOKUP(A83,PRICELIST!$A$3:$D$138,4,0),"-")</f>
        <v>75.540000000000006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9">
        <f t="shared" si="43"/>
        <v>0</v>
      </c>
      <c r="CZ83" s="19">
        <f t="shared" si="43"/>
        <v>0</v>
      </c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</row>
    <row r="84" spans="1:122" ht="18" customHeight="1">
      <c r="A84" s="13" t="s">
        <v>61</v>
      </c>
      <c r="B84" s="14">
        <f>IFERROR(VLOOKUP(A84,PRICELIST!$A$3:$D$138,4,0),"-")</f>
        <v>145.93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9">
        <f t="shared" si="43"/>
        <v>0</v>
      </c>
      <c r="CZ84" s="19">
        <f t="shared" si="43"/>
        <v>0</v>
      </c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</row>
    <row r="85" spans="1:122" ht="18" customHeight="1">
      <c r="A85" s="13" t="s">
        <v>62</v>
      </c>
      <c r="B85" s="14">
        <f>IFERROR(VLOOKUP(A85,PRICELIST!$A$3:$D$138,4,0),"-")</f>
        <v>149.79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9">
        <f>C85+E85+G85+I85+K85+M85+O85+Q85+S85+U85+W85+Y85+AA85+AC85+AE85+AG85+AI85+AK85+AM85+AO85+AQ85+AS85+AU85+AW85+AY85+BA85+BC85+BE85+BG85+BI85+BK85+BM85+BO85+BQ85+BS85+BU85+BW85+BY85+CA85+CC85+CE85+CG85+CI85+CK85+CM85+CO85+CQ85+CS85+CU85+CW85</f>
        <v>0</v>
      </c>
      <c r="CZ85" s="19">
        <f>D85+F85+H85+J85+L85+N85+P85+R85+T85+V85+X85+Z85+AB85+AD85+AF85+AH85+AJ85+AL85+AN85+AP85+AR85+AT85+AV85+AX85+AZ85+BB85+BD85+BF85+BH85+BJ85+BL85+BN85+BP85+BR85+BT85+BV85+BX85+BZ85+CB85+CD85+CF85+CH85+CJ85+CL85+CN85+CP85+CR85+CT85+CV85+CX85</f>
        <v>0</v>
      </c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</row>
    <row r="86" spans="1:122" ht="18" customHeight="1">
      <c r="A86" s="13" t="s">
        <v>87</v>
      </c>
      <c r="B86" s="14">
        <f>IFERROR(VLOOKUP(A86,PRICELIST!$A$3:$D$138,4,0),"-")</f>
        <v>192.86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9">
        <f>C86+E86+G86+I86+K86+M86+O86+Q86+S86+U86+W86+Y86+AA86+AC86+AE86+AG86+AI86+AK86+AM86+AO86+AQ86+AS86+AU86+AW86+AY86+BA86+BC86+BE86+BG86+BI86+BK86+BM86+BO86+BQ86+BS86+BU86+BW86+BY86+CA86+CC86+CE86+CG86+CI86+CK86+CM86+CO86+CQ86+CS86+CU86+CW86</f>
        <v>0</v>
      </c>
      <c r="CZ86" s="19">
        <f>D86+F86+H86+J86+L86+N86+P86+R86+T86+V86+X86+Z86+AB86+AD86+AF86+AH86+AJ86+AL86+AN86+AP86+AR86+AT86+AV86+AX86+AZ86+BB86+BD86+BF86+BH86+BJ86+BL86+BN86+BP86+BR86+BT86+BV86+BX86+BZ86+CB86+CD86+CF86+CH86+CJ86+CL86+CN86+CP86+CR86+CT86+CV86+CX86</f>
        <v>0</v>
      </c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</row>
    <row r="87" spans="1:122" ht="18" customHeight="1">
      <c r="A87" s="13" t="s">
        <v>122</v>
      </c>
      <c r="B87" s="14">
        <f>IFERROR(VLOOKUP(A87,PRICELIST!$A$3:$D$138,4,0),"-")</f>
        <v>104.79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9">
        <f t="shared" ref="CY87:CZ87" si="44">C87+E87+G87+I87+K87+M87+O87+Q87+S87+U87+W87+Y87+AA87+AC87+AE87+AG87+AI87+AK87+AM87+AO87+AQ87+AS87+AU87+AW87+AY87+BA87+BC87+BE87+BG87+BI87+BK87+BM87+BO87+BQ87+BS87+BU87+BW87+BY87+CA87+CC87+CE87+CG87+CI87+CK87+CM87+CO87+CQ87+CS87+CU87+CW87</f>
        <v>0</v>
      </c>
      <c r="CZ87" s="19">
        <f t="shared" si="44"/>
        <v>0</v>
      </c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</row>
    <row r="88" spans="1:122" ht="18" customHeight="1">
      <c r="A88" s="9" t="s">
        <v>88</v>
      </c>
      <c r="B88" s="10"/>
      <c r="C88" s="11">
        <f>SUMPRODUCT($B82:$B87,C82:C87)</f>
        <v>0</v>
      </c>
      <c r="D88" s="11">
        <f t="shared" ref="D88:BO88" si="45">SUMPRODUCT($B82:$B87,D82:D87)</f>
        <v>0</v>
      </c>
      <c r="E88" s="11">
        <f t="shared" si="45"/>
        <v>0</v>
      </c>
      <c r="F88" s="11">
        <f t="shared" si="45"/>
        <v>0</v>
      </c>
      <c r="G88" s="11">
        <f t="shared" si="45"/>
        <v>0</v>
      </c>
      <c r="H88" s="11">
        <f t="shared" si="45"/>
        <v>0</v>
      </c>
      <c r="I88" s="11">
        <f t="shared" si="45"/>
        <v>0</v>
      </c>
      <c r="J88" s="11">
        <f t="shared" si="45"/>
        <v>0</v>
      </c>
      <c r="K88" s="11">
        <f t="shared" si="45"/>
        <v>0</v>
      </c>
      <c r="L88" s="11">
        <f t="shared" si="45"/>
        <v>0</v>
      </c>
      <c r="M88" s="11">
        <f t="shared" si="45"/>
        <v>0</v>
      </c>
      <c r="N88" s="11">
        <f t="shared" si="45"/>
        <v>0</v>
      </c>
      <c r="O88" s="11">
        <f t="shared" si="45"/>
        <v>0</v>
      </c>
      <c r="P88" s="11">
        <f t="shared" si="45"/>
        <v>0</v>
      </c>
      <c r="Q88" s="11">
        <f t="shared" si="45"/>
        <v>0</v>
      </c>
      <c r="R88" s="11">
        <f t="shared" si="45"/>
        <v>0</v>
      </c>
      <c r="S88" s="11">
        <f t="shared" si="45"/>
        <v>0</v>
      </c>
      <c r="T88" s="11">
        <f t="shared" si="45"/>
        <v>0</v>
      </c>
      <c r="U88" s="11">
        <f t="shared" si="45"/>
        <v>0</v>
      </c>
      <c r="V88" s="11">
        <f t="shared" si="45"/>
        <v>0</v>
      </c>
      <c r="W88" s="11">
        <f t="shared" si="45"/>
        <v>0</v>
      </c>
      <c r="X88" s="11">
        <f t="shared" si="45"/>
        <v>0</v>
      </c>
      <c r="Y88" s="11">
        <f t="shared" si="45"/>
        <v>0</v>
      </c>
      <c r="Z88" s="11">
        <f t="shared" si="45"/>
        <v>0</v>
      </c>
      <c r="AA88" s="11">
        <f t="shared" si="45"/>
        <v>0</v>
      </c>
      <c r="AB88" s="11">
        <f t="shared" si="45"/>
        <v>0</v>
      </c>
      <c r="AC88" s="11">
        <f t="shared" si="45"/>
        <v>0</v>
      </c>
      <c r="AD88" s="11">
        <f t="shared" si="45"/>
        <v>0</v>
      </c>
      <c r="AE88" s="11">
        <f t="shared" si="45"/>
        <v>0</v>
      </c>
      <c r="AF88" s="11">
        <f t="shared" si="45"/>
        <v>0</v>
      </c>
      <c r="AG88" s="11">
        <f t="shared" si="45"/>
        <v>0</v>
      </c>
      <c r="AH88" s="11">
        <f t="shared" si="45"/>
        <v>0</v>
      </c>
      <c r="AI88" s="11">
        <f t="shared" si="45"/>
        <v>0</v>
      </c>
      <c r="AJ88" s="11">
        <f t="shared" si="45"/>
        <v>0</v>
      </c>
      <c r="AK88" s="11">
        <f t="shared" si="45"/>
        <v>0</v>
      </c>
      <c r="AL88" s="11">
        <f t="shared" si="45"/>
        <v>0</v>
      </c>
      <c r="AM88" s="11">
        <f t="shared" si="45"/>
        <v>0</v>
      </c>
      <c r="AN88" s="11">
        <f t="shared" si="45"/>
        <v>0</v>
      </c>
      <c r="AO88" s="11">
        <f t="shared" si="45"/>
        <v>0</v>
      </c>
      <c r="AP88" s="11">
        <f t="shared" si="45"/>
        <v>0</v>
      </c>
      <c r="AQ88" s="11">
        <f t="shared" si="45"/>
        <v>0</v>
      </c>
      <c r="AR88" s="11">
        <f t="shared" si="45"/>
        <v>0</v>
      </c>
      <c r="AS88" s="11">
        <f t="shared" si="45"/>
        <v>0</v>
      </c>
      <c r="AT88" s="11">
        <f t="shared" si="45"/>
        <v>0</v>
      </c>
      <c r="AU88" s="11">
        <f t="shared" si="45"/>
        <v>0</v>
      </c>
      <c r="AV88" s="11">
        <f t="shared" si="45"/>
        <v>0</v>
      </c>
      <c r="AW88" s="11">
        <f t="shared" si="45"/>
        <v>0</v>
      </c>
      <c r="AX88" s="11">
        <f t="shared" si="45"/>
        <v>0</v>
      </c>
      <c r="AY88" s="11">
        <f t="shared" si="45"/>
        <v>0</v>
      </c>
      <c r="AZ88" s="11">
        <f t="shared" si="45"/>
        <v>0</v>
      </c>
      <c r="BA88" s="11">
        <f t="shared" si="45"/>
        <v>0</v>
      </c>
      <c r="BB88" s="11">
        <f t="shared" si="45"/>
        <v>0</v>
      </c>
      <c r="BC88" s="11">
        <f t="shared" si="45"/>
        <v>0</v>
      </c>
      <c r="BD88" s="11">
        <f t="shared" si="45"/>
        <v>0</v>
      </c>
      <c r="BE88" s="11">
        <f t="shared" si="45"/>
        <v>0</v>
      </c>
      <c r="BF88" s="11">
        <f t="shared" si="45"/>
        <v>0</v>
      </c>
      <c r="BG88" s="11">
        <f t="shared" si="45"/>
        <v>0</v>
      </c>
      <c r="BH88" s="11">
        <f t="shared" si="45"/>
        <v>0</v>
      </c>
      <c r="BI88" s="11">
        <f t="shared" si="45"/>
        <v>0</v>
      </c>
      <c r="BJ88" s="11">
        <f t="shared" si="45"/>
        <v>0</v>
      </c>
      <c r="BK88" s="11">
        <f t="shared" si="45"/>
        <v>0</v>
      </c>
      <c r="BL88" s="11">
        <f t="shared" si="45"/>
        <v>0</v>
      </c>
      <c r="BM88" s="11">
        <f t="shared" si="45"/>
        <v>0</v>
      </c>
      <c r="BN88" s="11">
        <f t="shared" si="45"/>
        <v>0</v>
      </c>
      <c r="BO88" s="11">
        <f t="shared" si="45"/>
        <v>0</v>
      </c>
      <c r="BP88" s="11">
        <f t="shared" ref="BP88:CZ88" si="46">SUMPRODUCT($B82:$B87,BP82:BP87)</f>
        <v>0</v>
      </c>
      <c r="BQ88" s="11">
        <f t="shared" si="46"/>
        <v>0</v>
      </c>
      <c r="BR88" s="11">
        <f t="shared" si="46"/>
        <v>0</v>
      </c>
      <c r="BS88" s="11">
        <f t="shared" si="46"/>
        <v>0</v>
      </c>
      <c r="BT88" s="11">
        <f t="shared" si="46"/>
        <v>0</v>
      </c>
      <c r="BU88" s="11">
        <f t="shared" si="46"/>
        <v>0</v>
      </c>
      <c r="BV88" s="11">
        <f t="shared" si="46"/>
        <v>0</v>
      </c>
      <c r="BW88" s="11">
        <f t="shared" si="46"/>
        <v>0</v>
      </c>
      <c r="BX88" s="11">
        <f t="shared" si="46"/>
        <v>0</v>
      </c>
      <c r="BY88" s="11">
        <f t="shared" si="46"/>
        <v>0</v>
      </c>
      <c r="BZ88" s="11">
        <f t="shared" si="46"/>
        <v>0</v>
      </c>
      <c r="CA88" s="11">
        <f t="shared" si="46"/>
        <v>0</v>
      </c>
      <c r="CB88" s="11">
        <f t="shared" si="46"/>
        <v>0</v>
      </c>
      <c r="CC88" s="11">
        <f t="shared" si="46"/>
        <v>0</v>
      </c>
      <c r="CD88" s="11">
        <f t="shared" si="46"/>
        <v>0</v>
      </c>
      <c r="CE88" s="11">
        <f t="shared" si="46"/>
        <v>0</v>
      </c>
      <c r="CF88" s="11">
        <f t="shared" si="46"/>
        <v>0</v>
      </c>
      <c r="CG88" s="11">
        <f t="shared" si="46"/>
        <v>0</v>
      </c>
      <c r="CH88" s="11">
        <f t="shared" si="46"/>
        <v>0</v>
      </c>
      <c r="CI88" s="11">
        <f t="shared" si="46"/>
        <v>0</v>
      </c>
      <c r="CJ88" s="11">
        <f t="shared" si="46"/>
        <v>0</v>
      </c>
      <c r="CK88" s="11">
        <f t="shared" si="46"/>
        <v>0</v>
      </c>
      <c r="CL88" s="11">
        <f t="shared" si="46"/>
        <v>0</v>
      </c>
      <c r="CM88" s="11">
        <f t="shared" si="46"/>
        <v>0</v>
      </c>
      <c r="CN88" s="11">
        <f t="shared" si="46"/>
        <v>0</v>
      </c>
      <c r="CO88" s="11">
        <f t="shared" si="46"/>
        <v>0</v>
      </c>
      <c r="CP88" s="11">
        <f t="shared" si="46"/>
        <v>0</v>
      </c>
      <c r="CQ88" s="11">
        <f t="shared" si="46"/>
        <v>0</v>
      </c>
      <c r="CR88" s="11">
        <f t="shared" si="46"/>
        <v>0</v>
      </c>
      <c r="CS88" s="11">
        <f t="shared" si="46"/>
        <v>0</v>
      </c>
      <c r="CT88" s="11">
        <f t="shared" si="46"/>
        <v>0</v>
      </c>
      <c r="CU88" s="11">
        <f t="shared" si="46"/>
        <v>0</v>
      </c>
      <c r="CV88" s="11">
        <f t="shared" si="46"/>
        <v>0</v>
      </c>
      <c r="CW88" s="11">
        <f t="shared" si="46"/>
        <v>0</v>
      </c>
      <c r="CX88" s="11">
        <f t="shared" si="46"/>
        <v>0</v>
      </c>
      <c r="CY88" s="11">
        <f t="shared" si="46"/>
        <v>0</v>
      </c>
      <c r="CZ88" s="11">
        <f t="shared" si="46"/>
        <v>0</v>
      </c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</row>
    <row r="89" spans="1:122" ht="18" customHeight="1">
      <c r="A89" s="13" t="s">
        <v>63</v>
      </c>
      <c r="B89" s="14">
        <f>IFERROR(VLOOKUP(A89,PRICELIST!$A$3:$D$138,4,0),"-")</f>
        <v>172.53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9">
        <f t="shared" ref="CY89:CZ91" si="47">C89+E89+G89+I89+K89+M89+O89+Q89+S89+U89+W89+Y89+AA89+AC89+AE89+AG89+AI89+AK89+AM89+AO89+AQ89+AS89+AU89+AW89+AY89+BA89+BC89+BE89+BG89+BI89+BK89+BM89+BO89+BQ89+BS89+BU89+BW89+BY89+CA89+CC89+CE89+CG89+CI89+CK89+CM89+CO89+CQ89+CS89+CU89+CW89</f>
        <v>0</v>
      </c>
      <c r="CZ89" s="19">
        <f t="shared" si="47"/>
        <v>0</v>
      </c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</row>
    <row r="90" spans="1:122" ht="18" customHeight="1">
      <c r="A90" s="13" t="s">
        <v>64</v>
      </c>
      <c r="B90" s="14">
        <f>IFERROR(VLOOKUP(A90,PRICELIST!$A$3:$D$138,4,0),"-")</f>
        <v>50.46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9">
        <f t="shared" si="47"/>
        <v>0</v>
      </c>
      <c r="CZ90" s="19">
        <f t="shared" si="47"/>
        <v>0</v>
      </c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</row>
    <row r="91" spans="1:122" ht="18" customHeight="1">
      <c r="A91" s="13" t="s">
        <v>65</v>
      </c>
      <c r="B91" s="14">
        <f>IFERROR(VLOOKUP(A91,PRICELIST!$A$3:$D$138,4,0),"-")</f>
        <v>99.64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9">
        <f t="shared" si="47"/>
        <v>0</v>
      </c>
      <c r="CZ91" s="19">
        <f t="shared" si="47"/>
        <v>0</v>
      </c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</row>
    <row r="92" spans="1:122" ht="18" customHeight="1">
      <c r="A92" s="9" t="s">
        <v>66</v>
      </c>
      <c r="B92" s="10"/>
      <c r="C92" s="11">
        <f>SUMPRODUCT($B89:$B91,C89:C91)</f>
        <v>0</v>
      </c>
      <c r="D92" s="11">
        <f t="shared" ref="D92:BO92" si="48">SUMPRODUCT($B89:$B91,D89:D91)</f>
        <v>0</v>
      </c>
      <c r="E92" s="11">
        <f t="shared" si="48"/>
        <v>0</v>
      </c>
      <c r="F92" s="11">
        <f t="shared" si="48"/>
        <v>0</v>
      </c>
      <c r="G92" s="11">
        <f t="shared" si="48"/>
        <v>0</v>
      </c>
      <c r="H92" s="11">
        <f t="shared" si="48"/>
        <v>0</v>
      </c>
      <c r="I92" s="11">
        <f t="shared" si="48"/>
        <v>0</v>
      </c>
      <c r="J92" s="11">
        <f t="shared" si="48"/>
        <v>0</v>
      </c>
      <c r="K92" s="11">
        <f t="shared" si="48"/>
        <v>0</v>
      </c>
      <c r="L92" s="11">
        <f t="shared" si="48"/>
        <v>0</v>
      </c>
      <c r="M92" s="11">
        <f t="shared" si="48"/>
        <v>0</v>
      </c>
      <c r="N92" s="11">
        <f t="shared" si="48"/>
        <v>0</v>
      </c>
      <c r="O92" s="11">
        <f t="shared" si="48"/>
        <v>0</v>
      </c>
      <c r="P92" s="11">
        <f t="shared" si="48"/>
        <v>0</v>
      </c>
      <c r="Q92" s="11">
        <f t="shared" si="48"/>
        <v>0</v>
      </c>
      <c r="R92" s="11">
        <f t="shared" si="48"/>
        <v>0</v>
      </c>
      <c r="S92" s="11">
        <f t="shared" si="48"/>
        <v>0</v>
      </c>
      <c r="T92" s="11">
        <f t="shared" si="48"/>
        <v>0</v>
      </c>
      <c r="U92" s="11">
        <f t="shared" si="48"/>
        <v>0</v>
      </c>
      <c r="V92" s="11">
        <f t="shared" si="48"/>
        <v>0</v>
      </c>
      <c r="W92" s="11">
        <f t="shared" si="48"/>
        <v>0</v>
      </c>
      <c r="X92" s="11">
        <f t="shared" si="48"/>
        <v>0</v>
      </c>
      <c r="Y92" s="11">
        <f t="shared" si="48"/>
        <v>0</v>
      </c>
      <c r="Z92" s="11">
        <f t="shared" si="48"/>
        <v>0</v>
      </c>
      <c r="AA92" s="11">
        <f t="shared" si="48"/>
        <v>0</v>
      </c>
      <c r="AB92" s="11">
        <f t="shared" si="48"/>
        <v>0</v>
      </c>
      <c r="AC92" s="11">
        <f t="shared" si="48"/>
        <v>0</v>
      </c>
      <c r="AD92" s="11">
        <f t="shared" si="48"/>
        <v>0</v>
      </c>
      <c r="AE92" s="11">
        <f t="shared" si="48"/>
        <v>0</v>
      </c>
      <c r="AF92" s="11">
        <f t="shared" si="48"/>
        <v>0</v>
      </c>
      <c r="AG92" s="11">
        <f t="shared" si="48"/>
        <v>0</v>
      </c>
      <c r="AH92" s="11">
        <f t="shared" si="48"/>
        <v>0</v>
      </c>
      <c r="AI92" s="11">
        <f t="shared" si="48"/>
        <v>0</v>
      </c>
      <c r="AJ92" s="11">
        <f t="shared" si="48"/>
        <v>0</v>
      </c>
      <c r="AK92" s="11">
        <f t="shared" si="48"/>
        <v>0</v>
      </c>
      <c r="AL92" s="11">
        <f t="shared" si="48"/>
        <v>0</v>
      </c>
      <c r="AM92" s="11">
        <f t="shared" si="48"/>
        <v>0</v>
      </c>
      <c r="AN92" s="11">
        <f t="shared" si="48"/>
        <v>0</v>
      </c>
      <c r="AO92" s="11">
        <f t="shared" si="48"/>
        <v>0</v>
      </c>
      <c r="AP92" s="11">
        <f t="shared" si="48"/>
        <v>0</v>
      </c>
      <c r="AQ92" s="11">
        <f t="shared" si="48"/>
        <v>0</v>
      </c>
      <c r="AR92" s="11">
        <f t="shared" si="48"/>
        <v>0</v>
      </c>
      <c r="AS92" s="11">
        <f t="shared" si="48"/>
        <v>0</v>
      </c>
      <c r="AT92" s="11">
        <f t="shared" si="48"/>
        <v>0</v>
      </c>
      <c r="AU92" s="11">
        <f t="shared" si="48"/>
        <v>0</v>
      </c>
      <c r="AV92" s="11">
        <f t="shared" si="48"/>
        <v>0</v>
      </c>
      <c r="AW92" s="11">
        <f t="shared" si="48"/>
        <v>0</v>
      </c>
      <c r="AX92" s="11">
        <f t="shared" si="48"/>
        <v>0</v>
      </c>
      <c r="AY92" s="11">
        <f t="shared" si="48"/>
        <v>0</v>
      </c>
      <c r="AZ92" s="11">
        <f t="shared" si="48"/>
        <v>0</v>
      </c>
      <c r="BA92" s="11">
        <f t="shared" si="48"/>
        <v>0</v>
      </c>
      <c r="BB92" s="11">
        <f t="shared" si="48"/>
        <v>0</v>
      </c>
      <c r="BC92" s="11">
        <f t="shared" si="48"/>
        <v>0</v>
      </c>
      <c r="BD92" s="11">
        <f t="shared" si="48"/>
        <v>0</v>
      </c>
      <c r="BE92" s="11">
        <f t="shared" si="48"/>
        <v>0</v>
      </c>
      <c r="BF92" s="11">
        <f t="shared" si="48"/>
        <v>0</v>
      </c>
      <c r="BG92" s="11">
        <f t="shared" si="48"/>
        <v>0</v>
      </c>
      <c r="BH92" s="11">
        <f t="shared" si="48"/>
        <v>0</v>
      </c>
      <c r="BI92" s="11">
        <f t="shared" si="48"/>
        <v>0</v>
      </c>
      <c r="BJ92" s="11">
        <f t="shared" si="48"/>
        <v>0</v>
      </c>
      <c r="BK92" s="11">
        <f t="shared" si="48"/>
        <v>0</v>
      </c>
      <c r="BL92" s="11">
        <f t="shared" si="48"/>
        <v>0</v>
      </c>
      <c r="BM92" s="11">
        <f t="shared" si="48"/>
        <v>0</v>
      </c>
      <c r="BN92" s="11">
        <f t="shared" si="48"/>
        <v>0</v>
      </c>
      <c r="BO92" s="11">
        <f t="shared" si="48"/>
        <v>0</v>
      </c>
      <c r="BP92" s="11">
        <f t="shared" ref="BP92:CZ92" si="49">SUMPRODUCT($B89:$B91,BP89:BP91)</f>
        <v>0</v>
      </c>
      <c r="BQ92" s="11">
        <f t="shared" si="49"/>
        <v>0</v>
      </c>
      <c r="BR92" s="11">
        <f t="shared" si="49"/>
        <v>0</v>
      </c>
      <c r="BS92" s="11">
        <f t="shared" si="49"/>
        <v>0</v>
      </c>
      <c r="BT92" s="11">
        <f t="shared" si="49"/>
        <v>0</v>
      </c>
      <c r="BU92" s="11">
        <f t="shared" si="49"/>
        <v>0</v>
      </c>
      <c r="BV92" s="11">
        <f t="shared" si="49"/>
        <v>0</v>
      </c>
      <c r="BW92" s="11">
        <f t="shared" si="49"/>
        <v>0</v>
      </c>
      <c r="BX92" s="11">
        <f t="shared" si="49"/>
        <v>0</v>
      </c>
      <c r="BY92" s="11">
        <f t="shared" si="49"/>
        <v>0</v>
      </c>
      <c r="BZ92" s="11">
        <f t="shared" si="49"/>
        <v>0</v>
      </c>
      <c r="CA92" s="11">
        <f t="shared" si="49"/>
        <v>0</v>
      </c>
      <c r="CB92" s="11">
        <f t="shared" si="49"/>
        <v>0</v>
      </c>
      <c r="CC92" s="11">
        <f t="shared" si="49"/>
        <v>0</v>
      </c>
      <c r="CD92" s="11">
        <f t="shared" si="49"/>
        <v>0</v>
      </c>
      <c r="CE92" s="11">
        <f t="shared" si="49"/>
        <v>0</v>
      </c>
      <c r="CF92" s="11">
        <f t="shared" si="49"/>
        <v>0</v>
      </c>
      <c r="CG92" s="11">
        <f t="shared" si="49"/>
        <v>0</v>
      </c>
      <c r="CH92" s="11">
        <f t="shared" si="49"/>
        <v>0</v>
      </c>
      <c r="CI92" s="11">
        <f t="shared" si="49"/>
        <v>0</v>
      </c>
      <c r="CJ92" s="11">
        <f t="shared" si="49"/>
        <v>0</v>
      </c>
      <c r="CK92" s="11">
        <f t="shared" si="49"/>
        <v>0</v>
      </c>
      <c r="CL92" s="11">
        <f t="shared" si="49"/>
        <v>0</v>
      </c>
      <c r="CM92" s="11">
        <f t="shared" si="49"/>
        <v>0</v>
      </c>
      <c r="CN92" s="11">
        <f t="shared" si="49"/>
        <v>0</v>
      </c>
      <c r="CO92" s="11">
        <f t="shared" si="49"/>
        <v>0</v>
      </c>
      <c r="CP92" s="11">
        <f t="shared" si="49"/>
        <v>0</v>
      </c>
      <c r="CQ92" s="11">
        <f t="shared" si="49"/>
        <v>0</v>
      </c>
      <c r="CR92" s="11">
        <f t="shared" si="49"/>
        <v>0</v>
      </c>
      <c r="CS92" s="11">
        <f t="shared" si="49"/>
        <v>0</v>
      </c>
      <c r="CT92" s="11">
        <f t="shared" si="49"/>
        <v>0</v>
      </c>
      <c r="CU92" s="11">
        <f t="shared" si="49"/>
        <v>0</v>
      </c>
      <c r="CV92" s="11">
        <f t="shared" si="49"/>
        <v>0</v>
      </c>
      <c r="CW92" s="11">
        <f t="shared" si="49"/>
        <v>0</v>
      </c>
      <c r="CX92" s="11">
        <f t="shared" si="49"/>
        <v>0</v>
      </c>
      <c r="CY92" s="11">
        <f t="shared" si="49"/>
        <v>0</v>
      </c>
      <c r="CZ92" s="11">
        <f t="shared" si="49"/>
        <v>0</v>
      </c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</row>
    <row r="93" spans="1:122" ht="18" customHeight="1">
      <c r="A93" s="13" t="s">
        <v>67</v>
      </c>
      <c r="B93" s="14">
        <f>IFERROR(VLOOKUP(A93,PRICELIST!$A$3:$D$138,4,0),"-")</f>
        <v>140.13999999999999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9">
        <f t="shared" ref="CY93:CZ94" si="50">C93+E93+G93+I93+K93+M93+O93+Q93+S93+U93+W93+Y93+AA93+AC93+AE93+AG93+AI93+AK93+AM93+AO93+AQ93+AS93+AU93+AW93+AY93+BA93+BC93+BE93+BG93+BI93+BK93+BM93+BO93+BQ93+BS93+BU93+BW93+BY93+CA93+CC93+CE93+CG93+CI93+CK93+CM93+CO93+CQ93+CS93+CU93+CW93</f>
        <v>0</v>
      </c>
      <c r="CZ93" s="19">
        <f t="shared" si="50"/>
        <v>0</v>
      </c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</row>
    <row r="94" spans="1:122" ht="18" customHeight="1">
      <c r="A94" s="13" t="s">
        <v>68</v>
      </c>
      <c r="B94" s="14">
        <f>IFERROR(VLOOKUP(A94,PRICELIST!$A$3:$D$138,4,0),"-")</f>
        <v>203.14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9">
        <f t="shared" si="50"/>
        <v>0</v>
      </c>
      <c r="CZ94" s="19">
        <f t="shared" si="50"/>
        <v>0</v>
      </c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</row>
    <row r="95" spans="1:122" ht="18" customHeight="1">
      <c r="A95" s="9" t="s">
        <v>69</v>
      </c>
      <c r="B95" s="10"/>
      <c r="C95" s="11">
        <f>SUMPRODUCT($B93:$B94,C93:C94)</f>
        <v>0</v>
      </c>
      <c r="D95" s="11">
        <f t="shared" ref="D95:BO95" si="51">SUMPRODUCT($B93:$B94,D93:D94)</f>
        <v>0</v>
      </c>
      <c r="E95" s="11">
        <f t="shared" si="51"/>
        <v>0</v>
      </c>
      <c r="F95" s="11">
        <f t="shared" si="51"/>
        <v>0</v>
      </c>
      <c r="G95" s="11">
        <f t="shared" si="51"/>
        <v>0</v>
      </c>
      <c r="H95" s="11">
        <f t="shared" si="51"/>
        <v>0</v>
      </c>
      <c r="I95" s="11">
        <f t="shared" si="51"/>
        <v>0</v>
      </c>
      <c r="J95" s="11">
        <f t="shared" si="51"/>
        <v>0</v>
      </c>
      <c r="K95" s="11">
        <f t="shared" si="51"/>
        <v>0</v>
      </c>
      <c r="L95" s="11">
        <f t="shared" si="51"/>
        <v>0</v>
      </c>
      <c r="M95" s="11">
        <f t="shared" si="51"/>
        <v>0</v>
      </c>
      <c r="N95" s="11">
        <f t="shared" si="51"/>
        <v>0</v>
      </c>
      <c r="O95" s="11">
        <f t="shared" si="51"/>
        <v>0</v>
      </c>
      <c r="P95" s="11">
        <f t="shared" si="51"/>
        <v>0</v>
      </c>
      <c r="Q95" s="11">
        <f t="shared" si="51"/>
        <v>0</v>
      </c>
      <c r="R95" s="11">
        <f t="shared" si="51"/>
        <v>0</v>
      </c>
      <c r="S95" s="11">
        <f t="shared" si="51"/>
        <v>0</v>
      </c>
      <c r="T95" s="11">
        <f t="shared" si="51"/>
        <v>0</v>
      </c>
      <c r="U95" s="11">
        <f t="shared" si="51"/>
        <v>0</v>
      </c>
      <c r="V95" s="11">
        <f t="shared" si="51"/>
        <v>0</v>
      </c>
      <c r="W95" s="11">
        <f t="shared" si="51"/>
        <v>0</v>
      </c>
      <c r="X95" s="11">
        <f t="shared" si="51"/>
        <v>0</v>
      </c>
      <c r="Y95" s="11">
        <f t="shared" si="51"/>
        <v>0</v>
      </c>
      <c r="Z95" s="11">
        <f t="shared" si="51"/>
        <v>0</v>
      </c>
      <c r="AA95" s="11">
        <f t="shared" si="51"/>
        <v>0</v>
      </c>
      <c r="AB95" s="11">
        <f t="shared" si="51"/>
        <v>0</v>
      </c>
      <c r="AC95" s="11">
        <f t="shared" si="51"/>
        <v>0</v>
      </c>
      <c r="AD95" s="11">
        <f t="shared" si="51"/>
        <v>0</v>
      </c>
      <c r="AE95" s="11">
        <f t="shared" si="51"/>
        <v>0</v>
      </c>
      <c r="AF95" s="11">
        <f t="shared" si="51"/>
        <v>0</v>
      </c>
      <c r="AG95" s="11">
        <f t="shared" si="51"/>
        <v>0</v>
      </c>
      <c r="AH95" s="11">
        <f t="shared" si="51"/>
        <v>0</v>
      </c>
      <c r="AI95" s="11">
        <f t="shared" si="51"/>
        <v>0</v>
      </c>
      <c r="AJ95" s="11">
        <f t="shared" si="51"/>
        <v>0</v>
      </c>
      <c r="AK95" s="11">
        <f t="shared" si="51"/>
        <v>0</v>
      </c>
      <c r="AL95" s="11">
        <f t="shared" si="51"/>
        <v>0</v>
      </c>
      <c r="AM95" s="11">
        <f t="shared" si="51"/>
        <v>0</v>
      </c>
      <c r="AN95" s="11">
        <f t="shared" si="51"/>
        <v>0</v>
      </c>
      <c r="AO95" s="11">
        <f t="shared" si="51"/>
        <v>0</v>
      </c>
      <c r="AP95" s="11">
        <f t="shared" si="51"/>
        <v>0</v>
      </c>
      <c r="AQ95" s="11">
        <f t="shared" si="51"/>
        <v>0</v>
      </c>
      <c r="AR95" s="11">
        <f t="shared" si="51"/>
        <v>0</v>
      </c>
      <c r="AS95" s="11">
        <f t="shared" si="51"/>
        <v>0</v>
      </c>
      <c r="AT95" s="11">
        <f t="shared" si="51"/>
        <v>0</v>
      </c>
      <c r="AU95" s="11">
        <f t="shared" si="51"/>
        <v>0</v>
      </c>
      <c r="AV95" s="11">
        <f t="shared" si="51"/>
        <v>0</v>
      </c>
      <c r="AW95" s="11">
        <f t="shared" si="51"/>
        <v>0</v>
      </c>
      <c r="AX95" s="11">
        <f t="shared" si="51"/>
        <v>0</v>
      </c>
      <c r="AY95" s="11">
        <f t="shared" si="51"/>
        <v>0</v>
      </c>
      <c r="AZ95" s="11">
        <f t="shared" si="51"/>
        <v>0</v>
      </c>
      <c r="BA95" s="11">
        <f t="shared" si="51"/>
        <v>0</v>
      </c>
      <c r="BB95" s="11">
        <f t="shared" si="51"/>
        <v>0</v>
      </c>
      <c r="BC95" s="11">
        <f t="shared" si="51"/>
        <v>0</v>
      </c>
      <c r="BD95" s="11">
        <f t="shared" si="51"/>
        <v>0</v>
      </c>
      <c r="BE95" s="11">
        <f t="shared" si="51"/>
        <v>0</v>
      </c>
      <c r="BF95" s="11">
        <f t="shared" si="51"/>
        <v>0</v>
      </c>
      <c r="BG95" s="11">
        <f t="shared" si="51"/>
        <v>0</v>
      </c>
      <c r="BH95" s="11">
        <f t="shared" si="51"/>
        <v>0</v>
      </c>
      <c r="BI95" s="11">
        <f t="shared" si="51"/>
        <v>0</v>
      </c>
      <c r="BJ95" s="11">
        <f t="shared" si="51"/>
        <v>0</v>
      </c>
      <c r="BK95" s="11">
        <f t="shared" si="51"/>
        <v>0</v>
      </c>
      <c r="BL95" s="11">
        <f t="shared" si="51"/>
        <v>0</v>
      </c>
      <c r="BM95" s="11">
        <f t="shared" si="51"/>
        <v>0</v>
      </c>
      <c r="BN95" s="11">
        <f t="shared" si="51"/>
        <v>0</v>
      </c>
      <c r="BO95" s="11">
        <f t="shared" si="51"/>
        <v>0</v>
      </c>
      <c r="BP95" s="11">
        <f t="shared" ref="BP95:CZ95" si="52">SUMPRODUCT($B93:$B94,BP93:BP94)</f>
        <v>0</v>
      </c>
      <c r="BQ95" s="11">
        <f t="shared" si="52"/>
        <v>0</v>
      </c>
      <c r="BR95" s="11">
        <f t="shared" si="52"/>
        <v>0</v>
      </c>
      <c r="BS95" s="11">
        <f t="shared" si="52"/>
        <v>0</v>
      </c>
      <c r="BT95" s="11">
        <f t="shared" si="52"/>
        <v>0</v>
      </c>
      <c r="BU95" s="11">
        <f t="shared" si="52"/>
        <v>0</v>
      </c>
      <c r="BV95" s="11">
        <f t="shared" si="52"/>
        <v>0</v>
      </c>
      <c r="BW95" s="11">
        <f t="shared" si="52"/>
        <v>0</v>
      </c>
      <c r="BX95" s="11">
        <f t="shared" si="52"/>
        <v>0</v>
      </c>
      <c r="BY95" s="11">
        <f t="shared" si="52"/>
        <v>0</v>
      </c>
      <c r="BZ95" s="11">
        <f t="shared" si="52"/>
        <v>0</v>
      </c>
      <c r="CA95" s="11">
        <f t="shared" si="52"/>
        <v>0</v>
      </c>
      <c r="CB95" s="11">
        <f t="shared" si="52"/>
        <v>0</v>
      </c>
      <c r="CC95" s="11">
        <f t="shared" si="52"/>
        <v>0</v>
      </c>
      <c r="CD95" s="11">
        <f t="shared" si="52"/>
        <v>0</v>
      </c>
      <c r="CE95" s="11">
        <f t="shared" si="52"/>
        <v>0</v>
      </c>
      <c r="CF95" s="11">
        <f t="shared" si="52"/>
        <v>0</v>
      </c>
      <c r="CG95" s="11">
        <f t="shared" si="52"/>
        <v>0</v>
      </c>
      <c r="CH95" s="11">
        <f t="shared" si="52"/>
        <v>0</v>
      </c>
      <c r="CI95" s="11">
        <f t="shared" si="52"/>
        <v>0</v>
      </c>
      <c r="CJ95" s="11">
        <f t="shared" si="52"/>
        <v>0</v>
      </c>
      <c r="CK95" s="11">
        <f t="shared" si="52"/>
        <v>0</v>
      </c>
      <c r="CL95" s="11">
        <f t="shared" si="52"/>
        <v>0</v>
      </c>
      <c r="CM95" s="11">
        <f t="shared" si="52"/>
        <v>0</v>
      </c>
      <c r="CN95" s="11">
        <f t="shared" si="52"/>
        <v>0</v>
      </c>
      <c r="CO95" s="11">
        <f t="shared" si="52"/>
        <v>0</v>
      </c>
      <c r="CP95" s="11">
        <f t="shared" si="52"/>
        <v>0</v>
      </c>
      <c r="CQ95" s="11">
        <f t="shared" si="52"/>
        <v>0</v>
      </c>
      <c r="CR95" s="11">
        <f t="shared" si="52"/>
        <v>0</v>
      </c>
      <c r="CS95" s="11">
        <f t="shared" si="52"/>
        <v>0</v>
      </c>
      <c r="CT95" s="11">
        <f t="shared" si="52"/>
        <v>0</v>
      </c>
      <c r="CU95" s="11">
        <f t="shared" si="52"/>
        <v>0</v>
      </c>
      <c r="CV95" s="11">
        <f t="shared" si="52"/>
        <v>0</v>
      </c>
      <c r="CW95" s="11">
        <f t="shared" si="52"/>
        <v>0</v>
      </c>
      <c r="CX95" s="11">
        <f t="shared" si="52"/>
        <v>0</v>
      </c>
      <c r="CY95" s="11">
        <f t="shared" si="52"/>
        <v>0</v>
      </c>
      <c r="CZ95" s="11">
        <f t="shared" si="52"/>
        <v>0</v>
      </c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</row>
    <row r="96" spans="1:122" ht="18" customHeight="1">
      <c r="A96" s="34" t="s">
        <v>126</v>
      </c>
      <c r="B96" s="14">
        <f>IFERROR(VLOOKUP(A96,PRICELIST!$A$3:$D$138,4,0),"-")</f>
        <v>201.54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9">
        <f t="shared" ref="CY96:CZ98" si="53">C96+E96+G96+I96+K96+M96+O96+Q96+S96+U96+W96+Y96+AA96+AC96+AE96+AG96+AI96+AK96+AM96+AO96+AQ96+AS96+AU96+AW96+AY96+BA96+BC96+BE96+BG96+BI96+BK96+BM96+BO96+BQ96+BS96+BU96+BW96+BY96+CA96+CC96+CE96+CG96+CI96+CK96+CM96+CO96+CQ96+CS96+CU96+CW96</f>
        <v>0</v>
      </c>
      <c r="CZ96" s="19">
        <f t="shared" si="53"/>
        <v>0</v>
      </c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</row>
    <row r="97" spans="1:122" ht="18" customHeight="1">
      <c r="A97" s="13" t="s">
        <v>123</v>
      </c>
      <c r="B97" s="14">
        <f>IFERROR(VLOOKUP(A97,PRICELIST!$A$3:$D$138,4,0),"-")</f>
        <v>225.64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9">
        <f t="shared" si="53"/>
        <v>0</v>
      </c>
      <c r="CZ97" s="19">
        <f t="shared" si="53"/>
        <v>0</v>
      </c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</row>
    <row r="98" spans="1:122" ht="18" customHeight="1">
      <c r="A98" s="13" t="s">
        <v>131</v>
      </c>
      <c r="B98" s="14">
        <f>IFERROR(VLOOKUP(A98,PRICELIST!$A$3:$D$138,4,0),"-")</f>
        <v>198.64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9">
        <f t="shared" si="53"/>
        <v>0</v>
      </c>
      <c r="CZ98" s="19">
        <f t="shared" si="53"/>
        <v>0</v>
      </c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</row>
    <row r="99" spans="1:122" ht="18" customHeight="1">
      <c r="A99" s="9" t="s">
        <v>70</v>
      </c>
      <c r="B99" s="10"/>
      <c r="C99" s="11">
        <f t="shared" ref="C99:BN99" si="54">SUMPRODUCT($B96:$B98,C96:C98)</f>
        <v>0</v>
      </c>
      <c r="D99" s="11">
        <f t="shared" si="54"/>
        <v>0</v>
      </c>
      <c r="E99" s="11">
        <f t="shared" si="54"/>
        <v>0</v>
      </c>
      <c r="F99" s="11">
        <f t="shared" si="54"/>
        <v>0</v>
      </c>
      <c r="G99" s="11">
        <f t="shared" si="54"/>
        <v>0</v>
      </c>
      <c r="H99" s="11">
        <f t="shared" si="54"/>
        <v>0</v>
      </c>
      <c r="I99" s="11">
        <f t="shared" si="54"/>
        <v>0</v>
      </c>
      <c r="J99" s="11">
        <f t="shared" si="54"/>
        <v>0</v>
      </c>
      <c r="K99" s="11">
        <f t="shared" si="54"/>
        <v>0</v>
      </c>
      <c r="L99" s="11">
        <f t="shared" si="54"/>
        <v>0</v>
      </c>
      <c r="M99" s="11">
        <f t="shared" si="54"/>
        <v>0</v>
      </c>
      <c r="N99" s="11">
        <f t="shared" si="54"/>
        <v>0</v>
      </c>
      <c r="O99" s="11">
        <f t="shared" si="54"/>
        <v>0</v>
      </c>
      <c r="P99" s="11">
        <f t="shared" si="54"/>
        <v>0</v>
      </c>
      <c r="Q99" s="11">
        <f t="shared" si="54"/>
        <v>0</v>
      </c>
      <c r="R99" s="11">
        <f t="shared" si="54"/>
        <v>0</v>
      </c>
      <c r="S99" s="11">
        <f t="shared" si="54"/>
        <v>0</v>
      </c>
      <c r="T99" s="11">
        <f t="shared" si="54"/>
        <v>0</v>
      </c>
      <c r="U99" s="11">
        <f t="shared" si="54"/>
        <v>0</v>
      </c>
      <c r="V99" s="11">
        <f t="shared" si="54"/>
        <v>0</v>
      </c>
      <c r="W99" s="11">
        <f t="shared" si="54"/>
        <v>0</v>
      </c>
      <c r="X99" s="11">
        <f t="shared" si="54"/>
        <v>0</v>
      </c>
      <c r="Y99" s="11">
        <f t="shared" si="54"/>
        <v>0</v>
      </c>
      <c r="Z99" s="11">
        <f t="shared" si="54"/>
        <v>0</v>
      </c>
      <c r="AA99" s="11">
        <f t="shared" si="54"/>
        <v>0</v>
      </c>
      <c r="AB99" s="11">
        <f t="shared" si="54"/>
        <v>0</v>
      </c>
      <c r="AC99" s="11">
        <f t="shared" si="54"/>
        <v>0</v>
      </c>
      <c r="AD99" s="11">
        <f t="shared" si="54"/>
        <v>0</v>
      </c>
      <c r="AE99" s="11">
        <f t="shared" si="54"/>
        <v>0</v>
      </c>
      <c r="AF99" s="11">
        <f t="shared" si="54"/>
        <v>0</v>
      </c>
      <c r="AG99" s="11">
        <f t="shared" si="54"/>
        <v>0</v>
      </c>
      <c r="AH99" s="11">
        <f t="shared" si="54"/>
        <v>0</v>
      </c>
      <c r="AI99" s="11">
        <f t="shared" si="54"/>
        <v>0</v>
      </c>
      <c r="AJ99" s="11">
        <f t="shared" si="54"/>
        <v>0</v>
      </c>
      <c r="AK99" s="11">
        <f t="shared" si="54"/>
        <v>0</v>
      </c>
      <c r="AL99" s="11">
        <f t="shared" si="54"/>
        <v>0</v>
      </c>
      <c r="AM99" s="11">
        <f t="shared" si="54"/>
        <v>0</v>
      </c>
      <c r="AN99" s="11">
        <f t="shared" si="54"/>
        <v>0</v>
      </c>
      <c r="AO99" s="11">
        <f t="shared" si="54"/>
        <v>0</v>
      </c>
      <c r="AP99" s="11">
        <f t="shared" si="54"/>
        <v>0</v>
      </c>
      <c r="AQ99" s="11">
        <f t="shared" si="54"/>
        <v>0</v>
      </c>
      <c r="AR99" s="11">
        <f t="shared" si="54"/>
        <v>0</v>
      </c>
      <c r="AS99" s="11">
        <f t="shared" si="54"/>
        <v>0</v>
      </c>
      <c r="AT99" s="11">
        <f t="shared" si="54"/>
        <v>0</v>
      </c>
      <c r="AU99" s="11">
        <f t="shared" si="54"/>
        <v>0</v>
      </c>
      <c r="AV99" s="11">
        <f t="shared" si="54"/>
        <v>0</v>
      </c>
      <c r="AW99" s="11">
        <f t="shared" si="54"/>
        <v>0</v>
      </c>
      <c r="AX99" s="11">
        <f t="shared" si="54"/>
        <v>0</v>
      </c>
      <c r="AY99" s="11">
        <f t="shared" si="54"/>
        <v>0</v>
      </c>
      <c r="AZ99" s="11">
        <f t="shared" si="54"/>
        <v>0</v>
      </c>
      <c r="BA99" s="11">
        <f t="shared" si="54"/>
        <v>0</v>
      </c>
      <c r="BB99" s="11">
        <f t="shared" si="54"/>
        <v>0</v>
      </c>
      <c r="BC99" s="11">
        <f t="shared" si="54"/>
        <v>0</v>
      </c>
      <c r="BD99" s="11">
        <f t="shared" si="54"/>
        <v>0</v>
      </c>
      <c r="BE99" s="11">
        <f t="shared" si="54"/>
        <v>0</v>
      </c>
      <c r="BF99" s="11">
        <f t="shared" si="54"/>
        <v>0</v>
      </c>
      <c r="BG99" s="11">
        <f t="shared" si="54"/>
        <v>0</v>
      </c>
      <c r="BH99" s="11">
        <f t="shared" si="54"/>
        <v>0</v>
      </c>
      <c r="BI99" s="11">
        <f t="shared" si="54"/>
        <v>0</v>
      </c>
      <c r="BJ99" s="11">
        <f t="shared" si="54"/>
        <v>0</v>
      </c>
      <c r="BK99" s="11">
        <f t="shared" si="54"/>
        <v>0</v>
      </c>
      <c r="BL99" s="11">
        <f t="shared" si="54"/>
        <v>0</v>
      </c>
      <c r="BM99" s="11">
        <f t="shared" si="54"/>
        <v>0</v>
      </c>
      <c r="BN99" s="11">
        <f t="shared" si="54"/>
        <v>0</v>
      </c>
      <c r="BO99" s="11">
        <f t="shared" ref="BO99:CZ99" si="55">SUMPRODUCT($B96:$B98,BO96:BO98)</f>
        <v>0</v>
      </c>
      <c r="BP99" s="11">
        <f t="shared" si="55"/>
        <v>0</v>
      </c>
      <c r="BQ99" s="11">
        <f t="shared" si="55"/>
        <v>0</v>
      </c>
      <c r="BR99" s="11">
        <f t="shared" si="55"/>
        <v>0</v>
      </c>
      <c r="BS99" s="11">
        <f t="shared" si="55"/>
        <v>0</v>
      </c>
      <c r="BT99" s="11">
        <f t="shared" si="55"/>
        <v>0</v>
      </c>
      <c r="BU99" s="11">
        <f t="shared" si="55"/>
        <v>0</v>
      </c>
      <c r="BV99" s="11">
        <f t="shared" si="55"/>
        <v>0</v>
      </c>
      <c r="BW99" s="11">
        <f t="shared" si="55"/>
        <v>0</v>
      </c>
      <c r="BX99" s="11">
        <f t="shared" si="55"/>
        <v>0</v>
      </c>
      <c r="BY99" s="11">
        <f t="shared" si="55"/>
        <v>0</v>
      </c>
      <c r="BZ99" s="11">
        <f t="shared" si="55"/>
        <v>0</v>
      </c>
      <c r="CA99" s="11">
        <f t="shared" si="55"/>
        <v>0</v>
      </c>
      <c r="CB99" s="11">
        <f t="shared" si="55"/>
        <v>0</v>
      </c>
      <c r="CC99" s="11">
        <f t="shared" si="55"/>
        <v>0</v>
      </c>
      <c r="CD99" s="11">
        <f t="shared" si="55"/>
        <v>0</v>
      </c>
      <c r="CE99" s="11">
        <f t="shared" si="55"/>
        <v>0</v>
      </c>
      <c r="CF99" s="11">
        <f t="shared" si="55"/>
        <v>0</v>
      </c>
      <c r="CG99" s="11">
        <f t="shared" si="55"/>
        <v>0</v>
      </c>
      <c r="CH99" s="11">
        <f t="shared" si="55"/>
        <v>0</v>
      </c>
      <c r="CI99" s="11">
        <f t="shared" si="55"/>
        <v>0</v>
      </c>
      <c r="CJ99" s="11">
        <f t="shared" si="55"/>
        <v>0</v>
      </c>
      <c r="CK99" s="11">
        <f t="shared" si="55"/>
        <v>0</v>
      </c>
      <c r="CL99" s="11">
        <f t="shared" si="55"/>
        <v>0</v>
      </c>
      <c r="CM99" s="11">
        <f t="shared" si="55"/>
        <v>0</v>
      </c>
      <c r="CN99" s="11">
        <f t="shared" si="55"/>
        <v>0</v>
      </c>
      <c r="CO99" s="11">
        <f t="shared" si="55"/>
        <v>0</v>
      </c>
      <c r="CP99" s="11">
        <f t="shared" si="55"/>
        <v>0</v>
      </c>
      <c r="CQ99" s="11">
        <f t="shared" si="55"/>
        <v>0</v>
      </c>
      <c r="CR99" s="11">
        <f t="shared" si="55"/>
        <v>0</v>
      </c>
      <c r="CS99" s="11">
        <f t="shared" si="55"/>
        <v>0</v>
      </c>
      <c r="CT99" s="11">
        <f t="shared" si="55"/>
        <v>0</v>
      </c>
      <c r="CU99" s="11">
        <f t="shared" si="55"/>
        <v>0</v>
      </c>
      <c r="CV99" s="11">
        <f t="shared" si="55"/>
        <v>0</v>
      </c>
      <c r="CW99" s="11">
        <f t="shared" si="55"/>
        <v>0</v>
      </c>
      <c r="CX99" s="11">
        <f t="shared" si="55"/>
        <v>0</v>
      </c>
      <c r="CY99" s="11">
        <f t="shared" si="55"/>
        <v>0</v>
      </c>
      <c r="CZ99" s="11">
        <f t="shared" si="55"/>
        <v>0</v>
      </c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</row>
    <row r="100" spans="1:122" ht="18" customHeight="1">
      <c r="A100" s="13" t="s">
        <v>134</v>
      </c>
      <c r="B100" s="14">
        <f>IFERROR(VLOOKUP(A100,PRICELIST!$A$3:$D$138,4,0),"-")</f>
        <v>52.46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9">
        <f t="shared" ref="CY100:CZ109" si="56">C100+E100+G100+I100+K100+M100+O100+Q100+S100+U100+W100+Y100+AA100+AC100+AE100+AG100+AI100+AK100+AM100+AO100+AQ100+AS100+AU100+AW100+AY100+BA100+BC100+BE100+BG100+BI100+BK100+BM100+BO100+BQ100+BS100+BU100+BW100+BY100+CA100+CC100+CE100+CG100+CI100+CK100+CM100+CO100+CQ100+CS100+CU100+CW100</f>
        <v>0</v>
      </c>
      <c r="CZ100" s="19">
        <f t="shared" si="56"/>
        <v>0</v>
      </c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</row>
    <row r="101" spans="1:122" ht="18" customHeight="1">
      <c r="A101" s="13" t="s">
        <v>135</v>
      </c>
      <c r="B101" s="14">
        <f>IFERROR(VLOOKUP(A101,PRICELIST!$A$3:$D$138,4,0),"-")</f>
        <v>89.62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9">
        <f t="shared" si="56"/>
        <v>0</v>
      </c>
      <c r="CZ101" s="19">
        <f t="shared" si="56"/>
        <v>0</v>
      </c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</row>
    <row r="102" spans="1:122" ht="18" customHeight="1">
      <c r="A102" s="13" t="s">
        <v>136</v>
      </c>
      <c r="B102" s="14">
        <f>IFERROR(VLOOKUP(A102,PRICELIST!$A$3:$D$138,4,0),"-")</f>
        <v>83.41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9">
        <f t="shared" si="56"/>
        <v>0</v>
      </c>
      <c r="CZ102" s="19">
        <f t="shared" si="56"/>
        <v>0</v>
      </c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</row>
    <row r="103" spans="1:122" ht="18" customHeight="1">
      <c r="A103" s="13" t="s">
        <v>137</v>
      </c>
      <c r="B103" s="14">
        <f>IFERROR(VLOOKUP(A103,PRICELIST!$A$3:$D$138,4,0),"-")</f>
        <v>109.58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9">
        <f t="shared" si="56"/>
        <v>0</v>
      </c>
      <c r="CZ103" s="19">
        <f t="shared" si="56"/>
        <v>0</v>
      </c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</row>
    <row r="104" spans="1:122" ht="18" customHeight="1">
      <c r="A104" s="13" t="s">
        <v>140</v>
      </c>
      <c r="B104" s="14">
        <f>IFERROR(VLOOKUP(A104,PRICELIST!$A$3:$D$138,4,0),"-")</f>
        <v>28.8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9">
        <f>C104+E104+G104+I104+K104+M104+O104+Q104+S104+U104+W104+Y104+AA104+AC104+AE104+AG104+AI104+AK104+AM104+AO104+AQ104+AS104+AU104+AW104+AY104+BA104+BC104+BE104+BG104+BI104+BK104+BM104+BO104+BQ104+BS104+BU104+BW104+BY104+CA104+CC104+CE104+CG104+CI104+CK104+CM104+CO104+CQ104+CS104+CU104+CW104</f>
        <v>0</v>
      </c>
      <c r="CZ104" s="19">
        <f>D104+F104+H104+J104+L104+N104+P104+R104+T104+V104+X104+Z104+AB104+AD104+AF104+AH104+AJ104+AL104+AN104+AP104+AR104+AT104+AV104+AX104+AZ104+BB104+BD104+BF104+BH104+BJ104+BL104+BN104+BP104+BR104+BT104+BV104+BX104+BZ104+CB104+CD104+CF104+CH104+CJ104+CL104+CN104+CP104+CR104+CT104+CV104+CX104</f>
        <v>0</v>
      </c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</row>
    <row r="105" spans="1:122" ht="18" customHeight="1">
      <c r="A105" s="13" t="s">
        <v>141</v>
      </c>
      <c r="B105" s="14">
        <f>IFERROR(VLOOKUP(A105,PRICELIST!$A$3:$D$138,4,0),"-")</f>
        <v>60.43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9">
        <f>C105+E105+G105+I105+K105+M105+O105+Q105+S105+U105+W105+Y105+AA105+AC105+AE105+AG105+AI105+AK105+AM105+AO105+AQ105+AS105+AU105+AW105+AY105+BA105+BC105+BE105+BG105+BI105+BK105+BM105+BO105+BQ105+BS105+BU105+BW105+BY105+CA105+CC105+CE105+CG105+CI105+CK105+CM105+CO105+CQ105+CS105+CU105+CW105</f>
        <v>0</v>
      </c>
      <c r="CZ105" s="19">
        <f>D105+F105+H105+J105+L105+N105+P105+R105+T105+V105+X105+Z105+AB105+AD105+AF105+AH105+AJ105+AL105+AN105+AP105+AR105+AT105+AV105+AX105+AZ105+BB105+BD105+BF105+BH105+BJ105+BL105+BN105+BP105+BR105+BT105+BV105+BX105+BZ105+CB105+CD105+CF105+CH105+CJ105+CL105+CN105+CP105+CR105+CT105+CV105+CX105</f>
        <v>0</v>
      </c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</row>
    <row r="106" spans="1:122" ht="18" customHeight="1">
      <c r="A106" s="13" t="s">
        <v>138</v>
      </c>
      <c r="B106" s="14">
        <f>IFERROR(VLOOKUP(A106,PRICELIST!$A$3:$D$138,4,0),"-")</f>
        <v>96.43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9">
        <f t="shared" si="56"/>
        <v>0</v>
      </c>
      <c r="CZ106" s="19">
        <f t="shared" si="56"/>
        <v>0</v>
      </c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</row>
    <row r="107" spans="1:122" ht="18" customHeight="1">
      <c r="A107" s="13" t="s">
        <v>139</v>
      </c>
      <c r="B107" s="14">
        <f>IFERROR(VLOOKUP(A107,PRICELIST!$A$3:$D$138,4,0),"-")</f>
        <v>123.43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9">
        <f t="shared" si="56"/>
        <v>0</v>
      </c>
      <c r="CZ107" s="19">
        <f t="shared" si="56"/>
        <v>0</v>
      </c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</row>
    <row r="108" spans="1:122" ht="18" customHeight="1">
      <c r="A108" s="13" t="s">
        <v>142</v>
      </c>
      <c r="B108" s="14">
        <f>IFERROR(VLOOKUP(A108,PRICELIST!$A$3:$D$138,4,0),"-")</f>
        <v>121.5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9">
        <f t="shared" si="56"/>
        <v>0</v>
      </c>
      <c r="CZ108" s="19">
        <f t="shared" si="56"/>
        <v>0</v>
      </c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</row>
    <row r="109" spans="1:122" ht="18" customHeight="1">
      <c r="A109" s="13" t="s">
        <v>143</v>
      </c>
      <c r="B109" s="14">
        <f>IFERROR(VLOOKUP(A109,PRICELIST!$A$3:$D$138,4,0),"-")</f>
        <v>109.23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9">
        <f t="shared" si="56"/>
        <v>0</v>
      </c>
      <c r="CZ109" s="19">
        <f t="shared" si="56"/>
        <v>0</v>
      </c>
    </row>
    <row r="110" spans="1:122" ht="18" customHeight="1">
      <c r="A110" s="9" t="s">
        <v>144</v>
      </c>
      <c r="B110" s="10"/>
      <c r="C110" s="11">
        <f t="shared" ref="C110:AH110" si="57">SUMPRODUCT($B100:$B109,C100:C109)</f>
        <v>0</v>
      </c>
      <c r="D110" s="11">
        <f t="shared" si="57"/>
        <v>0</v>
      </c>
      <c r="E110" s="11">
        <f t="shared" si="57"/>
        <v>0</v>
      </c>
      <c r="F110" s="11">
        <f t="shared" si="57"/>
        <v>0</v>
      </c>
      <c r="G110" s="11">
        <f t="shared" si="57"/>
        <v>0</v>
      </c>
      <c r="H110" s="11">
        <f t="shared" si="57"/>
        <v>0</v>
      </c>
      <c r="I110" s="11">
        <f t="shared" si="57"/>
        <v>0</v>
      </c>
      <c r="J110" s="11">
        <f t="shared" si="57"/>
        <v>0</v>
      </c>
      <c r="K110" s="11">
        <f t="shared" si="57"/>
        <v>0</v>
      </c>
      <c r="L110" s="11">
        <f t="shared" si="57"/>
        <v>0</v>
      </c>
      <c r="M110" s="11">
        <f t="shared" si="57"/>
        <v>0</v>
      </c>
      <c r="N110" s="11">
        <f t="shared" si="57"/>
        <v>0</v>
      </c>
      <c r="O110" s="11">
        <f t="shared" si="57"/>
        <v>0</v>
      </c>
      <c r="P110" s="11">
        <f t="shared" si="57"/>
        <v>0</v>
      </c>
      <c r="Q110" s="11">
        <f t="shared" si="57"/>
        <v>0</v>
      </c>
      <c r="R110" s="11">
        <f t="shared" si="57"/>
        <v>0</v>
      </c>
      <c r="S110" s="11">
        <f t="shared" si="57"/>
        <v>0</v>
      </c>
      <c r="T110" s="11">
        <f t="shared" si="57"/>
        <v>0</v>
      </c>
      <c r="U110" s="11">
        <f t="shared" si="57"/>
        <v>0</v>
      </c>
      <c r="V110" s="11">
        <f t="shared" si="57"/>
        <v>0</v>
      </c>
      <c r="W110" s="11">
        <f t="shared" si="57"/>
        <v>0</v>
      </c>
      <c r="X110" s="11">
        <f t="shared" si="57"/>
        <v>0</v>
      </c>
      <c r="Y110" s="11">
        <f t="shared" si="57"/>
        <v>0</v>
      </c>
      <c r="Z110" s="11">
        <f t="shared" si="57"/>
        <v>0</v>
      </c>
      <c r="AA110" s="11">
        <f t="shared" si="57"/>
        <v>0</v>
      </c>
      <c r="AB110" s="11">
        <f t="shared" si="57"/>
        <v>0</v>
      </c>
      <c r="AC110" s="11">
        <f t="shared" si="57"/>
        <v>0</v>
      </c>
      <c r="AD110" s="11">
        <f t="shared" si="57"/>
        <v>0</v>
      </c>
      <c r="AE110" s="11">
        <f t="shared" si="57"/>
        <v>0</v>
      </c>
      <c r="AF110" s="11">
        <f t="shared" si="57"/>
        <v>0</v>
      </c>
      <c r="AG110" s="11">
        <f t="shared" si="57"/>
        <v>0</v>
      </c>
      <c r="AH110" s="11">
        <f t="shared" si="57"/>
        <v>0</v>
      </c>
      <c r="AI110" s="11">
        <f t="shared" ref="AI110:BN110" si="58">SUMPRODUCT($B100:$B109,AI100:AI109)</f>
        <v>0</v>
      </c>
      <c r="AJ110" s="11">
        <f t="shared" si="58"/>
        <v>0</v>
      </c>
      <c r="AK110" s="11">
        <f t="shared" si="58"/>
        <v>0</v>
      </c>
      <c r="AL110" s="11">
        <f t="shared" si="58"/>
        <v>0</v>
      </c>
      <c r="AM110" s="11">
        <f t="shared" si="58"/>
        <v>0</v>
      </c>
      <c r="AN110" s="11">
        <f t="shared" si="58"/>
        <v>0</v>
      </c>
      <c r="AO110" s="11">
        <f t="shared" si="58"/>
        <v>0</v>
      </c>
      <c r="AP110" s="11">
        <f t="shared" si="58"/>
        <v>0</v>
      </c>
      <c r="AQ110" s="11">
        <f t="shared" si="58"/>
        <v>0</v>
      </c>
      <c r="AR110" s="11">
        <f t="shared" si="58"/>
        <v>0</v>
      </c>
      <c r="AS110" s="11">
        <f t="shared" si="58"/>
        <v>0</v>
      </c>
      <c r="AT110" s="11">
        <f t="shared" si="58"/>
        <v>0</v>
      </c>
      <c r="AU110" s="11">
        <f t="shared" si="58"/>
        <v>0</v>
      </c>
      <c r="AV110" s="11">
        <f t="shared" si="58"/>
        <v>0</v>
      </c>
      <c r="AW110" s="11">
        <f t="shared" si="58"/>
        <v>0</v>
      </c>
      <c r="AX110" s="11">
        <f t="shared" si="58"/>
        <v>0</v>
      </c>
      <c r="AY110" s="11">
        <f t="shared" si="58"/>
        <v>0</v>
      </c>
      <c r="AZ110" s="11">
        <f t="shared" si="58"/>
        <v>0</v>
      </c>
      <c r="BA110" s="11">
        <f t="shared" si="58"/>
        <v>0</v>
      </c>
      <c r="BB110" s="11">
        <f t="shared" si="58"/>
        <v>0</v>
      </c>
      <c r="BC110" s="11">
        <f t="shared" si="58"/>
        <v>0</v>
      </c>
      <c r="BD110" s="11">
        <f t="shared" si="58"/>
        <v>0</v>
      </c>
      <c r="BE110" s="11">
        <f t="shared" si="58"/>
        <v>0</v>
      </c>
      <c r="BF110" s="11">
        <f t="shared" si="58"/>
        <v>0</v>
      </c>
      <c r="BG110" s="11">
        <f t="shared" si="58"/>
        <v>0</v>
      </c>
      <c r="BH110" s="11">
        <f t="shared" si="58"/>
        <v>0</v>
      </c>
      <c r="BI110" s="11">
        <f t="shared" si="58"/>
        <v>0</v>
      </c>
      <c r="BJ110" s="11">
        <f t="shared" si="58"/>
        <v>0</v>
      </c>
      <c r="BK110" s="11">
        <f t="shared" si="58"/>
        <v>0</v>
      </c>
      <c r="BL110" s="11">
        <f t="shared" si="58"/>
        <v>0</v>
      </c>
      <c r="BM110" s="11">
        <f t="shared" si="58"/>
        <v>0</v>
      </c>
      <c r="BN110" s="11">
        <f t="shared" si="58"/>
        <v>0</v>
      </c>
      <c r="BO110" s="11">
        <f t="shared" ref="BO110:CT110" si="59">SUMPRODUCT($B100:$B109,BO100:BO109)</f>
        <v>0</v>
      </c>
      <c r="BP110" s="11">
        <f t="shared" si="59"/>
        <v>0</v>
      </c>
      <c r="BQ110" s="11">
        <f t="shared" si="59"/>
        <v>0</v>
      </c>
      <c r="BR110" s="11">
        <f t="shared" si="59"/>
        <v>0</v>
      </c>
      <c r="BS110" s="11">
        <f t="shared" si="59"/>
        <v>0</v>
      </c>
      <c r="BT110" s="11">
        <f t="shared" si="59"/>
        <v>0</v>
      </c>
      <c r="BU110" s="11">
        <f t="shared" si="59"/>
        <v>0</v>
      </c>
      <c r="BV110" s="11">
        <f t="shared" si="59"/>
        <v>0</v>
      </c>
      <c r="BW110" s="11">
        <f t="shared" si="59"/>
        <v>0</v>
      </c>
      <c r="BX110" s="11">
        <f t="shared" si="59"/>
        <v>0</v>
      </c>
      <c r="BY110" s="11">
        <f t="shared" si="59"/>
        <v>0</v>
      </c>
      <c r="BZ110" s="11">
        <f t="shared" si="59"/>
        <v>0</v>
      </c>
      <c r="CA110" s="11">
        <f t="shared" si="59"/>
        <v>0</v>
      </c>
      <c r="CB110" s="11">
        <f t="shared" si="59"/>
        <v>0</v>
      </c>
      <c r="CC110" s="11">
        <f t="shared" si="59"/>
        <v>0</v>
      </c>
      <c r="CD110" s="11">
        <f t="shared" si="59"/>
        <v>0</v>
      </c>
      <c r="CE110" s="11">
        <f t="shared" si="59"/>
        <v>0</v>
      </c>
      <c r="CF110" s="11">
        <f t="shared" si="59"/>
        <v>0</v>
      </c>
      <c r="CG110" s="11">
        <f t="shared" si="59"/>
        <v>0</v>
      </c>
      <c r="CH110" s="11">
        <f t="shared" si="59"/>
        <v>0</v>
      </c>
      <c r="CI110" s="11">
        <f t="shared" si="59"/>
        <v>0</v>
      </c>
      <c r="CJ110" s="11">
        <f t="shared" si="59"/>
        <v>0</v>
      </c>
      <c r="CK110" s="11">
        <f t="shared" si="59"/>
        <v>0</v>
      </c>
      <c r="CL110" s="11">
        <f t="shared" si="59"/>
        <v>0</v>
      </c>
      <c r="CM110" s="11">
        <f t="shared" si="59"/>
        <v>0</v>
      </c>
      <c r="CN110" s="11">
        <f t="shared" si="59"/>
        <v>0</v>
      </c>
      <c r="CO110" s="11">
        <f t="shared" si="59"/>
        <v>0</v>
      </c>
      <c r="CP110" s="11">
        <f t="shared" si="59"/>
        <v>0</v>
      </c>
      <c r="CQ110" s="11">
        <f t="shared" si="59"/>
        <v>0</v>
      </c>
      <c r="CR110" s="11">
        <f t="shared" si="59"/>
        <v>0</v>
      </c>
      <c r="CS110" s="11">
        <f t="shared" si="59"/>
        <v>0</v>
      </c>
      <c r="CT110" s="11">
        <f t="shared" si="59"/>
        <v>0</v>
      </c>
      <c r="CU110" s="11">
        <f t="shared" ref="CU110:CZ110" si="60">SUMPRODUCT($B100:$B109,CU100:CU109)</f>
        <v>0</v>
      </c>
      <c r="CV110" s="11">
        <f t="shared" si="60"/>
        <v>0</v>
      </c>
      <c r="CW110" s="11">
        <f t="shared" si="60"/>
        <v>0</v>
      </c>
      <c r="CX110" s="11">
        <f t="shared" si="60"/>
        <v>0</v>
      </c>
      <c r="CY110" s="11">
        <f t="shared" si="60"/>
        <v>0</v>
      </c>
      <c r="CZ110" s="11">
        <f t="shared" si="60"/>
        <v>0</v>
      </c>
    </row>
    <row r="111" spans="1:122">
      <c r="A111" s="13" t="s">
        <v>146</v>
      </c>
      <c r="B111" s="14">
        <f>IFERROR(VLOOKUP(A111,PRICELIST!$A$3:$D$138,4,0),"-")</f>
        <v>31.29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9">
        <f t="shared" ref="CY111:CZ114" si="61">C111+E111+G111+I111+K111+M111+O111+Q111+S111+U111+W111+Y111+AA111+AC111+AE111+AG111+AI111+AK111+AM111+AO111+AQ111+AS111+AU111+AW111+AY111+BA111+BC111+BE111+BG111+BI111+BK111+BM111+BO111+BQ111+BS111+BU111+BW111+BY111+CA111+CC111+CE111+CG111+CI111+CK111+CM111+CO111+CQ111+CS111+CU111+CW111</f>
        <v>0</v>
      </c>
      <c r="CZ111" s="19">
        <f t="shared" si="61"/>
        <v>0</v>
      </c>
    </row>
    <row r="112" spans="1:122">
      <c r="A112" s="13" t="s">
        <v>147</v>
      </c>
      <c r="B112" s="14">
        <f>IFERROR(VLOOKUP(A112,PRICELIST!$A$3:$D$138,4,0),"-")</f>
        <v>68.36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9">
        <f t="shared" si="61"/>
        <v>0</v>
      </c>
      <c r="CZ112" s="19">
        <f t="shared" si="61"/>
        <v>0</v>
      </c>
    </row>
    <row r="113" spans="1:104">
      <c r="A113" s="13" t="s">
        <v>148</v>
      </c>
      <c r="B113" s="14">
        <f>IFERROR(VLOOKUP(A113,PRICELIST!$A$3:$D$138,4,0),"-")</f>
        <v>210.72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9">
        <f t="shared" si="61"/>
        <v>0</v>
      </c>
      <c r="CZ113" s="19">
        <f t="shared" si="61"/>
        <v>0</v>
      </c>
    </row>
    <row r="114" spans="1:104">
      <c r="A114" s="13" t="s">
        <v>149</v>
      </c>
      <c r="B114" s="14">
        <f>IFERROR(VLOOKUP(A114,PRICELIST!$A$3:$D$138,4,0),"-")</f>
        <v>180.9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9">
        <f t="shared" si="61"/>
        <v>0</v>
      </c>
      <c r="CZ114" s="19">
        <f t="shared" si="61"/>
        <v>0</v>
      </c>
    </row>
    <row r="115" spans="1:104">
      <c r="A115" s="9" t="s">
        <v>145</v>
      </c>
      <c r="B115" s="10"/>
      <c r="C115" s="11">
        <f>SUMPRODUCT($B111:$B114,C111:C114)</f>
        <v>0</v>
      </c>
      <c r="D115" s="11">
        <f t="shared" ref="D115:BO115" si="62">SUMPRODUCT($B111:$B114,D111:D114)</f>
        <v>0</v>
      </c>
      <c r="E115" s="11">
        <f t="shared" si="62"/>
        <v>0</v>
      </c>
      <c r="F115" s="11">
        <f t="shared" si="62"/>
        <v>0</v>
      </c>
      <c r="G115" s="11">
        <f t="shared" si="62"/>
        <v>0</v>
      </c>
      <c r="H115" s="11">
        <f t="shared" si="62"/>
        <v>0</v>
      </c>
      <c r="I115" s="11">
        <f t="shared" si="62"/>
        <v>0</v>
      </c>
      <c r="J115" s="11">
        <f t="shared" si="62"/>
        <v>0</v>
      </c>
      <c r="K115" s="11">
        <f t="shared" si="62"/>
        <v>0</v>
      </c>
      <c r="L115" s="11">
        <f t="shared" si="62"/>
        <v>0</v>
      </c>
      <c r="M115" s="11">
        <f t="shared" si="62"/>
        <v>0</v>
      </c>
      <c r="N115" s="11">
        <f t="shared" si="62"/>
        <v>0</v>
      </c>
      <c r="O115" s="11">
        <f t="shared" si="62"/>
        <v>0</v>
      </c>
      <c r="P115" s="11">
        <f t="shared" si="62"/>
        <v>0</v>
      </c>
      <c r="Q115" s="11">
        <f t="shared" si="62"/>
        <v>0</v>
      </c>
      <c r="R115" s="11">
        <f t="shared" si="62"/>
        <v>0</v>
      </c>
      <c r="S115" s="11">
        <f t="shared" si="62"/>
        <v>0</v>
      </c>
      <c r="T115" s="11">
        <f t="shared" si="62"/>
        <v>0</v>
      </c>
      <c r="U115" s="11">
        <f t="shared" si="62"/>
        <v>0</v>
      </c>
      <c r="V115" s="11">
        <f t="shared" si="62"/>
        <v>0</v>
      </c>
      <c r="W115" s="11">
        <f t="shared" si="62"/>
        <v>0</v>
      </c>
      <c r="X115" s="11">
        <f t="shared" si="62"/>
        <v>0</v>
      </c>
      <c r="Y115" s="11">
        <f t="shared" si="62"/>
        <v>0</v>
      </c>
      <c r="Z115" s="11">
        <f t="shared" si="62"/>
        <v>0</v>
      </c>
      <c r="AA115" s="11">
        <f t="shared" si="62"/>
        <v>0</v>
      </c>
      <c r="AB115" s="11">
        <f t="shared" si="62"/>
        <v>0</v>
      </c>
      <c r="AC115" s="11">
        <f t="shared" si="62"/>
        <v>0</v>
      </c>
      <c r="AD115" s="11">
        <f t="shared" si="62"/>
        <v>0</v>
      </c>
      <c r="AE115" s="11">
        <f t="shared" si="62"/>
        <v>0</v>
      </c>
      <c r="AF115" s="11">
        <f t="shared" si="62"/>
        <v>0</v>
      </c>
      <c r="AG115" s="11">
        <f t="shared" si="62"/>
        <v>0</v>
      </c>
      <c r="AH115" s="11">
        <f t="shared" si="62"/>
        <v>0</v>
      </c>
      <c r="AI115" s="11">
        <f t="shared" si="62"/>
        <v>0</v>
      </c>
      <c r="AJ115" s="11">
        <f t="shared" si="62"/>
        <v>0</v>
      </c>
      <c r="AK115" s="11">
        <f t="shared" si="62"/>
        <v>0</v>
      </c>
      <c r="AL115" s="11">
        <f t="shared" si="62"/>
        <v>0</v>
      </c>
      <c r="AM115" s="11">
        <f t="shared" si="62"/>
        <v>0</v>
      </c>
      <c r="AN115" s="11">
        <f t="shared" si="62"/>
        <v>0</v>
      </c>
      <c r="AO115" s="11">
        <f t="shared" si="62"/>
        <v>0</v>
      </c>
      <c r="AP115" s="11">
        <f t="shared" si="62"/>
        <v>0</v>
      </c>
      <c r="AQ115" s="11">
        <f t="shared" si="62"/>
        <v>0</v>
      </c>
      <c r="AR115" s="11">
        <f t="shared" si="62"/>
        <v>0</v>
      </c>
      <c r="AS115" s="11">
        <f t="shared" si="62"/>
        <v>0</v>
      </c>
      <c r="AT115" s="11">
        <f t="shared" si="62"/>
        <v>0</v>
      </c>
      <c r="AU115" s="11">
        <f t="shared" si="62"/>
        <v>0</v>
      </c>
      <c r="AV115" s="11">
        <f t="shared" si="62"/>
        <v>0</v>
      </c>
      <c r="AW115" s="11">
        <f t="shared" si="62"/>
        <v>0</v>
      </c>
      <c r="AX115" s="11">
        <f t="shared" si="62"/>
        <v>0</v>
      </c>
      <c r="AY115" s="11">
        <f t="shared" si="62"/>
        <v>0</v>
      </c>
      <c r="AZ115" s="11">
        <f t="shared" si="62"/>
        <v>0</v>
      </c>
      <c r="BA115" s="11">
        <f t="shared" si="62"/>
        <v>0</v>
      </c>
      <c r="BB115" s="11">
        <f t="shared" si="62"/>
        <v>0</v>
      </c>
      <c r="BC115" s="11">
        <f t="shared" si="62"/>
        <v>0</v>
      </c>
      <c r="BD115" s="11">
        <f t="shared" si="62"/>
        <v>0</v>
      </c>
      <c r="BE115" s="11">
        <f t="shared" si="62"/>
        <v>0</v>
      </c>
      <c r="BF115" s="11">
        <f t="shared" si="62"/>
        <v>0</v>
      </c>
      <c r="BG115" s="11">
        <f t="shared" si="62"/>
        <v>0</v>
      </c>
      <c r="BH115" s="11">
        <f t="shared" si="62"/>
        <v>0</v>
      </c>
      <c r="BI115" s="11">
        <f t="shared" si="62"/>
        <v>0</v>
      </c>
      <c r="BJ115" s="11">
        <f t="shared" si="62"/>
        <v>0</v>
      </c>
      <c r="BK115" s="11">
        <f t="shared" si="62"/>
        <v>0</v>
      </c>
      <c r="BL115" s="11">
        <f t="shared" si="62"/>
        <v>0</v>
      </c>
      <c r="BM115" s="11">
        <f t="shared" si="62"/>
        <v>0</v>
      </c>
      <c r="BN115" s="11">
        <f t="shared" si="62"/>
        <v>0</v>
      </c>
      <c r="BO115" s="11">
        <f t="shared" si="62"/>
        <v>0</v>
      </c>
      <c r="BP115" s="11">
        <f t="shared" ref="BP115:CZ115" si="63">SUMPRODUCT($B111:$B114,BP111:BP114)</f>
        <v>0</v>
      </c>
      <c r="BQ115" s="11">
        <f t="shared" si="63"/>
        <v>0</v>
      </c>
      <c r="BR115" s="11">
        <f t="shared" si="63"/>
        <v>0</v>
      </c>
      <c r="BS115" s="11">
        <f t="shared" si="63"/>
        <v>0</v>
      </c>
      <c r="BT115" s="11">
        <f t="shared" si="63"/>
        <v>0</v>
      </c>
      <c r="BU115" s="11">
        <f t="shared" si="63"/>
        <v>0</v>
      </c>
      <c r="BV115" s="11">
        <f t="shared" si="63"/>
        <v>0</v>
      </c>
      <c r="BW115" s="11">
        <f t="shared" si="63"/>
        <v>0</v>
      </c>
      <c r="BX115" s="11">
        <f t="shared" si="63"/>
        <v>0</v>
      </c>
      <c r="BY115" s="11">
        <f t="shared" si="63"/>
        <v>0</v>
      </c>
      <c r="BZ115" s="11">
        <f t="shared" si="63"/>
        <v>0</v>
      </c>
      <c r="CA115" s="11">
        <f t="shared" si="63"/>
        <v>0</v>
      </c>
      <c r="CB115" s="11">
        <f t="shared" si="63"/>
        <v>0</v>
      </c>
      <c r="CC115" s="11">
        <f t="shared" si="63"/>
        <v>0</v>
      </c>
      <c r="CD115" s="11">
        <f t="shared" si="63"/>
        <v>0</v>
      </c>
      <c r="CE115" s="11">
        <f t="shared" si="63"/>
        <v>0</v>
      </c>
      <c r="CF115" s="11">
        <f t="shared" si="63"/>
        <v>0</v>
      </c>
      <c r="CG115" s="11">
        <f t="shared" si="63"/>
        <v>0</v>
      </c>
      <c r="CH115" s="11">
        <f t="shared" si="63"/>
        <v>0</v>
      </c>
      <c r="CI115" s="11">
        <f t="shared" si="63"/>
        <v>0</v>
      </c>
      <c r="CJ115" s="11">
        <f t="shared" si="63"/>
        <v>0</v>
      </c>
      <c r="CK115" s="11">
        <f t="shared" si="63"/>
        <v>0</v>
      </c>
      <c r="CL115" s="11">
        <f t="shared" si="63"/>
        <v>0</v>
      </c>
      <c r="CM115" s="11">
        <f t="shared" si="63"/>
        <v>0</v>
      </c>
      <c r="CN115" s="11">
        <f t="shared" si="63"/>
        <v>0</v>
      </c>
      <c r="CO115" s="11">
        <f t="shared" si="63"/>
        <v>0</v>
      </c>
      <c r="CP115" s="11">
        <f t="shared" si="63"/>
        <v>0</v>
      </c>
      <c r="CQ115" s="11">
        <f t="shared" si="63"/>
        <v>0</v>
      </c>
      <c r="CR115" s="11">
        <f t="shared" si="63"/>
        <v>0</v>
      </c>
      <c r="CS115" s="11">
        <f t="shared" si="63"/>
        <v>0</v>
      </c>
      <c r="CT115" s="11">
        <f t="shared" si="63"/>
        <v>0</v>
      </c>
      <c r="CU115" s="11">
        <f t="shared" si="63"/>
        <v>0</v>
      </c>
      <c r="CV115" s="11">
        <f t="shared" si="63"/>
        <v>0</v>
      </c>
      <c r="CW115" s="11">
        <f t="shared" si="63"/>
        <v>0</v>
      </c>
      <c r="CX115" s="11">
        <f t="shared" si="63"/>
        <v>0</v>
      </c>
      <c r="CY115" s="11">
        <f t="shared" si="63"/>
        <v>0</v>
      </c>
      <c r="CZ115" s="11">
        <f t="shared" si="63"/>
        <v>0</v>
      </c>
    </row>
    <row r="116" spans="1:104">
      <c r="A116" s="4"/>
      <c r="B116" s="14" t="str">
        <f>IFERROR(VLOOKUP(A116,PRICELIST!$A$3:$D$138,4,0),"-")</f>
        <v>-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9">
        <f t="shared" ref="CY116:CZ118" si="64">C116+E116+G116+I116+K116+M116+O116+Q116+S116+U116+W116+Y116+AA116+AC116+AE116+AG116+AI116+AK116+AM116+AO116+AQ116+AS116+AU116+AW116+AY116+BA116+BC116+BE116+BG116+BI116+BK116+BM116+BO116+BQ116+BS116+BU116+BW116+BY116+CA116+CC116+CE116+CG116+CI116+CK116+CM116+CO116+CQ116+CS116+CU116+CW116</f>
        <v>0</v>
      </c>
      <c r="CZ116" s="19">
        <f t="shared" si="64"/>
        <v>0</v>
      </c>
    </row>
    <row r="117" spans="1:104">
      <c r="A117" s="4"/>
      <c r="B117" s="14" t="str">
        <f>IFERROR(VLOOKUP(A117,PRICELIST!$A$3:$D$138,4,0),"-")</f>
        <v>-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9">
        <f t="shared" si="64"/>
        <v>0</v>
      </c>
      <c r="CZ117" s="19">
        <f t="shared" si="64"/>
        <v>0</v>
      </c>
    </row>
    <row r="118" spans="1:104">
      <c r="A118" s="4"/>
      <c r="B118" s="14" t="str">
        <f>IFERROR(VLOOKUP(A118,PRICELIST!$A$3:$D$138,4,0),"-")</f>
        <v>-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9">
        <f t="shared" si="64"/>
        <v>0</v>
      </c>
      <c r="CZ118" s="19">
        <f t="shared" si="64"/>
        <v>0</v>
      </c>
    </row>
    <row r="119" spans="1:104">
      <c r="A119" s="9"/>
      <c r="B119" s="15"/>
      <c r="C119" s="5">
        <f>SUMPRODUCT($B116:$B118,C116:C118)</f>
        <v>0</v>
      </c>
      <c r="D119" s="5">
        <f t="shared" ref="D119:BO119" si="65">SUMPRODUCT($B116:$B118,D116:D118)</f>
        <v>0</v>
      </c>
      <c r="E119" s="5">
        <f t="shared" si="65"/>
        <v>0</v>
      </c>
      <c r="F119" s="5">
        <f t="shared" si="65"/>
        <v>0</v>
      </c>
      <c r="G119" s="5">
        <f t="shared" si="65"/>
        <v>0</v>
      </c>
      <c r="H119" s="5">
        <f t="shared" si="65"/>
        <v>0</v>
      </c>
      <c r="I119" s="5">
        <f t="shared" si="65"/>
        <v>0</v>
      </c>
      <c r="J119" s="5">
        <f t="shared" si="65"/>
        <v>0</v>
      </c>
      <c r="K119" s="5">
        <f t="shared" si="65"/>
        <v>0</v>
      </c>
      <c r="L119" s="5">
        <f t="shared" si="65"/>
        <v>0</v>
      </c>
      <c r="M119" s="5">
        <f t="shared" si="65"/>
        <v>0</v>
      </c>
      <c r="N119" s="5">
        <f t="shared" si="65"/>
        <v>0</v>
      </c>
      <c r="O119" s="5">
        <f t="shared" si="65"/>
        <v>0</v>
      </c>
      <c r="P119" s="5">
        <f t="shared" si="65"/>
        <v>0</v>
      </c>
      <c r="Q119" s="5">
        <f t="shared" si="65"/>
        <v>0</v>
      </c>
      <c r="R119" s="5">
        <f t="shared" si="65"/>
        <v>0</v>
      </c>
      <c r="S119" s="5">
        <f t="shared" si="65"/>
        <v>0</v>
      </c>
      <c r="T119" s="5">
        <f t="shared" si="65"/>
        <v>0</v>
      </c>
      <c r="U119" s="5">
        <f t="shared" si="65"/>
        <v>0</v>
      </c>
      <c r="V119" s="5">
        <f t="shared" si="65"/>
        <v>0</v>
      </c>
      <c r="W119" s="5">
        <f t="shared" si="65"/>
        <v>0</v>
      </c>
      <c r="X119" s="5">
        <f t="shared" si="65"/>
        <v>0</v>
      </c>
      <c r="Y119" s="5">
        <f t="shared" si="65"/>
        <v>0</v>
      </c>
      <c r="Z119" s="5">
        <f t="shared" si="65"/>
        <v>0</v>
      </c>
      <c r="AA119" s="5">
        <f t="shared" si="65"/>
        <v>0</v>
      </c>
      <c r="AB119" s="5">
        <f t="shared" si="65"/>
        <v>0</v>
      </c>
      <c r="AC119" s="5">
        <f t="shared" si="65"/>
        <v>0</v>
      </c>
      <c r="AD119" s="5">
        <f t="shared" si="65"/>
        <v>0</v>
      </c>
      <c r="AE119" s="5">
        <f t="shared" si="65"/>
        <v>0</v>
      </c>
      <c r="AF119" s="5">
        <f t="shared" si="65"/>
        <v>0</v>
      </c>
      <c r="AG119" s="5">
        <f t="shared" si="65"/>
        <v>0</v>
      </c>
      <c r="AH119" s="5">
        <f t="shared" si="65"/>
        <v>0</v>
      </c>
      <c r="AI119" s="5">
        <f t="shared" si="65"/>
        <v>0</v>
      </c>
      <c r="AJ119" s="5">
        <f t="shared" si="65"/>
        <v>0</v>
      </c>
      <c r="AK119" s="5">
        <f t="shared" si="65"/>
        <v>0</v>
      </c>
      <c r="AL119" s="5">
        <f t="shared" si="65"/>
        <v>0</v>
      </c>
      <c r="AM119" s="5">
        <f t="shared" si="65"/>
        <v>0</v>
      </c>
      <c r="AN119" s="5">
        <f t="shared" si="65"/>
        <v>0</v>
      </c>
      <c r="AO119" s="5">
        <f t="shared" si="65"/>
        <v>0</v>
      </c>
      <c r="AP119" s="5">
        <f t="shared" si="65"/>
        <v>0</v>
      </c>
      <c r="AQ119" s="5">
        <f t="shared" si="65"/>
        <v>0</v>
      </c>
      <c r="AR119" s="5">
        <f t="shared" si="65"/>
        <v>0</v>
      </c>
      <c r="AS119" s="5">
        <f t="shared" si="65"/>
        <v>0</v>
      </c>
      <c r="AT119" s="5">
        <f t="shared" si="65"/>
        <v>0</v>
      </c>
      <c r="AU119" s="5">
        <f t="shared" si="65"/>
        <v>0</v>
      </c>
      <c r="AV119" s="5">
        <f t="shared" si="65"/>
        <v>0</v>
      </c>
      <c r="AW119" s="5">
        <f t="shared" si="65"/>
        <v>0</v>
      </c>
      <c r="AX119" s="5">
        <f t="shared" si="65"/>
        <v>0</v>
      </c>
      <c r="AY119" s="5">
        <f t="shared" si="65"/>
        <v>0</v>
      </c>
      <c r="AZ119" s="5">
        <f t="shared" si="65"/>
        <v>0</v>
      </c>
      <c r="BA119" s="5">
        <f t="shared" si="65"/>
        <v>0</v>
      </c>
      <c r="BB119" s="5">
        <f t="shared" si="65"/>
        <v>0</v>
      </c>
      <c r="BC119" s="5">
        <f t="shared" si="65"/>
        <v>0</v>
      </c>
      <c r="BD119" s="5">
        <f t="shared" si="65"/>
        <v>0</v>
      </c>
      <c r="BE119" s="5">
        <f t="shared" si="65"/>
        <v>0</v>
      </c>
      <c r="BF119" s="5">
        <f t="shared" si="65"/>
        <v>0</v>
      </c>
      <c r="BG119" s="5">
        <f t="shared" si="65"/>
        <v>0</v>
      </c>
      <c r="BH119" s="5">
        <f t="shared" si="65"/>
        <v>0</v>
      </c>
      <c r="BI119" s="5">
        <f t="shared" si="65"/>
        <v>0</v>
      </c>
      <c r="BJ119" s="5">
        <f t="shared" si="65"/>
        <v>0</v>
      </c>
      <c r="BK119" s="5">
        <f t="shared" si="65"/>
        <v>0</v>
      </c>
      <c r="BL119" s="5">
        <f t="shared" si="65"/>
        <v>0</v>
      </c>
      <c r="BM119" s="5">
        <f t="shared" si="65"/>
        <v>0</v>
      </c>
      <c r="BN119" s="5">
        <f t="shared" si="65"/>
        <v>0</v>
      </c>
      <c r="BO119" s="5">
        <f t="shared" si="65"/>
        <v>0</v>
      </c>
      <c r="BP119" s="5">
        <f t="shared" ref="BP119:CZ119" si="66">SUMPRODUCT($B116:$B118,BP116:BP118)</f>
        <v>0</v>
      </c>
      <c r="BQ119" s="5">
        <f t="shared" si="66"/>
        <v>0</v>
      </c>
      <c r="BR119" s="5">
        <f t="shared" si="66"/>
        <v>0</v>
      </c>
      <c r="BS119" s="5">
        <f t="shared" si="66"/>
        <v>0</v>
      </c>
      <c r="BT119" s="5">
        <f t="shared" si="66"/>
        <v>0</v>
      </c>
      <c r="BU119" s="5">
        <f t="shared" si="66"/>
        <v>0</v>
      </c>
      <c r="BV119" s="5">
        <f t="shared" si="66"/>
        <v>0</v>
      </c>
      <c r="BW119" s="5">
        <f t="shared" si="66"/>
        <v>0</v>
      </c>
      <c r="BX119" s="5">
        <f t="shared" si="66"/>
        <v>0</v>
      </c>
      <c r="BY119" s="5">
        <f t="shared" si="66"/>
        <v>0</v>
      </c>
      <c r="BZ119" s="5">
        <f t="shared" si="66"/>
        <v>0</v>
      </c>
      <c r="CA119" s="5">
        <f t="shared" si="66"/>
        <v>0</v>
      </c>
      <c r="CB119" s="5">
        <f t="shared" si="66"/>
        <v>0</v>
      </c>
      <c r="CC119" s="5">
        <f t="shared" si="66"/>
        <v>0</v>
      </c>
      <c r="CD119" s="5">
        <f t="shared" si="66"/>
        <v>0</v>
      </c>
      <c r="CE119" s="5">
        <f t="shared" si="66"/>
        <v>0</v>
      </c>
      <c r="CF119" s="5">
        <f t="shared" si="66"/>
        <v>0</v>
      </c>
      <c r="CG119" s="5">
        <f t="shared" si="66"/>
        <v>0</v>
      </c>
      <c r="CH119" s="5">
        <f t="shared" si="66"/>
        <v>0</v>
      </c>
      <c r="CI119" s="5">
        <f t="shared" si="66"/>
        <v>0</v>
      </c>
      <c r="CJ119" s="5">
        <f t="shared" si="66"/>
        <v>0</v>
      </c>
      <c r="CK119" s="5">
        <f t="shared" si="66"/>
        <v>0</v>
      </c>
      <c r="CL119" s="5">
        <f t="shared" si="66"/>
        <v>0</v>
      </c>
      <c r="CM119" s="5">
        <f t="shared" si="66"/>
        <v>0</v>
      </c>
      <c r="CN119" s="5">
        <f t="shared" si="66"/>
        <v>0</v>
      </c>
      <c r="CO119" s="5">
        <f t="shared" si="66"/>
        <v>0</v>
      </c>
      <c r="CP119" s="5">
        <f t="shared" si="66"/>
        <v>0</v>
      </c>
      <c r="CQ119" s="5">
        <f t="shared" si="66"/>
        <v>0</v>
      </c>
      <c r="CR119" s="5">
        <f t="shared" si="66"/>
        <v>0</v>
      </c>
      <c r="CS119" s="5">
        <f t="shared" si="66"/>
        <v>0</v>
      </c>
      <c r="CT119" s="5">
        <f t="shared" si="66"/>
        <v>0</v>
      </c>
      <c r="CU119" s="5">
        <f t="shared" si="66"/>
        <v>0</v>
      </c>
      <c r="CV119" s="5">
        <f t="shared" si="66"/>
        <v>0</v>
      </c>
      <c r="CW119" s="5">
        <f t="shared" si="66"/>
        <v>0</v>
      </c>
      <c r="CX119" s="5">
        <f t="shared" si="66"/>
        <v>0</v>
      </c>
      <c r="CY119" s="5">
        <f t="shared" si="66"/>
        <v>0</v>
      </c>
      <c r="CZ119" s="5">
        <f t="shared" si="66"/>
        <v>0</v>
      </c>
    </row>
    <row r="120" spans="1:104" ht="15.5">
      <c r="A120" s="16" t="s">
        <v>71</v>
      </c>
      <c r="B120" s="17"/>
      <c r="C120" s="6">
        <f t="shared" ref="C120:AH120" si="67">SUM(C10,C20,C24,C27,C34,C37,C40,C47,C49,C53,C59,C71,C79,C81,C88,C92,C95,C99,C110,C115,C119)/100000</f>
        <v>0</v>
      </c>
      <c r="D120" s="6">
        <f t="shared" si="67"/>
        <v>0</v>
      </c>
      <c r="E120" s="6">
        <f t="shared" si="67"/>
        <v>0</v>
      </c>
      <c r="F120" s="6">
        <f t="shared" si="67"/>
        <v>0</v>
      </c>
      <c r="G120" s="6">
        <f t="shared" si="67"/>
        <v>0</v>
      </c>
      <c r="H120" s="6">
        <f t="shared" si="67"/>
        <v>0</v>
      </c>
      <c r="I120" s="6">
        <f t="shared" si="67"/>
        <v>0</v>
      </c>
      <c r="J120" s="6">
        <f t="shared" si="67"/>
        <v>0</v>
      </c>
      <c r="K120" s="6">
        <f t="shared" si="67"/>
        <v>0</v>
      </c>
      <c r="L120" s="6">
        <f t="shared" si="67"/>
        <v>0</v>
      </c>
      <c r="M120" s="6">
        <f t="shared" si="67"/>
        <v>0</v>
      </c>
      <c r="N120" s="6">
        <f t="shared" si="67"/>
        <v>0</v>
      </c>
      <c r="O120" s="6">
        <f t="shared" si="67"/>
        <v>0</v>
      </c>
      <c r="P120" s="6">
        <f t="shared" si="67"/>
        <v>0</v>
      </c>
      <c r="Q120" s="6">
        <f t="shared" si="67"/>
        <v>0</v>
      </c>
      <c r="R120" s="6">
        <f t="shared" si="67"/>
        <v>0</v>
      </c>
      <c r="S120" s="6">
        <f t="shared" si="67"/>
        <v>0</v>
      </c>
      <c r="T120" s="6">
        <f t="shared" si="67"/>
        <v>0</v>
      </c>
      <c r="U120" s="6">
        <f t="shared" si="67"/>
        <v>0</v>
      </c>
      <c r="V120" s="6">
        <f t="shared" si="67"/>
        <v>0</v>
      </c>
      <c r="W120" s="6">
        <f t="shared" si="67"/>
        <v>0</v>
      </c>
      <c r="X120" s="6">
        <f t="shared" si="67"/>
        <v>0</v>
      </c>
      <c r="Y120" s="6">
        <f t="shared" si="67"/>
        <v>0</v>
      </c>
      <c r="Z120" s="6">
        <f t="shared" si="67"/>
        <v>0</v>
      </c>
      <c r="AA120" s="6">
        <f t="shared" si="67"/>
        <v>0</v>
      </c>
      <c r="AB120" s="6">
        <f t="shared" si="67"/>
        <v>0</v>
      </c>
      <c r="AC120" s="6">
        <f t="shared" si="67"/>
        <v>0</v>
      </c>
      <c r="AD120" s="6">
        <f t="shared" si="67"/>
        <v>0</v>
      </c>
      <c r="AE120" s="6">
        <f t="shared" si="67"/>
        <v>0</v>
      </c>
      <c r="AF120" s="6">
        <f t="shared" si="67"/>
        <v>0</v>
      </c>
      <c r="AG120" s="6">
        <f t="shared" si="67"/>
        <v>0</v>
      </c>
      <c r="AH120" s="6">
        <f t="shared" si="67"/>
        <v>0</v>
      </c>
      <c r="AI120" s="6">
        <f t="shared" ref="AI120:BN120" si="68">SUM(AI10,AI20,AI24,AI27,AI34,AI37,AI40,AI47,AI49,AI53,AI59,AI71,AI79,AI81,AI88,AI92,AI95,AI99,AI110,AI115,AI119)/100000</f>
        <v>0</v>
      </c>
      <c r="AJ120" s="6">
        <f t="shared" si="68"/>
        <v>0</v>
      </c>
      <c r="AK120" s="6">
        <f t="shared" si="68"/>
        <v>0</v>
      </c>
      <c r="AL120" s="6">
        <f t="shared" si="68"/>
        <v>0</v>
      </c>
      <c r="AM120" s="6">
        <f t="shared" si="68"/>
        <v>0</v>
      </c>
      <c r="AN120" s="6">
        <f t="shared" si="68"/>
        <v>0</v>
      </c>
      <c r="AO120" s="6">
        <f t="shared" si="68"/>
        <v>0</v>
      </c>
      <c r="AP120" s="6">
        <f t="shared" si="68"/>
        <v>0</v>
      </c>
      <c r="AQ120" s="6">
        <f t="shared" si="68"/>
        <v>0</v>
      </c>
      <c r="AR120" s="6">
        <f t="shared" si="68"/>
        <v>0</v>
      </c>
      <c r="AS120" s="6">
        <f t="shared" si="68"/>
        <v>0</v>
      </c>
      <c r="AT120" s="6">
        <f t="shared" si="68"/>
        <v>0</v>
      </c>
      <c r="AU120" s="6">
        <f t="shared" si="68"/>
        <v>0</v>
      </c>
      <c r="AV120" s="6">
        <f t="shared" si="68"/>
        <v>0</v>
      </c>
      <c r="AW120" s="6">
        <f t="shared" si="68"/>
        <v>0</v>
      </c>
      <c r="AX120" s="6">
        <f t="shared" si="68"/>
        <v>0</v>
      </c>
      <c r="AY120" s="6">
        <f t="shared" si="68"/>
        <v>0</v>
      </c>
      <c r="AZ120" s="6">
        <f t="shared" si="68"/>
        <v>0</v>
      </c>
      <c r="BA120" s="6">
        <f t="shared" si="68"/>
        <v>0</v>
      </c>
      <c r="BB120" s="6">
        <f t="shared" si="68"/>
        <v>0</v>
      </c>
      <c r="BC120" s="6">
        <f t="shared" si="68"/>
        <v>0</v>
      </c>
      <c r="BD120" s="6">
        <f t="shared" si="68"/>
        <v>0</v>
      </c>
      <c r="BE120" s="6">
        <f t="shared" si="68"/>
        <v>0</v>
      </c>
      <c r="BF120" s="6">
        <f t="shared" si="68"/>
        <v>0</v>
      </c>
      <c r="BG120" s="6">
        <f t="shared" si="68"/>
        <v>0</v>
      </c>
      <c r="BH120" s="6">
        <f t="shared" si="68"/>
        <v>0</v>
      </c>
      <c r="BI120" s="6">
        <f t="shared" si="68"/>
        <v>0</v>
      </c>
      <c r="BJ120" s="6">
        <f t="shared" si="68"/>
        <v>0</v>
      </c>
      <c r="BK120" s="6">
        <f t="shared" si="68"/>
        <v>0</v>
      </c>
      <c r="BL120" s="6">
        <f t="shared" si="68"/>
        <v>0</v>
      </c>
      <c r="BM120" s="6">
        <f t="shared" si="68"/>
        <v>0</v>
      </c>
      <c r="BN120" s="6">
        <f t="shared" si="68"/>
        <v>0</v>
      </c>
      <c r="BO120" s="6">
        <f t="shared" ref="BO120:CT120" si="69">SUM(BO10,BO20,BO24,BO27,BO34,BO37,BO40,BO47,BO49,BO53,BO59,BO71,BO79,BO81,BO88,BO92,BO95,BO99,BO110,BO115,BO119)/100000</f>
        <v>0</v>
      </c>
      <c r="BP120" s="6">
        <f t="shared" si="69"/>
        <v>0</v>
      </c>
      <c r="BQ120" s="6">
        <f t="shared" si="69"/>
        <v>0</v>
      </c>
      <c r="BR120" s="6">
        <f t="shared" si="69"/>
        <v>0</v>
      </c>
      <c r="BS120" s="6">
        <f t="shared" si="69"/>
        <v>0</v>
      </c>
      <c r="BT120" s="6">
        <f t="shared" si="69"/>
        <v>0</v>
      </c>
      <c r="BU120" s="6">
        <f t="shared" si="69"/>
        <v>0</v>
      </c>
      <c r="BV120" s="6">
        <f t="shared" si="69"/>
        <v>0</v>
      </c>
      <c r="BW120" s="6">
        <f t="shared" si="69"/>
        <v>0</v>
      </c>
      <c r="BX120" s="6">
        <f t="shared" si="69"/>
        <v>0</v>
      </c>
      <c r="BY120" s="6">
        <f t="shared" si="69"/>
        <v>0</v>
      </c>
      <c r="BZ120" s="6">
        <f t="shared" si="69"/>
        <v>0</v>
      </c>
      <c r="CA120" s="6">
        <f t="shared" si="69"/>
        <v>0</v>
      </c>
      <c r="CB120" s="6">
        <f t="shared" si="69"/>
        <v>0</v>
      </c>
      <c r="CC120" s="6">
        <f t="shared" si="69"/>
        <v>0</v>
      </c>
      <c r="CD120" s="6">
        <f t="shared" si="69"/>
        <v>0</v>
      </c>
      <c r="CE120" s="6">
        <f t="shared" si="69"/>
        <v>0</v>
      </c>
      <c r="CF120" s="6">
        <f t="shared" si="69"/>
        <v>0</v>
      </c>
      <c r="CG120" s="6">
        <f t="shared" si="69"/>
        <v>0</v>
      </c>
      <c r="CH120" s="6">
        <f t="shared" si="69"/>
        <v>0</v>
      </c>
      <c r="CI120" s="6">
        <f t="shared" si="69"/>
        <v>0</v>
      </c>
      <c r="CJ120" s="6">
        <f t="shared" si="69"/>
        <v>0</v>
      </c>
      <c r="CK120" s="6">
        <f t="shared" si="69"/>
        <v>0</v>
      </c>
      <c r="CL120" s="6">
        <f t="shared" si="69"/>
        <v>0</v>
      </c>
      <c r="CM120" s="6">
        <f t="shared" si="69"/>
        <v>0</v>
      </c>
      <c r="CN120" s="6">
        <f t="shared" si="69"/>
        <v>0</v>
      </c>
      <c r="CO120" s="6">
        <f t="shared" si="69"/>
        <v>0</v>
      </c>
      <c r="CP120" s="6">
        <f t="shared" si="69"/>
        <v>0</v>
      </c>
      <c r="CQ120" s="6">
        <f t="shared" si="69"/>
        <v>0</v>
      </c>
      <c r="CR120" s="6">
        <f t="shared" si="69"/>
        <v>0</v>
      </c>
      <c r="CS120" s="6">
        <f t="shared" si="69"/>
        <v>0</v>
      </c>
      <c r="CT120" s="6">
        <f t="shared" si="69"/>
        <v>0</v>
      </c>
      <c r="CU120" s="6">
        <f t="shared" ref="CU120:CZ120" si="70">SUM(CU10,CU20,CU24,CU27,CU34,CU37,CU40,CU47,CU49,CU53,CU59,CU71,CU79,CU81,CU88,CU92,CU95,CU99,CU110,CU115,CU119)/100000</f>
        <v>0</v>
      </c>
      <c r="CV120" s="6">
        <f t="shared" si="70"/>
        <v>0</v>
      </c>
      <c r="CW120" s="6">
        <f t="shared" si="70"/>
        <v>0</v>
      </c>
      <c r="CX120" s="6">
        <f t="shared" si="70"/>
        <v>0</v>
      </c>
      <c r="CY120" s="6">
        <f t="shared" si="70"/>
        <v>0</v>
      </c>
      <c r="CZ120" s="6">
        <f t="shared" si="70"/>
        <v>0</v>
      </c>
    </row>
  </sheetData>
  <sheetProtection formatCells="0" selectLockedCells="1" autoFilter="0"/>
  <autoFilter ref="A2:CZ110" xr:uid="{00000000-0009-0000-0000-000009000000}"/>
  <mergeCells count="52">
    <mergeCell ref="CS1:CT1"/>
    <mergeCell ref="CU1:CV1"/>
    <mergeCell ref="CW1:CX1"/>
    <mergeCell ref="CY1:CZ1"/>
    <mergeCell ref="CG1:CH1"/>
    <mergeCell ref="CI1:CJ1"/>
    <mergeCell ref="CK1:CL1"/>
    <mergeCell ref="CM1:CN1"/>
    <mergeCell ref="CO1:CP1"/>
    <mergeCell ref="CQ1:CR1"/>
    <mergeCell ref="CE1:CF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BG1:BH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AI1:AJ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K1:L1"/>
    <mergeCell ref="A1:A2"/>
    <mergeCell ref="C1:D1"/>
    <mergeCell ref="E1:F1"/>
    <mergeCell ref="G1:H1"/>
    <mergeCell ref="I1:J1"/>
  </mergeCells>
  <pageMargins left="0.69930555555555596" right="0.69930555555555596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R12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:CZ121"/>
    </sheetView>
  </sheetViews>
  <sheetFormatPr defaultColWidth="9.1796875" defaultRowHeight="14.5"/>
  <cols>
    <col min="1" max="1" width="31.54296875" style="2" customWidth="1"/>
    <col min="2" max="2" width="8.81640625" style="3" customWidth="1"/>
    <col min="3" max="3" width="10" style="3" bestFit="1" customWidth="1"/>
    <col min="4" max="41" width="9.1796875" style="3"/>
    <col min="42" max="42" width="8.54296875" style="3" customWidth="1"/>
    <col min="43" max="43" width="7.54296875" style="3" customWidth="1"/>
    <col min="44" max="44" width="8.54296875" style="3" customWidth="1"/>
    <col min="45" max="45" width="7.54296875" style="3" customWidth="1"/>
    <col min="46" max="46" width="8.54296875" style="3" customWidth="1"/>
    <col min="47" max="47" width="7.54296875" style="3" customWidth="1"/>
    <col min="48" max="48" width="8.54296875" style="3" customWidth="1"/>
    <col min="49" max="49" width="7.54296875" style="3" customWidth="1"/>
    <col min="50" max="50" width="8.54296875" style="3" customWidth="1"/>
    <col min="51" max="51" width="7.54296875" style="3" customWidth="1"/>
    <col min="52" max="52" width="8.54296875" style="3" customWidth="1"/>
    <col min="53" max="53" width="7.54296875" style="3" customWidth="1"/>
    <col min="54" max="54" width="8.54296875" style="3" customWidth="1"/>
    <col min="55" max="55" width="7.54296875" style="3" customWidth="1"/>
    <col min="56" max="56" width="8.54296875" style="3" customWidth="1"/>
    <col min="57" max="57" width="7.54296875" style="3" customWidth="1"/>
    <col min="58" max="58" width="8.54296875" style="3" customWidth="1"/>
    <col min="59" max="59" width="7.54296875" style="3" customWidth="1"/>
    <col min="60" max="60" width="8.54296875" style="3" customWidth="1"/>
    <col min="61" max="61" width="7.54296875" style="3" customWidth="1"/>
    <col min="62" max="62" width="8.54296875" style="3" customWidth="1"/>
    <col min="63" max="63" width="7.54296875" style="3" customWidth="1"/>
    <col min="64" max="64" width="8.54296875" style="3" customWidth="1"/>
    <col min="65" max="65" width="7.54296875" style="3" customWidth="1"/>
    <col min="66" max="66" width="8.54296875" style="3" customWidth="1"/>
    <col min="67" max="67" width="7.54296875" style="3" customWidth="1"/>
    <col min="68" max="68" width="8.54296875" style="3" customWidth="1"/>
    <col min="69" max="69" width="7.54296875" style="3" customWidth="1"/>
    <col min="70" max="70" width="8.54296875" style="3" customWidth="1"/>
    <col min="71" max="71" width="7.54296875" style="3" customWidth="1"/>
    <col min="72" max="72" width="8.54296875" style="3" customWidth="1"/>
    <col min="73" max="73" width="7.54296875" style="3" customWidth="1"/>
    <col min="74" max="74" width="8.54296875" style="3" customWidth="1"/>
    <col min="75" max="75" width="7.54296875" style="3" customWidth="1"/>
    <col min="76" max="76" width="8.54296875" style="3" customWidth="1"/>
    <col min="77" max="77" width="7.54296875" style="3" customWidth="1"/>
    <col min="78" max="78" width="8.54296875" style="3" customWidth="1"/>
    <col min="79" max="79" width="7.54296875" style="3" customWidth="1"/>
    <col min="80" max="80" width="8.54296875" style="3" customWidth="1"/>
    <col min="81" max="81" width="7.54296875" style="3" customWidth="1"/>
    <col min="82" max="82" width="8.54296875" style="3" customWidth="1"/>
    <col min="83" max="83" width="7.54296875" style="3" customWidth="1"/>
    <col min="84" max="84" width="8.54296875" style="3" customWidth="1"/>
    <col min="85" max="85" width="7.54296875" style="3" customWidth="1"/>
    <col min="86" max="86" width="8.54296875" style="3" customWidth="1"/>
    <col min="87" max="87" width="7.54296875" style="3" customWidth="1"/>
    <col min="88" max="88" width="8.54296875" style="3" customWidth="1"/>
    <col min="89" max="89" width="7.54296875" style="3" customWidth="1"/>
    <col min="90" max="90" width="8.54296875" style="3" customWidth="1"/>
    <col min="91" max="91" width="7.54296875" style="3" customWidth="1"/>
    <col min="92" max="92" width="8.54296875" style="3" customWidth="1"/>
    <col min="93" max="93" width="7.54296875" style="3" customWidth="1"/>
    <col min="94" max="94" width="8.54296875" style="3" customWidth="1"/>
    <col min="95" max="95" width="7.54296875" style="3" customWidth="1"/>
    <col min="96" max="96" width="8.54296875" style="3" customWidth="1"/>
    <col min="97" max="97" width="7.54296875" style="3" customWidth="1"/>
    <col min="98" max="98" width="8.54296875" style="3" customWidth="1"/>
    <col min="99" max="99" width="7.54296875" style="3" customWidth="1"/>
    <col min="100" max="100" width="8.54296875" style="3" customWidth="1"/>
    <col min="101" max="101" width="7.54296875" style="3" customWidth="1"/>
    <col min="102" max="102" width="8.54296875" style="3" customWidth="1"/>
    <col min="103" max="103" width="11.81640625" style="3" customWidth="1"/>
    <col min="104" max="104" width="12.453125" style="3" customWidth="1"/>
    <col min="105" max="107" width="9.1796875" style="2"/>
    <col min="108" max="108" width="8" style="2" customWidth="1"/>
    <col min="109" max="16384" width="9.1796875" style="2"/>
  </cols>
  <sheetData>
    <row r="1" spans="1:122" s="37" customFormat="1" ht="19.5" customHeight="1">
      <c r="A1" s="44" t="s">
        <v>0</v>
      </c>
      <c r="B1" s="12"/>
      <c r="C1" s="46" t="str">
        <f>APRIL!C1</f>
        <v>VASU PHARMA DRUGS PVT LTD</v>
      </c>
      <c r="D1" s="46"/>
      <c r="E1" s="46" t="str">
        <f>APRIL!E1</f>
        <v>PRAKASH PHARMA DISTRIBUTORS</v>
      </c>
      <c r="F1" s="46"/>
      <c r="G1" s="46" t="str">
        <f>APRIL!G1</f>
        <v>Divya Pharma</v>
      </c>
      <c r="H1" s="46"/>
      <c r="I1" s="46" t="str">
        <f>APRIL!I1</f>
        <v>KEIMED PRIVATE LIMITED</v>
      </c>
      <c r="J1" s="46"/>
      <c r="K1" s="46" t="str">
        <f>APRIL!K1</f>
        <v>SAI SRIDHAR PHARMA PVT LTD</v>
      </c>
      <c r="L1" s="46"/>
      <c r="M1" s="46" t="str">
        <f>APRIL!M1</f>
        <v>SRI VENKATARAGHAVA AGENCIES</v>
      </c>
      <c r="N1" s="46"/>
      <c r="O1" s="46" t="str">
        <f>APRIL!O1</f>
        <v>SHREEJI DIST PVT LTD</v>
      </c>
      <c r="P1" s="46"/>
      <c r="Q1" s="46" t="str">
        <f>APRIL!Q1</f>
        <v>SVS PHARMA</v>
      </c>
      <c r="R1" s="46"/>
      <c r="S1" s="46" t="str">
        <f>APRIL!S1</f>
        <v>PHARMA DISTRIBUTORS</v>
      </c>
      <c r="T1" s="46"/>
      <c r="U1" s="46" t="str">
        <f>APRIL!U1</f>
        <v>SAI PHARMA DISTRIBUTERS PVT LTD</v>
      </c>
      <c r="V1" s="46"/>
      <c r="W1" s="46" t="str">
        <f>APRIL!W1</f>
        <v>ALANKRITA AGENCIES</v>
      </c>
      <c r="X1" s="46"/>
      <c r="Y1" s="46" t="str">
        <f>APRIL!Y1</f>
        <v>JAYA SURG &amp; PHARMA PVT LTD</v>
      </c>
      <c r="Z1" s="46"/>
      <c r="AA1" s="46" t="str">
        <f>APRIL!AA1</f>
        <v>MANASA MEDICAL AGENCIES</v>
      </c>
      <c r="AB1" s="46"/>
      <c r="AC1" s="46" t="str">
        <f>APRIL!AC1</f>
        <v>KARTHICK AGENCIES</v>
      </c>
      <c r="AD1" s="46"/>
      <c r="AE1" s="46" t="str">
        <f>APRIL!AE1</f>
        <v>NIRMALA AGENCIES</v>
      </c>
      <c r="AF1" s="46"/>
      <c r="AG1" s="46" t="str">
        <f>APRIL!AG1</f>
        <v>HIMALAYA MEDICAL AGENCIES</v>
      </c>
      <c r="AH1" s="46"/>
      <c r="AI1" s="46" t="str">
        <f>APRIL!AI1</f>
        <v xml:space="preserve">Maruthi </v>
      </c>
      <c r="AJ1" s="46"/>
      <c r="AK1" s="46" t="str">
        <f>APRIL!AK1</f>
        <v>LAXMI SAI MEDICAL AGENCIES</v>
      </c>
      <c r="AL1" s="46"/>
      <c r="AM1" s="46" t="str">
        <f>APRIL!AM1</f>
        <v>Patwari Pharma</v>
      </c>
      <c r="AN1" s="46"/>
      <c r="AO1" s="46" t="str">
        <f>APRIL!AO1</f>
        <v>Vishnu &amp; Co</v>
      </c>
      <c r="AP1" s="46"/>
      <c r="AQ1" s="46" t="str">
        <f>APRIL!AQ1</f>
        <v>SUMAN AGENCIES HYD PVT LTD</v>
      </c>
      <c r="AR1" s="46"/>
      <c r="AS1" s="46" t="str">
        <f>APRIL!AS1</f>
        <v>Sri Nirmala</v>
      </c>
      <c r="AT1" s="46"/>
      <c r="AU1" s="46" t="str">
        <f>APRIL!AU1</f>
        <v>SHREE SHARADA PHARMA</v>
      </c>
      <c r="AV1" s="46"/>
      <c r="AW1" s="46" t="str">
        <f>APRIL!AW1</f>
        <v>ALLIED PHARMA</v>
      </c>
      <c r="AX1" s="46"/>
      <c r="AY1" s="46" t="str">
        <f>APRIL!AY1</f>
        <v>GOEL DISTRIBUTER</v>
      </c>
      <c r="AZ1" s="46"/>
      <c r="BA1" s="46" t="str">
        <f>APRIL!BA1</f>
        <v>KAMALESH PHARMA</v>
      </c>
      <c r="BB1" s="46"/>
      <c r="BC1" s="46" t="str">
        <f>APRIL!BC1</f>
        <v>ARVIND PHARMA DISTRIBUTER</v>
      </c>
      <c r="BD1" s="46"/>
      <c r="BE1" s="46" t="str">
        <f>APRIL!BE1</f>
        <v>GOEL PHARMA</v>
      </c>
      <c r="BF1" s="46"/>
      <c r="BG1" s="46" t="str">
        <f>APRIL!BG1</f>
        <v>KRISHNA  PHARMACEUTICALS</v>
      </c>
      <c r="BH1" s="46"/>
      <c r="BI1" s="46" t="str">
        <f>APRIL!BI1</f>
        <v>AP DRUGS</v>
      </c>
      <c r="BJ1" s="46"/>
      <c r="BK1" s="46" t="str">
        <f>APRIL!BK1</f>
        <v>MAWA PHARMACEUTICALS</v>
      </c>
      <c r="BL1" s="46"/>
      <c r="BM1" s="46" t="str">
        <f>APRIL!BM1</f>
        <v>TIRUMALA AGENCIES</v>
      </c>
      <c r="BN1" s="46"/>
      <c r="BO1" s="46" t="str">
        <f>APRIL!BO1</f>
        <v>SREE HARI MEDICALS</v>
      </c>
      <c r="BP1" s="46"/>
      <c r="BQ1" s="46" t="str">
        <f>APRIL!BQ1</f>
        <v>SREE VENKATESHWARA MEDISOLUTIONS</v>
      </c>
      <c r="BR1" s="46"/>
      <c r="BS1" s="46" t="str">
        <f>APRIL!BS1</f>
        <v>SRI BALAJI DRUGS</v>
      </c>
      <c r="BT1" s="46"/>
      <c r="BU1" s="46" t="str">
        <f>APRIL!BU1</f>
        <v>VISHNU MEDICAL HALL</v>
      </c>
      <c r="BV1" s="46"/>
      <c r="BW1" s="46" t="str">
        <f>APRIL!BW1</f>
        <v>HYDERABAD SPECIALITY DRUGS</v>
      </c>
      <c r="BX1" s="46"/>
      <c r="BY1" s="46" t="str">
        <f>APRIL!BY1</f>
        <v>LORVEN PHARMA &amp; SURGICALS (CORP)</v>
      </c>
      <c r="BZ1" s="46"/>
      <c r="CA1" s="46" t="str">
        <f>APRIL!CA1</f>
        <v>AK PHARMA</v>
      </c>
      <c r="CB1" s="46"/>
      <c r="CC1" s="46" t="str">
        <f>APRIL!CC1</f>
        <v>OPTIVAL HEALTHSOLUTIONS</v>
      </c>
      <c r="CD1" s="46"/>
      <c r="CE1" s="46" t="str">
        <f>APRIL!CE1</f>
        <v>BALAJI MEDICAL AGENCIES</v>
      </c>
      <c r="CF1" s="46"/>
      <c r="CG1" s="46" t="str">
        <f>APRIL!CG1</f>
        <v>S42</v>
      </c>
      <c r="CH1" s="46"/>
      <c r="CI1" s="46" t="str">
        <f>APRIL!CI1</f>
        <v>S43</v>
      </c>
      <c r="CJ1" s="46"/>
      <c r="CK1" s="46" t="str">
        <f>APRIL!CK1</f>
        <v>S44</v>
      </c>
      <c r="CL1" s="46"/>
      <c r="CM1" s="46" t="str">
        <f>APRIL!CM1</f>
        <v>S45</v>
      </c>
      <c r="CN1" s="46"/>
      <c r="CO1" s="46" t="str">
        <f>APRIL!CO1</f>
        <v>S46</v>
      </c>
      <c r="CP1" s="46"/>
      <c r="CQ1" s="46" t="str">
        <f>APRIL!CQ1</f>
        <v>S47</v>
      </c>
      <c r="CR1" s="46"/>
      <c r="CS1" s="46" t="str">
        <f>APRIL!CS1</f>
        <v>S48</v>
      </c>
      <c r="CT1" s="46"/>
      <c r="CU1" s="46" t="str">
        <f>APRIL!CU1</f>
        <v>S49</v>
      </c>
      <c r="CV1" s="46"/>
      <c r="CW1" s="46" t="str">
        <f>APRIL!CW1</f>
        <v>S50</v>
      </c>
      <c r="CX1" s="46"/>
      <c r="CY1" s="43" t="s">
        <v>1</v>
      </c>
      <c r="CZ1" s="43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</row>
    <row r="2" spans="1:122" ht="43.5">
      <c r="A2" s="44"/>
      <c r="B2" s="12" t="s">
        <v>2</v>
      </c>
      <c r="C2" s="7" t="s">
        <v>90</v>
      </c>
      <c r="D2" s="7" t="s">
        <v>91</v>
      </c>
      <c r="E2" s="7" t="s">
        <v>90</v>
      </c>
      <c r="F2" s="7" t="s">
        <v>91</v>
      </c>
      <c r="G2" s="7" t="s">
        <v>90</v>
      </c>
      <c r="H2" s="7" t="s">
        <v>91</v>
      </c>
      <c r="I2" s="7" t="s">
        <v>90</v>
      </c>
      <c r="J2" s="7" t="s">
        <v>91</v>
      </c>
      <c r="K2" s="7" t="s">
        <v>90</v>
      </c>
      <c r="L2" s="7" t="s">
        <v>91</v>
      </c>
      <c r="M2" s="7" t="s">
        <v>90</v>
      </c>
      <c r="N2" s="7" t="s">
        <v>91</v>
      </c>
      <c r="O2" s="7" t="s">
        <v>90</v>
      </c>
      <c r="P2" s="7" t="s">
        <v>91</v>
      </c>
      <c r="Q2" s="7" t="s">
        <v>90</v>
      </c>
      <c r="R2" s="7" t="s">
        <v>91</v>
      </c>
      <c r="S2" s="7" t="s">
        <v>90</v>
      </c>
      <c r="T2" s="7" t="s">
        <v>91</v>
      </c>
      <c r="U2" s="7" t="s">
        <v>90</v>
      </c>
      <c r="V2" s="7" t="s">
        <v>91</v>
      </c>
      <c r="W2" s="7" t="s">
        <v>90</v>
      </c>
      <c r="X2" s="7" t="s">
        <v>91</v>
      </c>
      <c r="Y2" s="7" t="s">
        <v>90</v>
      </c>
      <c r="Z2" s="7" t="s">
        <v>91</v>
      </c>
      <c r="AA2" s="7" t="s">
        <v>90</v>
      </c>
      <c r="AB2" s="7" t="s">
        <v>91</v>
      </c>
      <c r="AC2" s="7" t="s">
        <v>90</v>
      </c>
      <c r="AD2" s="7" t="s">
        <v>91</v>
      </c>
      <c r="AE2" s="7" t="s">
        <v>90</v>
      </c>
      <c r="AF2" s="7" t="s">
        <v>91</v>
      </c>
      <c r="AG2" s="7" t="s">
        <v>90</v>
      </c>
      <c r="AH2" s="7" t="s">
        <v>91</v>
      </c>
      <c r="AI2" s="7" t="s">
        <v>90</v>
      </c>
      <c r="AJ2" s="7" t="s">
        <v>91</v>
      </c>
      <c r="AK2" s="7" t="s">
        <v>90</v>
      </c>
      <c r="AL2" s="7" t="s">
        <v>91</v>
      </c>
      <c r="AM2" s="7" t="s">
        <v>90</v>
      </c>
      <c r="AN2" s="7" t="s">
        <v>91</v>
      </c>
      <c r="AO2" s="7" t="s">
        <v>90</v>
      </c>
      <c r="AP2" s="7" t="s">
        <v>91</v>
      </c>
      <c r="AQ2" s="7" t="s">
        <v>90</v>
      </c>
      <c r="AR2" s="7" t="s">
        <v>91</v>
      </c>
      <c r="AS2" s="7" t="s">
        <v>90</v>
      </c>
      <c r="AT2" s="7" t="s">
        <v>91</v>
      </c>
      <c r="AU2" s="7" t="s">
        <v>90</v>
      </c>
      <c r="AV2" s="7" t="s">
        <v>91</v>
      </c>
      <c r="AW2" s="7" t="s">
        <v>90</v>
      </c>
      <c r="AX2" s="7" t="s">
        <v>91</v>
      </c>
      <c r="AY2" s="7" t="s">
        <v>90</v>
      </c>
      <c r="AZ2" s="7" t="s">
        <v>91</v>
      </c>
      <c r="BA2" s="7" t="s">
        <v>90</v>
      </c>
      <c r="BB2" s="7" t="s">
        <v>91</v>
      </c>
      <c r="BC2" s="7" t="s">
        <v>90</v>
      </c>
      <c r="BD2" s="7" t="s">
        <v>91</v>
      </c>
      <c r="BE2" s="7" t="s">
        <v>90</v>
      </c>
      <c r="BF2" s="7" t="s">
        <v>91</v>
      </c>
      <c r="BG2" s="7" t="s">
        <v>90</v>
      </c>
      <c r="BH2" s="7" t="s">
        <v>91</v>
      </c>
      <c r="BI2" s="7" t="s">
        <v>90</v>
      </c>
      <c r="BJ2" s="7" t="s">
        <v>91</v>
      </c>
      <c r="BK2" s="7" t="s">
        <v>90</v>
      </c>
      <c r="BL2" s="7" t="s">
        <v>91</v>
      </c>
      <c r="BM2" s="7" t="s">
        <v>90</v>
      </c>
      <c r="BN2" s="7" t="s">
        <v>91</v>
      </c>
      <c r="BO2" s="7" t="s">
        <v>90</v>
      </c>
      <c r="BP2" s="7" t="s">
        <v>91</v>
      </c>
      <c r="BQ2" s="7" t="s">
        <v>90</v>
      </c>
      <c r="BR2" s="7" t="s">
        <v>91</v>
      </c>
      <c r="BS2" s="7" t="s">
        <v>90</v>
      </c>
      <c r="BT2" s="7" t="s">
        <v>91</v>
      </c>
      <c r="BU2" s="7" t="s">
        <v>90</v>
      </c>
      <c r="BV2" s="7" t="s">
        <v>91</v>
      </c>
      <c r="BW2" s="7" t="s">
        <v>90</v>
      </c>
      <c r="BX2" s="7" t="s">
        <v>91</v>
      </c>
      <c r="BY2" s="7" t="s">
        <v>90</v>
      </c>
      <c r="BZ2" s="7" t="s">
        <v>91</v>
      </c>
      <c r="CA2" s="7" t="s">
        <v>90</v>
      </c>
      <c r="CB2" s="7" t="s">
        <v>91</v>
      </c>
      <c r="CC2" s="7" t="s">
        <v>90</v>
      </c>
      <c r="CD2" s="7" t="s">
        <v>91</v>
      </c>
      <c r="CE2" s="7" t="s">
        <v>90</v>
      </c>
      <c r="CF2" s="7" t="s">
        <v>91</v>
      </c>
      <c r="CG2" s="7" t="s">
        <v>90</v>
      </c>
      <c r="CH2" s="7" t="s">
        <v>91</v>
      </c>
      <c r="CI2" s="7" t="s">
        <v>90</v>
      </c>
      <c r="CJ2" s="7" t="s">
        <v>91</v>
      </c>
      <c r="CK2" s="7" t="s">
        <v>90</v>
      </c>
      <c r="CL2" s="7" t="s">
        <v>91</v>
      </c>
      <c r="CM2" s="7" t="s">
        <v>90</v>
      </c>
      <c r="CN2" s="7" t="s">
        <v>91</v>
      </c>
      <c r="CO2" s="7" t="s">
        <v>90</v>
      </c>
      <c r="CP2" s="7" t="s">
        <v>91</v>
      </c>
      <c r="CQ2" s="7" t="s">
        <v>90</v>
      </c>
      <c r="CR2" s="7" t="s">
        <v>91</v>
      </c>
      <c r="CS2" s="7" t="s">
        <v>90</v>
      </c>
      <c r="CT2" s="7" t="s">
        <v>91</v>
      </c>
      <c r="CU2" s="7" t="s">
        <v>90</v>
      </c>
      <c r="CV2" s="7" t="s">
        <v>91</v>
      </c>
      <c r="CW2" s="7" t="s">
        <v>90</v>
      </c>
      <c r="CX2" s="7" t="s">
        <v>91</v>
      </c>
      <c r="CY2" s="7" t="s">
        <v>90</v>
      </c>
      <c r="CZ2" s="7" t="s">
        <v>91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</row>
    <row r="3" spans="1:122" ht="18" customHeight="1">
      <c r="A3" s="13" t="s">
        <v>3</v>
      </c>
      <c r="B3" s="14">
        <f>IFERROR(VLOOKUP(A3,PRICELIST!$A$3:$D$138,4,0),"-")</f>
        <v>167.79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9">
        <f>C3+E3+G3+I3+K3+M3+O3+Q3+S3+U3+W3+Y3+AA3+AC3+AE3+AG3+AI3+AK3+AM3+AO3+AQ3+AS3+AU3+AW3+AY3+BA3+BC3+BE3+BG3+BI3+BK3+BM3+BO3+BQ3+BS3+BU3+BW3+BY3+CA3+CC3+CE3+CG3+CI3+CK3+CM3+CO3+CQ3+CS3+CU3+CW3</f>
        <v>0</v>
      </c>
      <c r="CZ3" s="19">
        <f>D3+F3+H3+J3+L3+N3+P3+R3+T3+V3+X3+Z3+AB3+AD3+AF3+AH3+AJ3+AL3+AN3+AP3+AR3+AT3+AV3+AX3+AZ3+BB3+BD3+BF3+BH3+BJ3+BL3+BN3+BP3+BR3+BT3+BV3+BX3+BZ3+CB3+CD3+CF3+CH3+CJ3+CL3+CN3+CP3+CR3+CT3+CV3+CX3</f>
        <v>0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</row>
    <row r="4" spans="1:122" ht="18" customHeight="1">
      <c r="A4" s="13" t="s">
        <v>4</v>
      </c>
      <c r="B4" s="14">
        <f>IFERROR(VLOOKUP(A4,PRICELIST!$A$3:$D$138,4,0),"-")</f>
        <v>112.5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9">
        <f t="shared" ref="CY4:CZ9" si="0">C4+E4+G4+I4+K4+M4+O4+Q4+S4+U4+W4+Y4+AA4+AC4+AE4+AG4+AI4+AK4+AM4+AO4+AQ4+AS4+AU4+AW4+AY4+BA4+BC4+BE4+BG4+BI4+BK4+BM4+BO4+BQ4+BS4+BU4+BW4+BY4+CA4+CC4+CE4+CG4+CI4+CK4+CM4+CO4+CQ4+CS4+CU4+CW4</f>
        <v>0</v>
      </c>
      <c r="CZ4" s="19">
        <f t="shared" si="0"/>
        <v>0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</row>
    <row r="5" spans="1:122" ht="18" customHeight="1">
      <c r="A5" s="13" t="s">
        <v>5</v>
      </c>
      <c r="B5" s="14">
        <f>IFERROR(VLOOKUP(A5,PRICELIST!$A$3:$D$138,4,0),"-")</f>
        <v>127.87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9">
        <f t="shared" si="0"/>
        <v>0</v>
      </c>
      <c r="CZ5" s="19">
        <f t="shared" si="0"/>
        <v>0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</row>
    <row r="6" spans="1:122" ht="18" customHeight="1">
      <c r="A6" s="13" t="s">
        <v>6</v>
      </c>
      <c r="B6" s="14">
        <f>IFERROR(VLOOKUP(A6,PRICELIST!$A$3:$D$138,4,0),"-")</f>
        <v>88.7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9">
        <f t="shared" si="0"/>
        <v>0</v>
      </c>
      <c r="CZ6" s="19">
        <f t="shared" si="0"/>
        <v>0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</row>
    <row r="7" spans="1:122" ht="18" customHeight="1">
      <c r="A7" s="13" t="s">
        <v>78</v>
      </c>
      <c r="B7" s="14">
        <f>IFERROR(VLOOKUP(A7,PRICELIST!$A$3:$D$138,4,0),"-")</f>
        <v>171.64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9">
        <f t="shared" si="0"/>
        <v>0</v>
      </c>
      <c r="CZ7" s="19">
        <f t="shared" si="0"/>
        <v>0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</row>
    <row r="8" spans="1:122" ht="18" customHeight="1">
      <c r="A8" s="13" t="s">
        <v>7</v>
      </c>
      <c r="B8" s="14">
        <f>IFERROR(VLOOKUP(A8,PRICELIST!$A$3:$D$138,4,0),"-")</f>
        <v>216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9">
        <f t="shared" si="0"/>
        <v>0</v>
      </c>
      <c r="CZ8" s="19">
        <f t="shared" si="0"/>
        <v>0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</row>
    <row r="9" spans="1:122" ht="18" customHeight="1">
      <c r="A9" s="13" t="s">
        <v>8</v>
      </c>
      <c r="B9" s="14">
        <f>IFERROR(VLOOKUP(A9,PRICELIST!$A$3:$D$138,4,0),"-")</f>
        <v>163.93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9">
        <f t="shared" si="0"/>
        <v>0</v>
      </c>
      <c r="CZ9" s="19">
        <f t="shared" si="0"/>
        <v>0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</row>
    <row r="10" spans="1:122" ht="18" customHeight="1">
      <c r="A10" s="9" t="s">
        <v>9</v>
      </c>
      <c r="B10" s="10"/>
      <c r="C10" s="11">
        <f>SUMPRODUCT($B3:$B9,C3:C9)</f>
        <v>0</v>
      </c>
      <c r="D10" s="11">
        <f t="shared" ref="D10:BO10" si="1">SUMPRODUCT($B3:$B9,D3:D9)</f>
        <v>0</v>
      </c>
      <c r="E10" s="11">
        <f t="shared" si="1"/>
        <v>0</v>
      </c>
      <c r="F10" s="11">
        <f t="shared" si="1"/>
        <v>0</v>
      </c>
      <c r="G10" s="11">
        <f t="shared" si="1"/>
        <v>0</v>
      </c>
      <c r="H10" s="11">
        <f t="shared" si="1"/>
        <v>0</v>
      </c>
      <c r="I10" s="11">
        <f t="shared" si="1"/>
        <v>0</v>
      </c>
      <c r="J10" s="11">
        <f t="shared" si="1"/>
        <v>0</v>
      </c>
      <c r="K10" s="11">
        <f t="shared" si="1"/>
        <v>0</v>
      </c>
      <c r="L10" s="11">
        <f t="shared" si="1"/>
        <v>0</v>
      </c>
      <c r="M10" s="11">
        <f t="shared" si="1"/>
        <v>0</v>
      </c>
      <c r="N10" s="11">
        <f t="shared" si="1"/>
        <v>0</v>
      </c>
      <c r="O10" s="11">
        <f t="shared" si="1"/>
        <v>0</v>
      </c>
      <c r="P10" s="11">
        <f t="shared" si="1"/>
        <v>0</v>
      </c>
      <c r="Q10" s="11">
        <f t="shared" si="1"/>
        <v>0</v>
      </c>
      <c r="R10" s="11">
        <f t="shared" si="1"/>
        <v>0</v>
      </c>
      <c r="S10" s="11">
        <f t="shared" si="1"/>
        <v>0</v>
      </c>
      <c r="T10" s="11">
        <f t="shared" si="1"/>
        <v>0</v>
      </c>
      <c r="U10" s="11">
        <f t="shared" si="1"/>
        <v>0</v>
      </c>
      <c r="V10" s="11">
        <f t="shared" si="1"/>
        <v>0</v>
      </c>
      <c r="W10" s="11">
        <f t="shared" si="1"/>
        <v>0</v>
      </c>
      <c r="X10" s="11">
        <f t="shared" si="1"/>
        <v>0</v>
      </c>
      <c r="Y10" s="11">
        <f t="shared" si="1"/>
        <v>0</v>
      </c>
      <c r="Z10" s="11">
        <f t="shared" si="1"/>
        <v>0</v>
      </c>
      <c r="AA10" s="11">
        <f t="shared" si="1"/>
        <v>0</v>
      </c>
      <c r="AB10" s="11">
        <f t="shared" si="1"/>
        <v>0</v>
      </c>
      <c r="AC10" s="11">
        <f t="shared" si="1"/>
        <v>0</v>
      </c>
      <c r="AD10" s="11">
        <f t="shared" si="1"/>
        <v>0</v>
      </c>
      <c r="AE10" s="11">
        <f t="shared" si="1"/>
        <v>0</v>
      </c>
      <c r="AF10" s="11">
        <f t="shared" si="1"/>
        <v>0</v>
      </c>
      <c r="AG10" s="11">
        <f t="shared" si="1"/>
        <v>0</v>
      </c>
      <c r="AH10" s="11">
        <f t="shared" si="1"/>
        <v>0</v>
      </c>
      <c r="AI10" s="11">
        <f t="shared" si="1"/>
        <v>0</v>
      </c>
      <c r="AJ10" s="11">
        <f t="shared" si="1"/>
        <v>0</v>
      </c>
      <c r="AK10" s="11">
        <f t="shared" si="1"/>
        <v>0</v>
      </c>
      <c r="AL10" s="11">
        <f t="shared" si="1"/>
        <v>0</v>
      </c>
      <c r="AM10" s="11">
        <f t="shared" si="1"/>
        <v>0</v>
      </c>
      <c r="AN10" s="11">
        <f t="shared" si="1"/>
        <v>0</v>
      </c>
      <c r="AO10" s="11">
        <f t="shared" si="1"/>
        <v>0</v>
      </c>
      <c r="AP10" s="11">
        <f t="shared" si="1"/>
        <v>0</v>
      </c>
      <c r="AQ10" s="11">
        <f t="shared" si="1"/>
        <v>0</v>
      </c>
      <c r="AR10" s="11">
        <f t="shared" si="1"/>
        <v>0</v>
      </c>
      <c r="AS10" s="11">
        <f t="shared" si="1"/>
        <v>0</v>
      </c>
      <c r="AT10" s="11">
        <f t="shared" si="1"/>
        <v>0</v>
      </c>
      <c r="AU10" s="11">
        <f t="shared" si="1"/>
        <v>0</v>
      </c>
      <c r="AV10" s="11">
        <f t="shared" si="1"/>
        <v>0</v>
      </c>
      <c r="AW10" s="11">
        <f t="shared" si="1"/>
        <v>0</v>
      </c>
      <c r="AX10" s="11">
        <f t="shared" si="1"/>
        <v>0</v>
      </c>
      <c r="AY10" s="11">
        <f t="shared" si="1"/>
        <v>0</v>
      </c>
      <c r="AZ10" s="11">
        <f t="shared" si="1"/>
        <v>0</v>
      </c>
      <c r="BA10" s="11">
        <f t="shared" si="1"/>
        <v>0</v>
      </c>
      <c r="BB10" s="11">
        <f t="shared" si="1"/>
        <v>0</v>
      </c>
      <c r="BC10" s="11">
        <f t="shared" si="1"/>
        <v>0</v>
      </c>
      <c r="BD10" s="11">
        <f t="shared" si="1"/>
        <v>0</v>
      </c>
      <c r="BE10" s="11">
        <f t="shared" si="1"/>
        <v>0</v>
      </c>
      <c r="BF10" s="11">
        <f t="shared" si="1"/>
        <v>0</v>
      </c>
      <c r="BG10" s="11">
        <f t="shared" si="1"/>
        <v>0</v>
      </c>
      <c r="BH10" s="11">
        <f t="shared" si="1"/>
        <v>0</v>
      </c>
      <c r="BI10" s="11">
        <f t="shared" si="1"/>
        <v>0</v>
      </c>
      <c r="BJ10" s="11">
        <f t="shared" si="1"/>
        <v>0</v>
      </c>
      <c r="BK10" s="11">
        <f t="shared" si="1"/>
        <v>0</v>
      </c>
      <c r="BL10" s="11">
        <f t="shared" si="1"/>
        <v>0</v>
      </c>
      <c r="BM10" s="11">
        <f t="shared" si="1"/>
        <v>0</v>
      </c>
      <c r="BN10" s="11">
        <f t="shared" si="1"/>
        <v>0</v>
      </c>
      <c r="BO10" s="11">
        <f t="shared" si="1"/>
        <v>0</v>
      </c>
      <c r="BP10" s="11">
        <f t="shared" ref="BP10:CZ10" si="2">SUMPRODUCT($B3:$B9,BP3:BP9)</f>
        <v>0</v>
      </c>
      <c r="BQ10" s="11">
        <f t="shared" si="2"/>
        <v>0</v>
      </c>
      <c r="BR10" s="11">
        <f t="shared" si="2"/>
        <v>0</v>
      </c>
      <c r="BS10" s="11">
        <f t="shared" si="2"/>
        <v>0</v>
      </c>
      <c r="BT10" s="11">
        <f t="shared" si="2"/>
        <v>0</v>
      </c>
      <c r="BU10" s="11">
        <f t="shared" si="2"/>
        <v>0</v>
      </c>
      <c r="BV10" s="11">
        <f t="shared" si="2"/>
        <v>0</v>
      </c>
      <c r="BW10" s="11">
        <f t="shared" si="2"/>
        <v>0</v>
      </c>
      <c r="BX10" s="11">
        <f t="shared" si="2"/>
        <v>0</v>
      </c>
      <c r="BY10" s="11">
        <f t="shared" si="2"/>
        <v>0</v>
      </c>
      <c r="BZ10" s="11">
        <f t="shared" si="2"/>
        <v>0</v>
      </c>
      <c r="CA10" s="11">
        <f t="shared" si="2"/>
        <v>0</v>
      </c>
      <c r="CB10" s="11">
        <f t="shared" si="2"/>
        <v>0</v>
      </c>
      <c r="CC10" s="11">
        <f t="shared" si="2"/>
        <v>0</v>
      </c>
      <c r="CD10" s="11">
        <f t="shared" si="2"/>
        <v>0</v>
      </c>
      <c r="CE10" s="11">
        <f t="shared" si="2"/>
        <v>0</v>
      </c>
      <c r="CF10" s="11">
        <f t="shared" si="2"/>
        <v>0</v>
      </c>
      <c r="CG10" s="11">
        <f t="shared" si="2"/>
        <v>0</v>
      </c>
      <c r="CH10" s="11">
        <f t="shared" si="2"/>
        <v>0</v>
      </c>
      <c r="CI10" s="11">
        <f t="shared" si="2"/>
        <v>0</v>
      </c>
      <c r="CJ10" s="11">
        <f t="shared" si="2"/>
        <v>0</v>
      </c>
      <c r="CK10" s="11">
        <f t="shared" si="2"/>
        <v>0</v>
      </c>
      <c r="CL10" s="11">
        <f t="shared" si="2"/>
        <v>0</v>
      </c>
      <c r="CM10" s="11">
        <f t="shared" si="2"/>
        <v>0</v>
      </c>
      <c r="CN10" s="11">
        <f t="shared" si="2"/>
        <v>0</v>
      </c>
      <c r="CO10" s="11">
        <f t="shared" si="2"/>
        <v>0</v>
      </c>
      <c r="CP10" s="11">
        <f t="shared" si="2"/>
        <v>0</v>
      </c>
      <c r="CQ10" s="11">
        <f t="shared" si="2"/>
        <v>0</v>
      </c>
      <c r="CR10" s="11">
        <f t="shared" si="2"/>
        <v>0</v>
      </c>
      <c r="CS10" s="11">
        <f t="shared" si="2"/>
        <v>0</v>
      </c>
      <c r="CT10" s="11">
        <f t="shared" si="2"/>
        <v>0</v>
      </c>
      <c r="CU10" s="11">
        <f t="shared" si="2"/>
        <v>0</v>
      </c>
      <c r="CV10" s="11">
        <f t="shared" si="2"/>
        <v>0</v>
      </c>
      <c r="CW10" s="11">
        <f t="shared" si="2"/>
        <v>0</v>
      </c>
      <c r="CX10" s="11">
        <f t="shared" si="2"/>
        <v>0</v>
      </c>
      <c r="CY10" s="11">
        <f t="shared" si="2"/>
        <v>0</v>
      </c>
      <c r="CZ10" s="11">
        <f t="shared" si="2"/>
        <v>0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</row>
    <row r="11" spans="1:122" ht="18" customHeight="1">
      <c r="A11" s="4" t="s">
        <v>127</v>
      </c>
      <c r="B11" s="14">
        <f>IFERROR(VLOOKUP(A11,PRICELIST!$A$3:$D$138,4,0),"-")</f>
        <v>432.21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9">
        <f t="shared" ref="CY11:CZ19" si="3">C11+E11+G11+I11+K11+M11+O11+Q11+S11+U11+W11+Y11+AA11+AC11+AE11+AG11+AI11+AK11+AM11+AO11+AQ11+AS11+AU11+AW11+AY11+BA11+BC11+BE11+BG11+BI11+BK11+BM11+BO11+BQ11+BS11+BU11+BW11+BY11+CA11+CC11+CE11+CG11+CI11+CK11+CM11+CO11+CQ11+CS11+CU11+CW11</f>
        <v>0</v>
      </c>
      <c r="CZ11" s="19">
        <f t="shared" si="3"/>
        <v>0</v>
      </c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</row>
    <row r="12" spans="1:122" ht="18" customHeight="1">
      <c r="A12" s="4" t="s">
        <v>128</v>
      </c>
      <c r="B12" s="14">
        <f>IFERROR(VLOOKUP(A12,PRICELIST!$A$3:$D$138,4,0),"-")</f>
        <v>107.11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9">
        <f t="shared" si="3"/>
        <v>0</v>
      </c>
      <c r="CZ12" s="19">
        <f t="shared" si="3"/>
        <v>0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</row>
    <row r="13" spans="1:122" ht="18" customHeight="1">
      <c r="A13" s="4" t="s">
        <v>129</v>
      </c>
      <c r="B13" s="14">
        <f>IFERROR(VLOOKUP(A13,PRICELIST!$A$3:$D$138,4,0),"-")</f>
        <v>205.07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9">
        <f t="shared" si="3"/>
        <v>0</v>
      </c>
      <c r="CZ13" s="19">
        <f t="shared" si="3"/>
        <v>0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</row>
    <row r="14" spans="1:122" ht="18" customHeight="1">
      <c r="A14" s="4" t="s">
        <v>130</v>
      </c>
      <c r="B14" s="14">
        <f>IFERROR(VLOOKUP(A14,PRICELIST!$A$3:$D$138,4,0),"-")</f>
        <v>322.70999999999998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9">
        <f t="shared" si="3"/>
        <v>0</v>
      </c>
      <c r="CZ14" s="19">
        <f t="shared" si="3"/>
        <v>0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</row>
    <row r="15" spans="1:122" ht="18" customHeight="1">
      <c r="A15" s="4" t="s">
        <v>118</v>
      </c>
      <c r="B15" s="14">
        <f>IFERROR(VLOOKUP(A15,PRICELIST!$A$3:$D$138,4,0),"-")</f>
        <v>272.23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9">
        <f t="shared" si="3"/>
        <v>0</v>
      </c>
      <c r="CZ15" s="19">
        <f t="shared" si="3"/>
        <v>0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</row>
    <row r="16" spans="1:122" ht="18" customHeight="1">
      <c r="A16" s="4" t="s">
        <v>119</v>
      </c>
      <c r="B16" s="14">
        <f>IFERROR(VLOOKUP(A16,PRICELIST!$A$3:$D$138,4,0),"-")</f>
        <v>352.76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9">
        <f t="shared" si="3"/>
        <v>0</v>
      </c>
      <c r="CZ16" s="19">
        <f t="shared" si="3"/>
        <v>0</v>
      </c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</row>
    <row r="17" spans="1:122" ht="18" customHeight="1">
      <c r="A17" s="4" t="s">
        <v>120</v>
      </c>
      <c r="B17" s="14">
        <f>IFERROR(VLOOKUP(A17,PRICELIST!$A$3:$D$138,4,0),"-")</f>
        <v>137.57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9">
        <f t="shared" si="3"/>
        <v>0</v>
      </c>
      <c r="CZ17" s="19">
        <f t="shared" si="3"/>
        <v>0</v>
      </c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</row>
    <row r="18" spans="1:122" ht="18" customHeight="1">
      <c r="A18" s="32" t="s">
        <v>124</v>
      </c>
      <c r="B18" s="14">
        <f>IFERROR(VLOOKUP(A18,PRICELIST!$A$3:$D$138,4,0),"-")</f>
        <v>647.36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9">
        <f t="shared" si="3"/>
        <v>0</v>
      </c>
      <c r="CZ18" s="19">
        <f t="shared" si="3"/>
        <v>0</v>
      </c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</row>
    <row r="19" spans="1:122" ht="18" customHeight="1">
      <c r="A19" s="4" t="s">
        <v>79</v>
      </c>
      <c r="B19" s="14">
        <f>IFERROR(VLOOKUP(A19,PRICELIST!$A$3:$D$138,4,0),"-")</f>
        <v>110.25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9">
        <f t="shared" si="3"/>
        <v>0</v>
      </c>
      <c r="CZ19" s="19">
        <f t="shared" si="3"/>
        <v>0</v>
      </c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</row>
    <row r="20" spans="1:122" ht="18" customHeight="1">
      <c r="A20" s="33" t="s">
        <v>125</v>
      </c>
      <c r="B20" s="15"/>
      <c r="C20" s="11">
        <f t="shared" ref="C20:BN20" si="4">SUMPRODUCT($B11:$B19,C11:C19)</f>
        <v>0</v>
      </c>
      <c r="D20" s="11">
        <f t="shared" si="4"/>
        <v>0</v>
      </c>
      <c r="E20" s="11">
        <f t="shared" si="4"/>
        <v>0</v>
      </c>
      <c r="F20" s="11">
        <f t="shared" si="4"/>
        <v>0</v>
      </c>
      <c r="G20" s="11">
        <f t="shared" si="4"/>
        <v>0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0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0</v>
      </c>
      <c r="X20" s="11">
        <f t="shared" si="4"/>
        <v>0</v>
      </c>
      <c r="Y20" s="11">
        <f t="shared" si="4"/>
        <v>0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  <c r="AI20" s="11">
        <f t="shared" si="4"/>
        <v>0</v>
      </c>
      <c r="AJ20" s="11">
        <f t="shared" si="4"/>
        <v>0</v>
      </c>
      <c r="AK20" s="11">
        <f t="shared" si="4"/>
        <v>0</v>
      </c>
      <c r="AL20" s="11">
        <f t="shared" si="4"/>
        <v>0</v>
      </c>
      <c r="AM20" s="11">
        <f t="shared" si="4"/>
        <v>0</v>
      </c>
      <c r="AN20" s="11">
        <f t="shared" si="4"/>
        <v>0</v>
      </c>
      <c r="AO20" s="11">
        <f t="shared" si="4"/>
        <v>0</v>
      </c>
      <c r="AP20" s="11">
        <f t="shared" si="4"/>
        <v>0</v>
      </c>
      <c r="AQ20" s="11">
        <f t="shared" si="4"/>
        <v>0</v>
      </c>
      <c r="AR20" s="11">
        <f t="shared" si="4"/>
        <v>0</v>
      </c>
      <c r="AS20" s="11">
        <f t="shared" si="4"/>
        <v>0</v>
      </c>
      <c r="AT20" s="11">
        <f t="shared" si="4"/>
        <v>0</v>
      </c>
      <c r="AU20" s="11">
        <f t="shared" si="4"/>
        <v>0</v>
      </c>
      <c r="AV20" s="11">
        <f t="shared" si="4"/>
        <v>0</v>
      </c>
      <c r="AW20" s="11">
        <f t="shared" si="4"/>
        <v>0</v>
      </c>
      <c r="AX20" s="11">
        <f t="shared" si="4"/>
        <v>0</v>
      </c>
      <c r="AY20" s="11">
        <f t="shared" si="4"/>
        <v>0</v>
      </c>
      <c r="AZ20" s="11">
        <f t="shared" si="4"/>
        <v>0</v>
      </c>
      <c r="BA20" s="11">
        <f t="shared" si="4"/>
        <v>0</v>
      </c>
      <c r="BB20" s="11">
        <f t="shared" si="4"/>
        <v>0</v>
      </c>
      <c r="BC20" s="11">
        <f t="shared" si="4"/>
        <v>0</v>
      </c>
      <c r="BD20" s="11">
        <f t="shared" si="4"/>
        <v>0</v>
      </c>
      <c r="BE20" s="11">
        <f t="shared" si="4"/>
        <v>0</v>
      </c>
      <c r="BF20" s="11">
        <f t="shared" si="4"/>
        <v>0</v>
      </c>
      <c r="BG20" s="11">
        <f t="shared" si="4"/>
        <v>0</v>
      </c>
      <c r="BH20" s="11">
        <f t="shared" si="4"/>
        <v>0</v>
      </c>
      <c r="BI20" s="11">
        <f t="shared" si="4"/>
        <v>0</v>
      </c>
      <c r="BJ20" s="11">
        <f t="shared" si="4"/>
        <v>0</v>
      </c>
      <c r="BK20" s="11">
        <f t="shared" si="4"/>
        <v>0</v>
      </c>
      <c r="BL20" s="11">
        <f t="shared" si="4"/>
        <v>0</v>
      </c>
      <c r="BM20" s="11">
        <f t="shared" si="4"/>
        <v>0</v>
      </c>
      <c r="BN20" s="11">
        <f t="shared" si="4"/>
        <v>0</v>
      </c>
      <c r="BO20" s="11">
        <f t="shared" ref="BO20:CZ20" si="5">SUMPRODUCT($B11:$B19,BO11:BO19)</f>
        <v>0</v>
      </c>
      <c r="BP20" s="11">
        <f t="shared" si="5"/>
        <v>0</v>
      </c>
      <c r="BQ20" s="11">
        <f t="shared" si="5"/>
        <v>0</v>
      </c>
      <c r="BR20" s="11">
        <f t="shared" si="5"/>
        <v>0</v>
      </c>
      <c r="BS20" s="11">
        <f t="shared" si="5"/>
        <v>0</v>
      </c>
      <c r="BT20" s="11">
        <f t="shared" si="5"/>
        <v>0</v>
      </c>
      <c r="BU20" s="11">
        <f t="shared" si="5"/>
        <v>0</v>
      </c>
      <c r="BV20" s="11">
        <f t="shared" si="5"/>
        <v>0</v>
      </c>
      <c r="BW20" s="11">
        <f t="shared" si="5"/>
        <v>0</v>
      </c>
      <c r="BX20" s="11">
        <f t="shared" si="5"/>
        <v>0</v>
      </c>
      <c r="BY20" s="11">
        <f t="shared" si="5"/>
        <v>0</v>
      </c>
      <c r="BZ20" s="11">
        <f t="shared" si="5"/>
        <v>0</v>
      </c>
      <c r="CA20" s="11">
        <f t="shared" si="5"/>
        <v>0</v>
      </c>
      <c r="CB20" s="11">
        <f t="shared" si="5"/>
        <v>0</v>
      </c>
      <c r="CC20" s="11">
        <f t="shared" si="5"/>
        <v>0</v>
      </c>
      <c r="CD20" s="11">
        <f t="shared" si="5"/>
        <v>0</v>
      </c>
      <c r="CE20" s="11">
        <f t="shared" si="5"/>
        <v>0</v>
      </c>
      <c r="CF20" s="11">
        <f t="shared" si="5"/>
        <v>0</v>
      </c>
      <c r="CG20" s="11">
        <f t="shared" si="5"/>
        <v>0</v>
      </c>
      <c r="CH20" s="11">
        <f t="shared" si="5"/>
        <v>0</v>
      </c>
      <c r="CI20" s="11">
        <f t="shared" si="5"/>
        <v>0</v>
      </c>
      <c r="CJ20" s="11">
        <f t="shared" si="5"/>
        <v>0</v>
      </c>
      <c r="CK20" s="11">
        <f t="shared" si="5"/>
        <v>0</v>
      </c>
      <c r="CL20" s="11">
        <f t="shared" si="5"/>
        <v>0</v>
      </c>
      <c r="CM20" s="11">
        <f t="shared" si="5"/>
        <v>0</v>
      </c>
      <c r="CN20" s="11">
        <f t="shared" si="5"/>
        <v>0</v>
      </c>
      <c r="CO20" s="11">
        <f t="shared" si="5"/>
        <v>0</v>
      </c>
      <c r="CP20" s="11">
        <f t="shared" si="5"/>
        <v>0</v>
      </c>
      <c r="CQ20" s="11">
        <f t="shared" si="5"/>
        <v>0</v>
      </c>
      <c r="CR20" s="11">
        <f t="shared" si="5"/>
        <v>0</v>
      </c>
      <c r="CS20" s="11">
        <f t="shared" si="5"/>
        <v>0</v>
      </c>
      <c r="CT20" s="11">
        <f t="shared" si="5"/>
        <v>0</v>
      </c>
      <c r="CU20" s="11">
        <f t="shared" si="5"/>
        <v>0</v>
      </c>
      <c r="CV20" s="11">
        <f t="shared" si="5"/>
        <v>0</v>
      </c>
      <c r="CW20" s="11">
        <f t="shared" si="5"/>
        <v>0</v>
      </c>
      <c r="CX20" s="11">
        <f t="shared" si="5"/>
        <v>0</v>
      </c>
      <c r="CY20" s="11">
        <f t="shared" si="5"/>
        <v>0</v>
      </c>
      <c r="CZ20" s="11">
        <f t="shared" si="5"/>
        <v>0</v>
      </c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</row>
    <row r="21" spans="1:122" ht="18" customHeight="1">
      <c r="A21" s="13" t="s">
        <v>80</v>
      </c>
      <c r="B21" s="14">
        <f>IFERROR(VLOOKUP(A21,PRICELIST!$A$3:$D$138,4,0),"-")</f>
        <v>128.88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9">
        <f t="shared" ref="CY21:CZ23" si="6">C21+E21+G21+I21+K21+M21+O21+Q21+S21+U21+W21+Y21+AA21+AC21+AE21+AG21+AI21+AK21+AM21+AO21+AQ21+AS21+AU21+AW21+AY21+BA21+BC21+BE21+BG21+BI21+BK21+BM21+BO21+BQ21+BS21+BU21+BW21+BY21+CA21+CC21+CE21+CG21+CI21+CK21+CM21+CO21+CQ21+CS21+CU21+CW21</f>
        <v>0</v>
      </c>
      <c r="CZ21" s="19">
        <f t="shared" si="6"/>
        <v>0</v>
      </c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</row>
    <row r="22" spans="1:122" ht="18" customHeight="1">
      <c r="A22" s="13" t="s">
        <v>10</v>
      </c>
      <c r="B22" s="14">
        <f>IFERROR(VLOOKUP(A22,PRICELIST!$A$3:$D$138,4,0),"-")</f>
        <v>120.53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9">
        <f t="shared" si="6"/>
        <v>0</v>
      </c>
      <c r="CZ22" s="19">
        <f t="shared" si="6"/>
        <v>0</v>
      </c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</row>
    <row r="23" spans="1:122" ht="18" customHeight="1">
      <c r="A23" s="13" t="s">
        <v>11</v>
      </c>
      <c r="B23" s="14">
        <f>IFERROR(VLOOKUP(A23,PRICELIST!$A$3:$D$138,4,0),"-")</f>
        <v>144.29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9">
        <f t="shared" si="6"/>
        <v>0</v>
      </c>
      <c r="CZ23" s="19">
        <f t="shared" si="6"/>
        <v>0</v>
      </c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</row>
    <row r="24" spans="1:122" ht="18" customHeight="1">
      <c r="A24" s="9" t="s">
        <v>12</v>
      </c>
      <c r="B24" s="10"/>
      <c r="C24" s="11">
        <f>SUMPRODUCT($B21:$B23,C21:C23)</f>
        <v>0</v>
      </c>
      <c r="D24" s="11">
        <f t="shared" ref="D24:BO24" si="7">SUMPRODUCT($B21:$B23,D21:D23)</f>
        <v>0</v>
      </c>
      <c r="E24" s="11">
        <f t="shared" si="7"/>
        <v>0</v>
      </c>
      <c r="F24" s="11">
        <f t="shared" si="7"/>
        <v>0</v>
      </c>
      <c r="G24" s="11">
        <f t="shared" si="7"/>
        <v>0</v>
      </c>
      <c r="H24" s="11">
        <f t="shared" si="7"/>
        <v>0</v>
      </c>
      <c r="I24" s="11">
        <f t="shared" si="7"/>
        <v>0</v>
      </c>
      <c r="J24" s="11">
        <f t="shared" si="7"/>
        <v>0</v>
      </c>
      <c r="K24" s="11">
        <f t="shared" si="7"/>
        <v>0</v>
      </c>
      <c r="L24" s="11">
        <f t="shared" si="7"/>
        <v>0</v>
      </c>
      <c r="M24" s="11">
        <f t="shared" si="7"/>
        <v>0</v>
      </c>
      <c r="N24" s="11">
        <f t="shared" si="7"/>
        <v>0</v>
      </c>
      <c r="O24" s="11">
        <f t="shared" si="7"/>
        <v>0</v>
      </c>
      <c r="P24" s="11">
        <f t="shared" si="7"/>
        <v>0</v>
      </c>
      <c r="Q24" s="11">
        <f t="shared" si="7"/>
        <v>0</v>
      </c>
      <c r="R24" s="11">
        <f t="shared" si="7"/>
        <v>0</v>
      </c>
      <c r="S24" s="11">
        <f t="shared" si="7"/>
        <v>0</v>
      </c>
      <c r="T24" s="11">
        <f t="shared" si="7"/>
        <v>0</v>
      </c>
      <c r="U24" s="11">
        <f t="shared" si="7"/>
        <v>0</v>
      </c>
      <c r="V24" s="11">
        <f t="shared" si="7"/>
        <v>0</v>
      </c>
      <c r="W24" s="11">
        <f t="shared" si="7"/>
        <v>0</v>
      </c>
      <c r="X24" s="11">
        <f t="shared" si="7"/>
        <v>0</v>
      </c>
      <c r="Y24" s="11">
        <f t="shared" si="7"/>
        <v>0</v>
      </c>
      <c r="Z24" s="11">
        <f t="shared" si="7"/>
        <v>0</v>
      </c>
      <c r="AA24" s="11">
        <f t="shared" si="7"/>
        <v>0</v>
      </c>
      <c r="AB24" s="11">
        <f t="shared" si="7"/>
        <v>0</v>
      </c>
      <c r="AC24" s="11">
        <f t="shared" si="7"/>
        <v>0</v>
      </c>
      <c r="AD24" s="11">
        <f t="shared" si="7"/>
        <v>0</v>
      </c>
      <c r="AE24" s="11">
        <f t="shared" si="7"/>
        <v>0</v>
      </c>
      <c r="AF24" s="11">
        <f t="shared" si="7"/>
        <v>0</v>
      </c>
      <c r="AG24" s="11">
        <f t="shared" si="7"/>
        <v>0</v>
      </c>
      <c r="AH24" s="11">
        <f t="shared" si="7"/>
        <v>0</v>
      </c>
      <c r="AI24" s="11">
        <f t="shared" si="7"/>
        <v>0</v>
      </c>
      <c r="AJ24" s="11">
        <f t="shared" si="7"/>
        <v>0</v>
      </c>
      <c r="AK24" s="11">
        <f t="shared" si="7"/>
        <v>0</v>
      </c>
      <c r="AL24" s="11">
        <f t="shared" si="7"/>
        <v>0</v>
      </c>
      <c r="AM24" s="11">
        <f t="shared" si="7"/>
        <v>0</v>
      </c>
      <c r="AN24" s="11">
        <f t="shared" si="7"/>
        <v>0</v>
      </c>
      <c r="AO24" s="11">
        <f t="shared" si="7"/>
        <v>0</v>
      </c>
      <c r="AP24" s="11">
        <f t="shared" si="7"/>
        <v>0</v>
      </c>
      <c r="AQ24" s="11">
        <f t="shared" si="7"/>
        <v>0</v>
      </c>
      <c r="AR24" s="11">
        <f t="shared" si="7"/>
        <v>0</v>
      </c>
      <c r="AS24" s="11">
        <f t="shared" si="7"/>
        <v>0</v>
      </c>
      <c r="AT24" s="11">
        <f t="shared" si="7"/>
        <v>0</v>
      </c>
      <c r="AU24" s="11">
        <f t="shared" si="7"/>
        <v>0</v>
      </c>
      <c r="AV24" s="11">
        <f t="shared" si="7"/>
        <v>0</v>
      </c>
      <c r="AW24" s="11">
        <f t="shared" si="7"/>
        <v>0</v>
      </c>
      <c r="AX24" s="11">
        <f t="shared" si="7"/>
        <v>0</v>
      </c>
      <c r="AY24" s="11">
        <f t="shared" si="7"/>
        <v>0</v>
      </c>
      <c r="AZ24" s="11">
        <f t="shared" si="7"/>
        <v>0</v>
      </c>
      <c r="BA24" s="11">
        <f t="shared" si="7"/>
        <v>0</v>
      </c>
      <c r="BB24" s="11">
        <f t="shared" si="7"/>
        <v>0</v>
      </c>
      <c r="BC24" s="11">
        <f t="shared" si="7"/>
        <v>0</v>
      </c>
      <c r="BD24" s="11">
        <f t="shared" si="7"/>
        <v>0</v>
      </c>
      <c r="BE24" s="11">
        <f t="shared" si="7"/>
        <v>0</v>
      </c>
      <c r="BF24" s="11">
        <f t="shared" si="7"/>
        <v>0</v>
      </c>
      <c r="BG24" s="11">
        <f t="shared" si="7"/>
        <v>0</v>
      </c>
      <c r="BH24" s="11">
        <f t="shared" si="7"/>
        <v>0</v>
      </c>
      <c r="BI24" s="11">
        <f t="shared" si="7"/>
        <v>0</v>
      </c>
      <c r="BJ24" s="11">
        <f t="shared" si="7"/>
        <v>0</v>
      </c>
      <c r="BK24" s="11">
        <f t="shared" si="7"/>
        <v>0</v>
      </c>
      <c r="BL24" s="11">
        <f t="shared" si="7"/>
        <v>0</v>
      </c>
      <c r="BM24" s="11">
        <f t="shared" si="7"/>
        <v>0</v>
      </c>
      <c r="BN24" s="11">
        <f t="shared" si="7"/>
        <v>0</v>
      </c>
      <c r="BO24" s="11">
        <f t="shared" si="7"/>
        <v>0</v>
      </c>
      <c r="BP24" s="11">
        <f t="shared" ref="BP24:CZ24" si="8">SUMPRODUCT($B21:$B23,BP21:BP23)</f>
        <v>0</v>
      </c>
      <c r="BQ24" s="11">
        <f t="shared" si="8"/>
        <v>0</v>
      </c>
      <c r="BR24" s="11">
        <f t="shared" si="8"/>
        <v>0</v>
      </c>
      <c r="BS24" s="11">
        <f t="shared" si="8"/>
        <v>0</v>
      </c>
      <c r="BT24" s="11">
        <f t="shared" si="8"/>
        <v>0</v>
      </c>
      <c r="BU24" s="11">
        <f t="shared" si="8"/>
        <v>0</v>
      </c>
      <c r="BV24" s="11">
        <f t="shared" si="8"/>
        <v>0</v>
      </c>
      <c r="BW24" s="11">
        <f t="shared" si="8"/>
        <v>0</v>
      </c>
      <c r="BX24" s="11">
        <f t="shared" si="8"/>
        <v>0</v>
      </c>
      <c r="BY24" s="11">
        <f t="shared" si="8"/>
        <v>0</v>
      </c>
      <c r="BZ24" s="11">
        <f t="shared" si="8"/>
        <v>0</v>
      </c>
      <c r="CA24" s="11">
        <f t="shared" si="8"/>
        <v>0</v>
      </c>
      <c r="CB24" s="11">
        <f t="shared" si="8"/>
        <v>0</v>
      </c>
      <c r="CC24" s="11">
        <f t="shared" si="8"/>
        <v>0</v>
      </c>
      <c r="CD24" s="11">
        <f t="shared" si="8"/>
        <v>0</v>
      </c>
      <c r="CE24" s="11">
        <f t="shared" si="8"/>
        <v>0</v>
      </c>
      <c r="CF24" s="11">
        <f t="shared" si="8"/>
        <v>0</v>
      </c>
      <c r="CG24" s="11">
        <f t="shared" si="8"/>
        <v>0</v>
      </c>
      <c r="CH24" s="11">
        <f t="shared" si="8"/>
        <v>0</v>
      </c>
      <c r="CI24" s="11">
        <f t="shared" si="8"/>
        <v>0</v>
      </c>
      <c r="CJ24" s="11">
        <f t="shared" si="8"/>
        <v>0</v>
      </c>
      <c r="CK24" s="11">
        <f t="shared" si="8"/>
        <v>0</v>
      </c>
      <c r="CL24" s="11">
        <f t="shared" si="8"/>
        <v>0</v>
      </c>
      <c r="CM24" s="11">
        <f t="shared" si="8"/>
        <v>0</v>
      </c>
      <c r="CN24" s="11">
        <f t="shared" si="8"/>
        <v>0</v>
      </c>
      <c r="CO24" s="11">
        <f t="shared" si="8"/>
        <v>0</v>
      </c>
      <c r="CP24" s="11">
        <f t="shared" si="8"/>
        <v>0</v>
      </c>
      <c r="CQ24" s="11">
        <f t="shared" si="8"/>
        <v>0</v>
      </c>
      <c r="CR24" s="11">
        <f t="shared" si="8"/>
        <v>0</v>
      </c>
      <c r="CS24" s="11">
        <f t="shared" si="8"/>
        <v>0</v>
      </c>
      <c r="CT24" s="11">
        <f t="shared" si="8"/>
        <v>0</v>
      </c>
      <c r="CU24" s="11">
        <f t="shared" si="8"/>
        <v>0</v>
      </c>
      <c r="CV24" s="11">
        <f t="shared" si="8"/>
        <v>0</v>
      </c>
      <c r="CW24" s="11">
        <f t="shared" si="8"/>
        <v>0</v>
      </c>
      <c r="CX24" s="11">
        <f t="shared" si="8"/>
        <v>0</v>
      </c>
      <c r="CY24" s="11">
        <f t="shared" si="8"/>
        <v>0</v>
      </c>
      <c r="CZ24" s="11">
        <f t="shared" si="8"/>
        <v>0</v>
      </c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</row>
    <row r="25" spans="1:122" ht="18" customHeight="1">
      <c r="A25" s="13" t="s">
        <v>13</v>
      </c>
      <c r="B25" s="14">
        <f>IFERROR(VLOOKUP(A25,PRICELIST!$A$3:$D$138,4,0),"-")</f>
        <v>110.57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9">
        <f t="shared" ref="CY25:CZ26" si="9">C25+E25+G25+I25+K25+M25+O25+Q25+S25+U25+W25+Y25+AA25+AC25+AE25+AG25+AI25+AK25+AM25+AO25+AQ25+AS25+AU25+AW25+AY25+BA25+BC25+BE25+BG25+BI25+BK25+BM25+BO25+BQ25+BS25+BU25+BW25+BY25+CA25+CC25+CE25+CG25+CI25+CK25+CM25+CO25+CQ25+CS25+CU25+CW25</f>
        <v>0</v>
      </c>
      <c r="CZ25" s="19">
        <f t="shared" si="9"/>
        <v>0</v>
      </c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</row>
    <row r="26" spans="1:122" ht="18" customHeight="1">
      <c r="A26" s="13" t="s">
        <v>14</v>
      </c>
      <c r="B26" s="14">
        <f>IFERROR(VLOOKUP(A26,PRICELIST!$A$3:$D$138,4,0),"-")</f>
        <v>184.82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9">
        <f t="shared" si="9"/>
        <v>0</v>
      </c>
      <c r="CZ26" s="19">
        <f t="shared" si="9"/>
        <v>0</v>
      </c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</row>
    <row r="27" spans="1:122" ht="18" customHeight="1">
      <c r="A27" s="9" t="s">
        <v>15</v>
      </c>
      <c r="B27" s="10"/>
      <c r="C27" s="11">
        <f>SUMPRODUCT($B25:$B26,C25:C26)</f>
        <v>0</v>
      </c>
      <c r="D27" s="11">
        <f t="shared" ref="D27:BO27" si="10">SUMPRODUCT($B25:$B26,D25:D26)</f>
        <v>0</v>
      </c>
      <c r="E27" s="11">
        <f t="shared" si="10"/>
        <v>0</v>
      </c>
      <c r="F27" s="11">
        <f t="shared" si="10"/>
        <v>0</v>
      </c>
      <c r="G27" s="11">
        <f t="shared" si="10"/>
        <v>0</v>
      </c>
      <c r="H27" s="11">
        <f t="shared" si="10"/>
        <v>0</v>
      </c>
      <c r="I27" s="11">
        <f t="shared" si="10"/>
        <v>0</v>
      </c>
      <c r="J27" s="11">
        <f t="shared" si="10"/>
        <v>0</v>
      </c>
      <c r="K27" s="11">
        <f t="shared" si="10"/>
        <v>0</v>
      </c>
      <c r="L27" s="11">
        <f t="shared" si="10"/>
        <v>0</v>
      </c>
      <c r="M27" s="11">
        <f t="shared" si="10"/>
        <v>0</v>
      </c>
      <c r="N27" s="11">
        <f t="shared" si="10"/>
        <v>0</v>
      </c>
      <c r="O27" s="11">
        <f t="shared" si="10"/>
        <v>0</v>
      </c>
      <c r="P27" s="11">
        <f t="shared" si="10"/>
        <v>0</v>
      </c>
      <c r="Q27" s="11">
        <f t="shared" si="10"/>
        <v>0</v>
      </c>
      <c r="R27" s="11">
        <f t="shared" si="10"/>
        <v>0</v>
      </c>
      <c r="S27" s="11">
        <f t="shared" si="10"/>
        <v>0</v>
      </c>
      <c r="T27" s="11">
        <f t="shared" si="10"/>
        <v>0</v>
      </c>
      <c r="U27" s="11">
        <f t="shared" si="10"/>
        <v>0</v>
      </c>
      <c r="V27" s="11">
        <f t="shared" si="10"/>
        <v>0</v>
      </c>
      <c r="W27" s="11">
        <f t="shared" si="10"/>
        <v>0</v>
      </c>
      <c r="X27" s="11">
        <f t="shared" si="10"/>
        <v>0</v>
      </c>
      <c r="Y27" s="11">
        <f t="shared" si="10"/>
        <v>0</v>
      </c>
      <c r="Z27" s="11">
        <f t="shared" si="10"/>
        <v>0</v>
      </c>
      <c r="AA27" s="11">
        <f t="shared" si="10"/>
        <v>0</v>
      </c>
      <c r="AB27" s="11">
        <f t="shared" si="10"/>
        <v>0</v>
      </c>
      <c r="AC27" s="11">
        <f t="shared" si="10"/>
        <v>0</v>
      </c>
      <c r="AD27" s="11">
        <f t="shared" si="10"/>
        <v>0</v>
      </c>
      <c r="AE27" s="11">
        <f t="shared" si="10"/>
        <v>0</v>
      </c>
      <c r="AF27" s="11">
        <f t="shared" si="10"/>
        <v>0</v>
      </c>
      <c r="AG27" s="11">
        <f t="shared" si="10"/>
        <v>0</v>
      </c>
      <c r="AH27" s="11">
        <f t="shared" si="10"/>
        <v>0</v>
      </c>
      <c r="AI27" s="11">
        <f t="shared" si="10"/>
        <v>0</v>
      </c>
      <c r="AJ27" s="11">
        <f t="shared" si="10"/>
        <v>0</v>
      </c>
      <c r="AK27" s="11">
        <f t="shared" si="10"/>
        <v>0</v>
      </c>
      <c r="AL27" s="11">
        <f t="shared" si="10"/>
        <v>0</v>
      </c>
      <c r="AM27" s="11">
        <f t="shared" si="10"/>
        <v>0</v>
      </c>
      <c r="AN27" s="11">
        <f t="shared" si="10"/>
        <v>0</v>
      </c>
      <c r="AO27" s="11">
        <f t="shared" si="10"/>
        <v>0</v>
      </c>
      <c r="AP27" s="11">
        <f t="shared" si="10"/>
        <v>0</v>
      </c>
      <c r="AQ27" s="11">
        <f t="shared" si="10"/>
        <v>0</v>
      </c>
      <c r="AR27" s="11">
        <f t="shared" si="10"/>
        <v>0</v>
      </c>
      <c r="AS27" s="11">
        <f t="shared" si="10"/>
        <v>0</v>
      </c>
      <c r="AT27" s="11">
        <f t="shared" si="10"/>
        <v>0</v>
      </c>
      <c r="AU27" s="11">
        <f t="shared" si="10"/>
        <v>0</v>
      </c>
      <c r="AV27" s="11">
        <f t="shared" si="10"/>
        <v>0</v>
      </c>
      <c r="AW27" s="11">
        <f t="shared" si="10"/>
        <v>0</v>
      </c>
      <c r="AX27" s="11">
        <f t="shared" si="10"/>
        <v>0</v>
      </c>
      <c r="AY27" s="11">
        <f t="shared" si="10"/>
        <v>0</v>
      </c>
      <c r="AZ27" s="11">
        <f t="shared" si="10"/>
        <v>0</v>
      </c>
      <c r="BA27" s="11">
        <f t="shared" si="10"/>
        <v>0</v>
      </c>
      <c r="BB27" s="11">
        <f t="shared" si="10"/>
        <v>0</v>
      </c>
      <c r="BC27" s="11">
        <f t="shared" si="10"/>
        <v>0</v>
      </c>
      <c r="BD27" s="11">
        <f t="shared" si="10"/>
        <v>0</v>
      </c>
      <c r="BE27" s="11">
        <f t="shared" si="10"/>
        <v>0</v>
      </c>
      <c r="BF27" s="11">
        <f t="shared" si="10"/>
        <v>0</v>
      </c>
      <c r="BG27" s="11">
        <f t="shared" si="10"/>
        <v>0</v>
      </c>
      <c r="BH27" s="11">
        <f t="shared" si="10"/>
        <v>0</v>
      </c>
      <c r="BI27" s="11">
        <f t="shared" si="10"/>
        <v>0</v>
      </c>
      <c r="BJ27" s="11">
        <f t="shared" si="10"/>
        <v>0</v>
      </c>
      <c r="BK27" s="11">
        <f t="shared" si="10"/>
        <v>0</v>
      </c>
      <c r="BL27" s="11">
        <f t="shared" si="10"/>
        <v>0</v>
      </c>
      <c r="BM27" s="11">
        <f t="shared" si="10"/>
        <v>0</v>
      </c>
      <c r="BN27" s="11">
        <f t="shared" si="10"/>
        <v>0</v>
      </c>
      <c r="BO27" s="11">
        <f t="shared" si="10"/>
        <v>0</v>
      </c>
      <c r="BP27" s="11">
        <f t="shared" ref="BP27:CZ27" si="11">SUMPRODUCT($B25:$B26,BP25:BP26)</f>
        <v>0</v>
      </c>
      <c r="BQ27" s="11">
        <f t="shared" si="11"/>
        <v>0</v>
      </c>
      <c r="BR27" s="11">
        <f t="shared" si="11"/>
        <v>0</v>
      </c>
      <c r="BS27" s="11">
        <f t="shared" si="11"/>
        <v>0</v>
      </c>
      <c r="BT27" s="11">
        <f t="shared" si="11"/>
        <v>0</v>
      </c>
      <c r="BU27" s="11">
        <f t="shared" si="11"/>
        <v>0</v>
      </c>
      <c r="BV27" s="11">
        <f t="shared" si="11"/>
        <v>0</v>
      </c>
      <c r="BW27" s="11">
        <f t="shared" si="11"/>
        <v>0</v>
      </c>
      <c r="BX27" s="11">
        <f t="shared" si="11"/>
        <v>0</v>
      </c>
      <c r="BY27" s="11">
        <f t="shared" si="11"/>
        <v>0</v>
      </c>
      <c r="BZ27" s="11">
        <f t="shared" si="11"/>
        <v>0</v>
      </c>
      <c r="CA27" s="11">
        <f t="shared" si="11"/>
        <v>0</v>
      </c>
      <c r="CB27" s="11">
        <f t="shared" si="11"/>
        <v>0</v>
      </c>
      <c r="CC27" s="11">
        <f t="shared" si="11"/>
        <v>0</v>
      </c>
      <c r="CD27" s="11">
        <f t="shared" si="11"/>
        <v>0</v>
      </c>
      <c r="CE27" s="11">
        <f t="shared" si="11"/>
        <v>0</v>
      </c>
      <c r="CF27" s="11">
        <f t="shared" si="11"/>
        <v>0</v>
      </c>
      <c r="CG27" s="11">
        <f t="shared" si="11"/>
        <v>0</v>
      </c>
      <c r="CH27" s="11">
        <f t="shared" si="11"/>
        <v>0</v>
      </c>
      <c r="CI27" s="11">
        <f t="shared" si="11"/>
        <v>0</v>
      </c>
      <c r="CJ27" s="11">
        <f t="shared" si="11"/>
        <v>0</v>
      </c>
      <c r="CK27" s="11">
        <f t="shared" si="11"/>
        <v>0</v>
      </c>
      <c r="CL27" s="11">
        <f t="shared" si="11"/>
        <v>0</v>
      </c>
      <c r="CM27" s="11">
        <f t="shared" si="11"/>
        <v>0</v>
      </c>
      <c r="CN27" s="11">
        <f t="shared" si="11"/>
        <v>0</v>
      </c>
      <c r="CO27" s="11">
        <f t="shared" si="11"/>
        <v>0</v>
      </c>
      <c r="CP27" s="11">
        <f t="shared" si="11"/>
        <v>0</v>
      </c>
      <c r="CQ27" s="11">
        <f t="shared" si="11"/>
        <v>0</v>
      </c>
      <c r="CR27" s="11">
        <f t="shared" si="11"/>
        <v>0</v>
      </c>
      <c r="CS27" s="11">
        <f t="shared" si="11"/>
        <v>0</v>
      </c>
      <c r="CT27" s="11">
        <f t="shared" si="11"/>
        <v>0</v>
      </c>
      <c r="CU27" s="11">
        <f t="shared" si="11"/>
        <v>0</v>
      </c>
      <c r="CV27" s="11">
        <f t="shared" si="11"/>
        <v>0</v>
      </c>
      <c r="CW27" s="11">
        <f t="shared" si="11"/>
        <v>0</v>
      </c>
      <c r="CX27" s="11">
        <f t="shared" si="11"/>
        <v>0</v>
      </c>
      <c r="CY27" s="11">
        <f t="shared" si="11"/>
        <v>0</v>
      </c>
      <c r="CZ27" s="11">
        <f t="shared" si="11"/>
        <v>0</v>
      </c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</row>
    <row r="28" spans="1:122" ht="18" customHeight="1">
      <c r="A28" s="13" t="s">
        <v>16</v>
      </c>
      <c r="B28" s="14">
        <f>IFERROR(VLOOKUP(A28,PRICELIST!$A$3:$D$138,4,0),"-")</f>
        <v>113.79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9">
        <f t="shared" ref="CY28:CZ33" si="12">C28+E28+G28+I28+K28+M28+O28+Q28+S28+U28+W28+Y28+AA28+AC28+AE28+AG28+AI28+AK28+AM28+AO28+AQ28+AS28+AU28+AW28+AY28+BA28+BC28+BE28+BG28+BI28+BK28+BM28+BO28+BQ28+BS28+BU28+BW28+BY28+CA28+CC28+CE28+CG28+CI28+CK28+CM28+CO28+CQ28+CS28+CU28+CW28</f>
        <v>0</v>
      </c>
      <c r="CZ28" s="19">
        <f t="shared" si="12"/>
        <v>0</v>
      </c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</row>
    <row r="29" spans="1:122" ht="18" customHeight="1">
      <c r="A29" s="13" t="s">
        <v>17</v>
      </c>
      <c r="B29" s="14">
        <f>IFERROR(VLOOKUP(A29,PRICELIST!$A$3:$D$138,4,0),"-")</f>
        <v>188.04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9">
        <f t="shared" si="12"/>
        <v>0</v>
      </c>
      <c r="CZ29" s="19">
        <f t="shared" si="12"/>
        <v>0</v>
      </c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</row>
    <row r="30" spans="1:122" ht="18" customHeight="1">
      <c r="A30" s="13" t="s">
        <v>18</v>
      </c>
      <c r="B30" s="14">
        <f>IFERROR(VLOOKUP(A30,PRICELIST!$A$3:$D$138,4,0),"-")</f>
        <v>68.16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9">
        <f t="shared" si="12"/>
        <v>0</v>
      </c>
      <c r="CZ30" s="19">
        <f t="shared" si="12"/>
        <v>0</v>
      </c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</row>
    <row r="31" spans="1:122" ht="18" customHeight="1">
      <c r="A31" s="13" t="s">
        <v>19</v>
      </c>
      <c r="B31" s="14">
        <f>IFERROR(VLOOKUP(A31,PRICELIST!$A$3:$D$138,4,0),"-")</f>
        <v>101.57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9">
        <f t="shared" si="12"/>
        <v>0</v>
      </c>
      <c r="CZ31" s="19">
        <f t="shared" si="12"/>
        <v>0</v>
      </c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</row>
    <row r="32" spans="1:122" ht="18" customHeight="1">
      <c r="A32" s="13" t="s">
        <v>20</v>
      </c>
      <c r="B32" s="14">
        <f>IFERROR(VLOOKUP(A32,PRICELIST!$A$3:$D$138,4,0),"-")</f>
        <v>164.73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9">
        <f t="shared" si="12"/>
        <v>0</v>
      </c>
      <c r="CZ32" s="19">
        <f t="shared" si="12"/>
        <v>0</v>
      </c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</row>
    <row r="33" spans="1:122" ht="18" customHeight="1">
      <c r="A33" s="13" t="s">
        <v>21</v>
      </c>
      <c r="B33" s="14">
        <f>IFERROR(VLOOKUP(A33,PRICELIST!$A$3:$D$138,4,0),"-")</f>
        <v>78.099999999999994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9">
        <f t="shared" si="12"/>
        <v>0</v>
      </c>
      <c r="CZ33" s="19">
        <f t="shared" si="12"/>
        <v>0</v>
      </c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</row>
    <row r="34" spans="1:122" ht="18" customHeight="1">
      <c r="A34" s="9" t="s">
        <v>22</v>
      </c>
      <c r="B34" s="10"/>
      <c r="C34" s="11">
        <f>SUMPRODUCT($B28:$B33,C28:C33)</f>
        <v>0</v>
      </c>
      <c r="D34" s="11">
        <f t="shared" ref="D34:BO34" si="13">SUMPRODUCT($B28:$B33,D28:D33)</f>
        <v>0</v>
      </c>
      <c r="E34" s="11">
        <f t="shared" si="13"/>
        <v>0</v>
      </c>
      <c r="F34" s="11">
        <f t="shared" si="13"/>
        <v>0</v>
      </c>
      <c r="G34" s="11">
        <f t="shared" si="13"/>
        <v>0</v>
      </c>
      <c r="H34" s="11">
        <f t="shared" si="13"/>
        <v>0</v>
      </c>
      <c r="I34" s="11">
        <f t="shared" si="13"/>
        <v>0</v>
      </c>
      <c r="J34" s="11">
        <f t="shared" si="13"/>
        <v>0</v>
      </c>
      <c r="K34" s="11">
        <f t="shared" si="13"/>
        <v>0</v>
      </c>
      <c r="L34" s="11">
        <f t="shared" si="13"/>
        <v>0</v>
      </c>
      <c r="M34" s="11">
        <f t="shared" si="13"/>
        <v>0</v>
      </c>
      <c r="N34" s="11">
        <f t="shared" si="13"/>
        <v>0</v>
      </c>
      <c r="O34" s="11">
        <f t="shared" si="13"/>
        <v>0</v>
      </c>
      <c r="P34" s="11">
        <f t="shared" si="13"/>
        <v>0</v>
      </c>
      <c r="Q34" s="11">
        <f t="shared" si="13"/>
        <v>0</v>
      </c>
      <c r="R34" s="11">
        <f t="shared" si="13"/>
        <v>0</v>
      </c>
      <c r="S34" s="11">
        <f t="shared" si="13"/>
        <v>0</v>
      </c>
      <c r="T34" s="11">
        <f t="shared" si="13"/>
        <v>0</v>
      </c>
      <c r="U34" s="11">
        <f t="shared" si="13"/>
        <v>0</v>
      </c>
      <c r="V34" s="11">
        <f t="shared" si="13"/>
        <v>0</v>
      </c>
      <c r="W34" s="11">
        <f t="shared" si="13"/>
        <v>0</v>
      </c>
      <c r="X34" s="11">
        <f t="shared" si="13"/>
        <v>0</v>
      </c>
      <c r="Y34" s="11">
        <f t="shared" si="13"/>
        <v>0</v>
      </c>
      <c r="Z34" s="11">
        <f t="shared" si="13"/>
        <v>0</v>
      </c>
      <c r="AA34" s="11">
        <f t="shared" si="13"/>
        <v>0</v>
      </c>
      <c r="AB34" s="11">
        <f t="shared" si="13"/>
        <v>0</v>
      </c>
      <c r="AC34" s="11">
        <f t="shared" si="13"/>
        <v>0</v>
      </c>
      <c r="AD34" s="11">
        <f t="shared" si="13"/>
        <v>0</v>
      </c>
      <c r="AE34" s="11">
        <f t="shared" si="13"/>
        <v>0</v>
      </c>
      <c r="AF34" s="11">
        <f t="shared" si="13"/>
        <v>0</v>
      </c>
      <c r="AG34" s="11">
        <f t="shared" si="13"/>
        <v>0</v>
      </c>
      <c r="AH34" s="11">
        <f t="shared" si="13"/>
        <v>0</v>
      </c>
      <c r="AI34" s="11">
        <f t="shared" si="13"/>
        <v>0</v>
      </c>
      <c r="AJ34" s="11">
        <f t="shared" si="13"/>
        <v>0</v>
      </c>
      <c r="AK34" s="11">
        <f t="shared" si="13"/>
        <v>0</v>
      </c>
      <c r="AL34" s="11">
        <f t="shared" si="13"/>
        <v>0</v>
      </c>
      <c r="AM34" s="11">
        <f t="shared" si="13"/>
        <v>0</v>
      </c>
      <c r="AN34" s="11">
        <f t="shared" si="13"/>
        <v>0</v>
      </c>
      <c r="AO34" s="11">
        <f t="shared" si="13"/>
        <v>0</v>
      </c>
      <c r="AP34" s="11">
        <f t="shared" si="13"/>
        <v>0</v>
      </c>
      <c r="AQ34" s="11">
        <f t="shared" si="13"/>
        <v>0</v>
      </c>
      <c r="AR34" s="11">
        <f t="shared" si="13"/>
        <v>0</v>
      </c>
      <c r="AS34" s="11">
        <f t="shared" si="13"/>
        <v>0</v>
      </c>
      <c r="AT34" s="11">
        <f t="shared" si="13"/>
        <v>0</v>
      </c>
      <c r="AU34" s="11">
        <f t="shared" si="13"/>
        <v>0</v>
      </c>
      <c r="AV34" s="11">
        <f t="shared" si="13"/>
        <v>0</v>
      </c>
      <c r="AW34" s="11">
        <f t="shared" si="13"/>
        <v>0</v>
      </c>
      <c r="AX34" s="11">
        <f t="shared" si="13"/>
        <v>0</v>
      </c>
      <c r="AY34" s="11">
        <f t="shared" si="13"/>
        <v>0</v>
      </c>
      <c r="AZ34" s="11">
        <f t="shared" si="13"/>
        <v>0</v>
      </c>
      <c r="BA34" s="11">
        <f t="shared" si="13"/>
        <v>0</v>
      </c>
      <c r="BB34" s="11">
        <f t="shared" si="13"/>
        <v>0</v>
      </c>
      <c r="BC34" s="11">
        <f t="shared" si="13"/>
        <v>0</v>
      </c>
      <c r="BD34" s="11">
        <f t="shared" si="13"/>
        <v>0</v>
      </c>
      <c r="BE34" s="11">
        <f t="shared" si="13"/>
        <v>0</v>
      </c>
      <c r="BF34" s="11">
        <f t="shared" si="13"/>
        <v>0</v>
      </c>
      <c r="BG34" s="11">
        <f t="shared" si="13"/>
        <v>0</v>
      </c>
      <c r="BH34" s="11">
        <f t="shared" si="13"/>
        <v>0</v>
      </c>
      <c r="BI34" s="11">
        <f t="shared" si="13"/>
        <v>0</v>
      </c>
      <c r="BJ34" s="11">
        <f t="shared" si="13"/>
        <v>0</v>
      </c>
      <c r="BK34" s="11">
        <f t="shared" si="13"/>
        <v>0</v>
      </c>
      <c r="BL34" s="11">
        <f t="shared" si="13"/>
        <v>0</v>
      </c>
      <c r="BM34" s="11">
        <f t="shared" si="13"/>
        <v>0</v>
      </c>
      <c r="BN34" s="11">
        <f t="shared" si="13"/>
        <v>0</v>
      </c>
      <c r="BO34" s="11">
        <f t="shared" si="13"/>
        <v>0</v>
      </c>
      <c r="BP34" s="11">
        <f t="shared" ref="BP34:CZ34" si="14">SUMPRODUCT($B28:$B33,BP28:BP33)</f>
        <v>0</v>
      </c>
      <c r="BQ34" s="11">
        <f t="shared" si="14"/>
        <v>0</v>
      </c>
      <c r="BR34" s="11">
        <f t="shared" si="14"/>
        <v>0</v>
      </c>
      <c r="BS34" s="11">
        <f t="shared" si="14"/>
        <v>0</v>
      </c>
      <c r="BT34" s="11">
        <f t="shared" si="14"/>
        <v>0</v>
      </c>
      <c r="BU34" s="11">
        <f t="shared" si="14"/>
        <v>0</v>
      </c>
      <c r="BV34" s="11">
        <f t="shared" si="14"/>
        <v>0</v>
      </c>
      <c r="BW34" s="11">
        <f t="shared" si="14"/>
        <v>0</v>
      </c>
      <c r="BX34" s="11">
        <f t="shared" si="14"/>
        <v>0</v>
      </c>
      <c r="BY34" s="11">
        <f t="shared" si="14"/>
        <v>0</v>
      </c>
      <c r="BZ34" s="11">
        <f t="shared" si="14"/>
        <v>0</v>
      </c>
      <c r="CA34" s="11">
        <f t="shared" si="14"/>
        <v>0</v>
      </c>
      <c r="CB34" s="11">
        <f t="shared" si="14"/>
        <v>0</v>
      </c>
      <c r="CC34" s="11">
        <f t="shared" si="14"/>
        <v>0</v>
      </c>
      <c r="CD34" s="11">
        <f t="shared" si="14"/>
        <v>0</v>
      </c>
      <c r="CE34" s="11">
        <f t="shared" si="14"/>
        <v>0</v>
      </c>
      <c r="CF34" s="11">
        <f t="shared" si="14"/>
        <v>0</v>
      </c>
      <c r="CG34" s="11">
        <f t="shared" si="14"/>
        <v>0</v>
      </c>
      <c r="CH34" s="11">
        <f t="shared" si="14"/>
        <v>0</v>
      </c>
      <c r="CI34" s="11">
        <f t="shared" si="14"/>
        <v>0</v>
      </c>
      <c r="CJ34" s="11">
        <f t="shared" si="14"/>
        <v>0</v>
      </c>
      <c r="CK34" s="11">
        <f t="shared" si="14"/>
        <v>0</v>
      </c>
      <c r="CL34" s="11">
        <f t="shared" si="14"/>
        <v>0</v>
      </c>
      <c r="CM34" s="11">
        <f t="shared" si="14"/>
        <v>0</v>
      </c>
      <c r="CN34" s="11">
        <f t="shared" si="14"/>
        <v>0</v>
      </c>
      <c r="CO34" s="11">
        <f t="shared" si="14"/>
        <v>0</v>
      </c>
      <c r="CP34" s="11">
        <f t="shared" si="14"/>
        <v>0</v>
      </c>
      <c r="CQ34" s="11">
        <f t="shared" si="14"/>
        <v>0</v>
      </c>
      <c r="CR34" s="11">
        <f t="shared" si="14"/>
        <v>0</v>
      </c>
      <c r="CS34" s="11">
        <f t="shared" si="14"/>
        <v>0</v>
      </c>
      <c r="CT34" s="11">
        <f t="shared" si="14"/>
        <v>0</v>
      </c>
      <c r="CU34" s="11">
        <f t="shared" si="14"/>
        <v>0</v>
      </c>
      <c r="CV34" s="11">
        <f t="shared" si="14"/>
        <v>0</v>
      </c>
      <c r="CW34" s="11">
        <f t="shared" si="14"/>
        <v>0</v>
      </c>
      <c r="CX34" s="11">
        <f t="shared" si="14"/>
        <v>0</v>
      </c>
      <c r="CY34" s="11">
        <f t="shared" si="14"/>
        <v>0</v>
      </c>
      <c r="CZ34" s="11">
        <f t="shared" si="14"/>
        <v>0</v>
      </c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</row>
    <row r="35" spans="1:122" ht="18" customHeight="1">
      <c r="A35" s="13" t="s">
        <v>23</v>
      </c>
      <c r="B35" s="14">
        <f>IFERROR(VLOOKUP(A35,PRICELIST!$A$3:$D$138,4,0),"-")</f>
        <v>60.11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9">
        <f t="shared" ref="CY35:CZ36" si="15">C35+E35+G35+I35+K35+M35+O35+Q35+S35+U35+W35+Y35+AA35+AC35+AE35+AG35+AI35+AK35+AM35+AO35+AQ35+AS35+AU35+AW35+AY35+BA35+BC35+BE35+BG35+BI35+BK35+BM35+BO35+BQ35+BS35+BU35+BW35+BY35+CA35+CC35+CE35+CG35+CI35+CK35+CM35+CO35+CQ35+CS35+CU35+CW35</f>
        <v>0</v>
      </c>
      <c r="CZ35" s="19">
        <f t="shared" si="15"/>
        <v>0</v>
      </c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</row>
    <row r="36" spans="1:122" ht="18" customHeight="1">
      <c r="A36" s="13" t="s">
        <v>24</v>
      </c>
      <c r="B36" s="14">
        <f>IFERROR(VLOOKUP(A36,PRICELIST!$A$3:$D$138,4,0),"-")</f>
        <v>91.2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9">
        <f t="shared" si="15"/>
        <v>0</v>
      </c>
      <c r="CZ36" s="19">
        <f t="shared" si="15"/>
        <v>0</v>
      </c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</row>
    <row r="37" spans="1:122" ht="18" customHeight="1">
      <c r="A37" s="9" t="s">
        <v>25</v>
      </c>
      <c r="B37" s="10"/>
      <c r="C37" s="11">
        <f>SUMPRODUCT($B35:$B36,C35:C36)</f>
        <v>0</v>
      </c>
      <c r="D37" s="11">
        <f t="shared" ref="D37:BO37" si="16">SUMPRODUCT($B35:$B36,D35:D36)</f>
        <v>0</v>
      </c>
      <c r="E37" s="11">
        <f t="shared" si="16"/>
        <v>0</v>
      </c>
      <c r="F37" s="11">
        <f t="shared" si="16"/>
        <v>0</v>
      </c>
      <c r="G37" s="11">
        <f t="shared" si="16"/>
        <v>0</v>
      </c>
      <c r="H37" s="11">
        <f t="shared" si="16"/>
        <v>0</v>
      </c>
      <c r="I37" s="11">
        <f t="shared" si="16"/>
        <v>0</v>
      </c>
      <c r="J37" s="11">
        <f t="shared" si="16"/>
        <v>0</v>
      </c>
      <c r="K37" s="11">
        <f t="shared" si="16"/>
        <v>0</v>
      </c>
      <c r="L37" s="11">
        <f t="shared" si="16"/>
        <v>0</v>
      </c>
      <c r="M37" s="11">
        <f t="shared" si="16"/>
        <v>0</v>
      </c>
      <c r="N37" s="11">
        <f t="shared" si="16"/>
        <v>0</v>
      </c>
      <c r="O37" s="11">
        <f t="shared" si="16"/>
        <v>0</v>
      </c>
      <c r="P37" s="11">
        <f t="shared" si="16"/>
        <v>0</v>
      </c>
      <c r="Q37" s="11">
        <f t="shared" si="16"/>
        <v>0</v>
      </c>
      <c r="R37" s="11">
        <f t="shared" si="16"/>
        <v>0</v>
      </c>
      <c r="S37" s="11">
        <f t="shared" si="16"/>
        <v>0</v>
      </c>
      <c r="T37" s="11">
        <f t="shared" si="16"/>
        <v>0</v>
      </c>
      <c r="U37" s="11">
        <f t="shared" si="16"/>
        <v>0</v>
      </c>
      <c r="V37" s="11">
        <f t="shared" si="16"/>
        <v>0</v>
      </c>
      <c r="W37" s="11">
        <f t="shared" si="16"/>
        <v>0</v>
      </c>
      <c r="X37" s="11">
        <f t="shared" si="16"/>
        <v>0</v>
      </c>
      <c r="Y37" s="11">
        <f t="shared" si="16"/>
        <v>0</v>
      </c>
      <c r="Z37" s="11">
        <f t="shared" si="16"/>
        <v>0</v>
      </c>
      <c r="AA37" s="11">
        <f t="shared" si="16"/>
        <v>0</v>
      </c>
      <c r="AB37" s="11">
        <f t="shared" si="16"/>
        <v>0</v>
      </c>
      <c r="AC37" s="11">
        <f t="shared" si="16"/>
        <v>0</v>
      </c>
      <c r="AD37" s="11">
        <f t="shared" si="16"/>
        <v>0</v>
      </c>
      <c r="AE37" s="11">
        <f t="shared" si="16"/>
        <v>0</v>
      </c>
      <c r="AF37" s="11">
        <f t="shared" si="16"/>
        <v>0</v>
      </c>
      <c r="AG37" s="11">
        <f t="shared" si="16"/>
        <v>0</v>
      </c>
      <c r="AH37" s="11">
        <f t="shared" si="16"/>
        <v>0</v>
      </c>
      <c r="AI37" s="11">
        <f t="shared" si="16"/>
        <v>0</v>
      </c>
      <c r="AJ37" s="11">
        <f t="shared" si="16"/>
        <v>0</v>
      </c>
      <c r="AK37" s="11">
        <f t="shared" si="16"/>
        <v>0</v>
      </c>
      <c r="AL37" s="11">
        <f t="shared" si="16"/>
        <v>0</v>
      </c>
      <c r="AM37" s="11">
        <f t="shared" si="16"/>
        <v>0</v>
      </c>
      <c r="AN37" s="11">
        <f t="shared" si="16"/>
        <v>0</v>
      </c>
      <c r="AO37" s="11">
        <f t="shared" si="16"/>
        <v>0</v>
      </c>
      <c r="AP37" s="11">
        <f t="shared" si="16"/>
        <v>0</v>
      </c>
      <c r="AQ37" s="11">
        <f t="shared" si="16"/>
        <v>0</v>
      </c>
      <c r="AR37" s="11">
        <f t="shared" si="16"/>
        <v>0</v>
      </c>
      <c r="AS37" s="11">
        <f t="shared" si="16"/>
        <v>0</v>
      </c>
      <c r="AT37" s="11">
        <f t="shared" si="16"/>
        <v>0</v>
      </c>
      <c r="AU37" s="11">
        <f t="shared" si="16"/>
        <v>0</v>
      </c>
      <c r="AV37" s="11">
        <f t="shared" si="16"/>
        <v>0</v>
      </c>
      <c r="AW37" s="11">
        <f t="shared" si="16"/>
        <v>0</v>
      </c>
      <c r="AX37" s="11">
        <f t="shared" si="16"/>
        <v>0</v>
      </c>
      <c r="AY37" s="11">
        <f t="shared" si="16"/>
        <v>0</v>
      </c>
      <c r="AZ37" s="11">
        <f t="shared" si="16"/>
        <v>0</v>
      </c>
      <c r="BA37" s="11">
        <f t="shared" si="16"/>
        <v>0</v>
      </c>
      <c r="BB37" s="11">
        <f t="shared" si="16"/>
        <v>0</v>
      </c>
      <c r="BC37" s="11">
        <f t="shared" si="16"/>
        <v>0</v>
      </c>
      <c r="BD37" s="11">
        <f t="shared" si="16"/>
        <v>0</v>
      </c>
      <c r="BE37" s="11">
        <f t="shared" si="16"/>
        <v>0</v>
      </c>
      <c r="BF37" s="11">
        <f t="shared" si="16"/>
        <v>0</v>
      </c>
      <c r="BG37" s="11">
        <f t="shared" si="16"/>
        <v>0</v>
      </c>
      <c r="BH37" s="11">
        <f t="shared" si="16"/>
        <v>0</v>
      </c>
      <c r="BI37" s="11">
        <f t="shared" si="16"/>
        <v>0</v>
      </c>
      <c r="BJ37" s="11">
        <f t="shared" si="16"/>
        <v>0</v>
      </c>
      <c r="BK37" s="11">
        <f t="shared" si="16"/>
        <v>0</v>
      </c>
      <c r="BL37" s="11">
        <f t="shared" si="16"/>
        <v>0</v>
      </c>
      <c r="BM37" s="11">
        <f t="shared" si="16"/>
        <v>0</v>
      </c>
      <c r="BN37" s="11">
        <f t="shared" si="16"/>
        <v>0</v>
      </c>
      <c r="BO37" s="11">
        <f t="shared" si="16"/>
        <v>0</v>
      </c>
      <c r="BP37" s="11">
        <f t="shared" ref="BP37:CZ37" si="17">SUMPRODUCT($B35:$B36,BP35:BP36)</f>
        <v>0</v>
      </c>
      <c r="BQ37" s="11">
        <f t="shared" si="17"/>
        <v>0</v>
      </c>
      <c r="BR37" s="11">
        <f t="shared" si="17"/>
        <v>0</v>
      </c>
      <c r="BS37" s="11">
        <f t="shared" si="17"/>
        <v>0</v>
      </c>
      <c r="BT37" s="11">
        <f t="shared" si="17"/>
        <v>0</v>
      </c>
      <c r="BU37" s="11">
        <f t="shared" si="17"/>
        <v>0</v>
      </c>
      <c r="BV37" s="11">
        <f t="shared" si="17"/>
        <v>0</v>
      </c>
      <c r="BW37" s="11">
        <f t="shared" si="17"/>
        <v>0</v>
      </c>
      <c r="BX37" s="11">
        <f t="shared" si="17"/>
        <v>0</v>
      </c>
      <c r="BY37" s="11">
        <f t="shared" si="17"/>
        <v>0</v>
      </c>
      <c r="BZ37" s="11">
        <f t="shared" si="17"/>
        <v>0</v>
      </c>
      <c r="CA37" s="11">
        <f t="shared" si="17"/>
        <v>0</v>
      </c>
      <c r="CB37" s="11">
        <f t="shared" si="17"/>
        <v>0</v>
      </c>
      <c r="CC37" s="11">
        <f t="shared" si="17"/>
        <v>0</v>
      </c>
      <c r="CD37" s="11">
        <f t="shared" si="17"/>
        <v>0</v>
      </c>
      <c r="CE37" s="11">
        <f t="shared" si="17"/>
        <v>0</v>
      </c>
      <c r="CF37" s="11">
        <f t="shared" si="17"/>
        <v>0</v>
      </c>
      <c r="CG37" s="11">
        <f t="shared" si="17"/>
        <v>0</v>
      </c>
      <c r="CH37" s="11">
        <f t="shared" si="17"/>
        <v>0</v>
      </c>
      <c r="CI37" s="11">
        <f t="shared" si="17"/>
        <v>0</v>
      </c>
      <c r="CJ37" s="11">
        <f t="shared" si="17"/>
        <v>0</v>
      </c>
      <c r="CK37" s="11">
        <f t="shared" si="17"/>
        <v>0</v>
      </c>
      <c r="CL37" s="11">
        <f t="shared" si="17"/>
        <v>0</v>
      </c>
      <c r="CM37" s="11">
        <f t="shared" si="17"/>
        <v>0</v>
      </c>
      <c r="CN37" s="11">
        <f t="shared" si="17"/>
        <v>0</v>
      </c>
      <c r="CO37" s="11">
        <f t="shared" si="17"/>
        <v>0</v>
      </c>
      <c r="CP37" s="11">
        <f t="shared" si="17"/>
        <v>0</v>
      </c>
      <c r="CQ37" s="11">
        <f t="shared" si="17"/>
        <v>0</v>
      </c>
      <c r="CR37" s="11">
        <f t="shared" si="17"/>
        <v>0</v>
      </c>
      <c r="CS37" s="11">
        <f t="shared" si="17"/>
        <v>0</v>
      </c>
      <c r="CT37" s="11">
        <f t="shared" si="17"/>
        <v>0</v>
      </c>
      <c r="CU37" s="11">
        <f t="shared" si="17"/>
        <v>0</v>
      </c>
      <c r="CV37" s="11">
        <f t="shared" si="17"/>
        <v>0</v>
      </c>
      <c r="CW37" s="11">
        <f t="shared" si="17"/>
        <v>0</v>
      </c>
      <c r="CX37" s="11">
        <f t="shared" si="17"/>
        <v>0</v>
      </c>
      <c r="CY37" s="11">
        <f t="shared" si="17"/>
        <v>0</v>
      </c>
      <c r="CZ37" s="11">
        <f t="shared" si="17"/>
        <v>0</v>
      </c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</row>
    <row r="38" spans="1:122" ht="18" customHeight="1">
      <c r="A38" s="13" t="s">
        <v>26</v>
      </c>
      <c r="B38" s="14">
        <f>IFERROR(VLOOKUP(A38,PRICELIST!$A$3:$D$138,4,0),"-")</f>
        <v>159.75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9">
        <f t="shared" ref="CY38:CZ39" si="18">C38+E38+G38+I38+K38+M38+O38+Q38+S38+U38+W38+Y38+AA38+AC38+AE38+AG38+AI38+AK38+AM38+AO38+AQ38+AS38+AU38+AW38+AY38+BA38+BC38+BE38+BG38+BI38+BK38+BM38+BO38+BQ38+BS38+BU38+BW38+BY38+CA38+CC38+CE38+CG38+CI38+CK38+CM38+CO38+CQ38+CS38+CU38+CW38</f>
        <v>0</v>
      </c>
      <c r="CZ38" s="19">
        <f t="shared" si="18"/>
        <v>0</v>
      </c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</row>
    <row r="39" spans="1:122" ht="18" customHeight="1">
      <c r="A39" s="13" t="s">
        <v>27</v>
      </c>
      <c r="B39" s="14">
        <f>IFERROR(VLOOKUP(A39,PRICELIST!$A$3:$D$138,4,0),"-")</f>
        <v>83.59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9">
        <f t="shared" si="18"/>
        <v>0</v>
      </c>
      <c r="CZ39" s="19">
        <f t="shared" si="18"/>
        <v>0</v>
      </c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</row>
    <row r="40" spans="1:122" ht="18" customHeight="1">
      <c r="A40" s="9" t="s">
        <v>28</v>
      </c>
      <c r="B40" s="10"/>
      <c r="C40" s="11">
        <f>SUMPRODUCT($B38:$B39,C38:C39)</f>
        <v>0</v>
      </c>
      <c r="D40" s="11">
        <f t="shared" ref="D40:BO40" si="19">SUMPRODUCT($B38:$B39,D38:D39)</f>
        <v>0</v>
      </c>
      <c r="E40" s="11">
        <f t="shared" si="19"/>
        <v>0</v>
      </c>
      <c r="F40" s="11">
        <f t="shared" si="19"/>
        <v>0</v>
      </c>
      <c r="G40" s="11">
        <f t="shared" si="19"/>
        <v>0</v>
      </c>
      <c r="H40" s="11">
        <f t="shared" si="19"/>
        <v>0</v>
      </c>
      <c r="I40" s="11">
        <f t="shared" si="19"/>
        <v>0</v>
      </c>
      <c r="J40" s="11">
        <f t="shared" si="19"/>
        <v>0</v>
      </c>
      <c r="K40" s="11">
        <f t="shared" si="19"/>
        <v>0</v>
      </c>
      <c r="L40" s="11">
        <f t="shared" si="19"/>
        <v>0</v>
      </c>
      <c r="M40" s="11">
        <f t="shared" si="19"/>
        <v>0</v>
      </c>
      <c r="N40" s="11">
        <f t="shared" si="19"/>
        <v>0</v>
      </c>
      <c r="O40" s="11">
        <f t="shared" si="19"/>
        <v>0</v>
      </c>
      <c r="P40" s="11">
        <f t="shared" si="19"/>
        <v>0</v>
      </c>
      <c r="Q40" s="11">
        <f t="shared" si="19"/>
        <v>0</v>
      </c>
      <c r="R40" s="11">
        <f t="shared" si="19"/>
        <v>0</v>
      </c>
      <c r="S40" s="11">
        <f t="shared" si="19"/>
        <v>0</v>
      </c>
      <c r="T40" s="11">
        <f t="shared" si="19"/>
        <v>0</v>
      </c>
      <c r="U40" s="11">
        <f t="shared" si="19"/>
        <v>0</v>
      </c>
      <c r="V40" s="11">
        <f t="shared" si="19"/>
        <v>0</v>
      </c>
      <c r="W40" s="11">
        <f t="shared" si="19"/>
        <v>0</v>
      </c>
      <c r="X40" s="11">
        <f t="shared" si="19"/>
        <v>0</v>
      </c>
      <c r="Y40" s="11">
        <f t="shared" si="19"/>
        <v>0</v>
      </c>
      <c r="Z40" s="11">
        <f t="shared" si="19"/>
        <v>0</v>
      </c>
      <c r="AA40" s="11">
        <f t="shared" si="19"/>
        <v>0</v>
      </c>
      <c r="AB40" s="11">
        <f t="shared" si="19"/>
        <v>0</v>
      </c>
      <c r="AC40" s="11">
        <f t="shared" si="19"/>
        <v>0</v>
      </c>
      <c r="AD40" s="11">
        <f t="shared" si="19"/>
        <v>0</v>
      </c>
      <c r="AE40" s="11">
        <f t="shared" si="19"/>
        <v>0</v>
      </c>
      <c r="AF40" s="11">
        <f t="shared" si="19"/>
        <v>0</v>
      </c>
      <c r="AG40" s="11">
        <f t="shared" si="19"/>
        <v>0</v>
      </c>
      <c r="AH40" s="11">
        <f t="shared" si="19"/>
        <v>0</v>
      </c>
      <c r="AI40" s="11">
        <f t="shared" si="19"/>
        <v>0</v>
      </c>
      <c r="AJ40" s="11">
        <f t="shared" si="19"/>
        <v>0</v>
      </c>
      <c r="AK40" s="11">
        <f t="shared" si="19"/>
        <v>0</v>
      </c>
      <c r="AL40" s="11">
        <f t="shared" si="19"/>
        <v>0</v>
      </c>
      <c r="AM40" s="11">
        <f t="shared" si="19"/>
        <v>0</v>
      </c>
      <c r="AN40" s="11">
        <f t="shared" si="19"/>
        <v>0</v>
      </c>
      <c r="AO40" s="11">
        <f t="shared" si="19"/>
        <v>0</v>
      </c>
      <c r="AP40" s="11">
        <f t="shared" si="19"/>
        <v>0</v>
      </c>
      <c r="AQ40" s="11">
        <f t="shared" si="19"/>
        <v>0</v>
      </c>
      <c r="AR40" s="11">
        <f t="shared" si="19"/>
        <v>0</v>
      </c>
      <c r="AS40" s="11">
        <f t="shared" si="19"/>
        <v>0</v>
      </c>
      <c r="AT40" s="11">
        <f t="shared" si="19"/>
        <v>0</v>
      </c>
      <c r="AU40" s="11">
        <f t="shared" si="19"/>
        <v>0</v>
      </c>
      <c r="AV40" s="11">
        <f t="shared" si="19"/>
        <v>0</v>
      </c>
      <c r="AW40" s="11">
        <f t="shared" si="19"/>
        <v>0</v>
      </c>
      <c r="AX40" s="11">
        <f t="shared" si="19"/>
        <v>0</v>
      </c>
      <c r="AY40" s="11">
        <f t="shared" si="19"/>
        <v>0</v>
      </c>
      <c r="AZ40" s="11">
        <f t="shared" si="19"/>
        <v>0</v>
      </c>
      <c r="BA40" s="11">
        <f t="shared" si="19"/>
        <v>0</v>
      </c>
      <c r="BB40" s="11">
        <f t="shared" si="19"/>
        <v>0</v>
      </c>
      <c r="BC40" s="11">
        <f t="shared" si="19"/>
        <v>0</v>
      </c>
      <c r="BD40" s="11">
        <f t="shared" si="19"/>
        <v>0</v>
      </c>
      <c r="BE40" s="11">
        <f t="shared" si="19"/>
        <v>0</v>
      </c>
      <c r="BF40" s="11">
        <f t="shared" si="19"/>
        <v>0</v>
      </c>
      <c r="BG40" s="11">
        <f t="shared" si="19"/>
        <v>0</v>
      </c>
      <c r="BH40" s="11">
        <f t="shared" si="19"/>
        <v>0</v>
      </c>
      <c r="BI40" s="11">
        <f t="shared" si="19"/>
        <v>0</v>
      </c>
      <c r="BJ40" s="11">
        <f t="shared" si="19"/>
        <v>0</v>
      </c>
      <c r="BK40" s="11">
        <f t="shared" si="19"/>
        <v>0</v>
      </c>
      <c r="BL40" s="11">
        <f t="shared" si="19"/>
        <v>0</v>
      </c>
      <c r="BM40" s="11">
        <f t="shared" si="19"/>
        <v>0</v>
      </c>
      <c r="BN40" s="11">
        <f t="shared" si="19"/>
        <v>0</v>
      </c>
      <c r="BO40" s="11">
        <f t="shared" si="19"/>
        <v>0</v>
      </c>
      <c r="BP40" s="11">
        <f t="shared" ref="BP40:CZ40" si="20">SUMPRODUCT($B38:$B39,BP38:BP39)</f>
        <v>0</v>
      </c>
      <c r="BQ40" s="11">
        <f t="shared" si="20"/>
        <v>0</v>
      </c>
      <c r="BR40" s="11">
        <f t="shared" si="20"/>
        <v>0</v>
      </c>
      <c r="BS40" s="11">
        <f t="shared" si="20"/>
        <v>0</v>
      </c>
      <c r="BT40" s="11">
        <f t="shared" si="20"/>
        <v>0</v>
      </c>
      <c r="BU40" s="11">
        <f t="shared" si="20"/>
        <v>0</v>
      </c>
      <c r="BV40" s="11">
        <f t="shared" si="20"/>
        <v>0</v>
      </c>
      <c r="BW40" s="11">
        <f t="shared" si="20"/>
        <v>0</v>
      </c>
      <c r="BX40" s="11">
        <f t="shared" si="20"/>
        <v>0</v>
      </c>
      <c r="BY40" s="11">
        <f t="shared" si="20"/>
        <v>0</v>
      </c>
      <c r="BZ40" s="11">
        <f t="shared" si="20"/>
        <v>0</v>
      </c>
      <c r="CA40" s="11">
        <f t="shared" si="20"/>
        <v>0</v>
      </c>
      <c r="CB40" s="11">
        <f t="shared" si="20"/>
        <v>0</v>
      </c>
      <c r="CC40" s="11">
        <f t="shared" si="20"/>
        <v>0</v>
      </c>
      <c r="CD40" s="11">
        <f t="shared" si="20"/>
        <v>0</v>
      </c>
      <c r="CE40" s="11">
        <f t="shared" si="20"/>
        <v>0</v>
      </c>
      <c r="CF40" s="11">
        <f t="shared" si="20"/>
        <v>0</v>
      </c>
      <c r="CG40" s="11">
        <f t="shared" si="20"/>
        <v>0</v>
      </c>
      <c r="CH40" s="11">
        <f t="shared" si="20"/>
        <v>0</v>
      </c>
      <c r="CI40" s="11">
        <f t="shared" si="20"/>
        <v>0</v>
      </c>
      <c r="CJ40" s="11">
        <f t="shared" si="20"/>
        <v>0</v>
      </c>
      <c r="CK40" s="11">
        <f t="shared" si="20"/>
        <v>0</v>
      </c>
      <c r="CL40" s="11">
        <f t="shared" si="20"/>
        <v>0</v>
      </c>
      <c r="CM40" s="11">
        <f t="shared" si="20"/>
        <v>0</v>
      </c>
      <c r="CN40" s="11">
        <f t="shared" si="20"/>
        <v>0</v>
      </c>
      <c r="CO40" s="11">
        <f t="shared" si="20"/>
        <v>0</v>
      </c>
      <c r="CP40" s="11">
        <f t="shared" si="20"/>
        <v>0</v>
      </c>
      <c r="CQ40" s="11">
        <f t="shared" si="20"/>
        <v>0</v>
      </c>
      <c r="CR40" s="11">
        <f t="shared" si="20"/>
        <v>0</v>
      </c>
      <c r="CS40" s="11">
        <f t="shared" si="20"/>
        <v>0</v>
      </c>
      <c r="CT40" s="11">
        <f t="shared" si="20"/>
        <v>0</v>
      </c>
      <c r="CU40" s="11">
        <f t="shared" si="20"/>
        <v>0</v>
      </c>
      <c r="CV40" s="11">
        <f t="shared" si="20"/>
        <v>0</v>
      </c>
      <c r="CW40" s="11">
        <f t="shared" si="20"/>
        <v>0</v>
      </c>
      <c r="CX40" s="11">
        <f t="shared" si="20"/>
        <v>0</v>
      </c>
      <c r="CY40" s="11">
        <f t="shared" si="20"/>
        <v>0</v>
      </c>
      <c r="CZ40" s="11">
        <f t="shared" si="20"/>
        <v>0</v>
      </c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</row>
    <row r="41" spans="1:122" ht="18" customHeight="1">
      <c r="A41" s="13" t="s">
        <v>29</v>
      </c>
      <c r="B41" s="14">
        <f>IFERROR(VLOOKUP(A41,PRICELIST!$A$3:$D$138,4,0),"-")</f>
        <v>78.790000000000006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9">
        <f t="shared" ref="CY41:CZ46" si="21">C41+E41+G41+I41+K41+M41+O41+Q41+S41+U41+W41+Y41+AA41+AC41+AE41+AG41+AI41+AK41+AM41+AO41+AQ41+AS41+AU41+AW41+AY41+BA41+BC41+BE41+BG41+BI41+BK41+BM41+BO41+BQ41+BS41+BU41+BW41+BY41+CA41+CC41+CE41+CG41+CI41+CK41+CM41+CO41+CQ41+CS41+CU41+CW41</f>
        <v>0</v>
      </c>
      <c r="CZ41" s="19">
        <f t="shared" si="21"/>
        <v>0</v>
      </c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</row>
    <row r="42" spans="1:122" ht="18" customHeight="1">
      <c r="A42" s="13" t="s">
        <v>30</v>
      </c>
      <c r="B42" s="14">
        <f>IFERROR(VLOOKUP(A42,PRICELIST!$A$3:$D$138,4,0),"-")</f>
        <v>142.29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9">
        <f t="shared" si="21"/>
        <v>0</v>
      </c>
      <c r="CZ42" s="19">
        <f t="shared" si="21"/>
        <v>0</v>
      </c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</row>
    <row r="43" spans="1:122" ht="18" customHeight="1">
      <c r="A43" s="13" t="s">
        <v>31</v>
      </c>
      <c r="B43" s="14">
        <f>IFERROR(VLOOKUP(A43,PRICELIST!$A$3:$D$138,4,0),"-")</f>
        <v>35.36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9">
        <f t="shared" si="21"/>
        <v>0</v>
      </c>
      <c r="CZ43" s="19">
        <f t="shared" si="21"/>
        <v>0</v>
      </c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</row>
    <row r="44" spans="1:122" ht="18" customHeight="1">
      <c r="A44" s="13" t="s">
        <v>32</v>
      </c>
      <c r="B44" s="14">
        <f>IFERROR(VLOOKUP(A44,PRICELIST!$A$3:$D$138,4,0),"-")</f>
        <v>175.18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9">
        <f t="shared" si="21"/>
        <v>0</v>
      </c>
      <c r="CZ44" s="19">
        <f t="shared" si="21"/>
        <v>0</v>
      </c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</row>
    <row r="45" spans="1:122" ht="18" customHeight="1">
      <c r="A45" s="13" t="s">
        <v>33</v>
      </c>
      <c r="B45" s="14">
        <f>IFERROR(VLOOKUP(A45,PRICELIST!$A$3:$D$138,4,0),"-")</f>
        <v>42.72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9">
        <f t="shared" si="21"/>
        <v>0</v>
      </c>
      <c r="CZ45" s="19">
        <f t="shared" si="21"/>
        <v>0</v>
      </c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</row>
    <row r="46" spans="1:122" ht="18" customHeight="1">
      <c r="A46" s="13" t="s">
        <v>34</v>
      </c>
      <c r="B46" s="14">
        <f>IFERROR(VLOOKUP(A46,PRICELIST!$A$3:$D$138,4,0),"-")</f>
        <v>84.28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9">
        <f t="shared" si="21"/>
        <v>0</v>
      </c>
      <c r="CZ46" s="19">
        <f t="shared" si="21"/>
        <v>0</v>
      </c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</row>
    <row r="47" spans="1:122" ht="18" customHeight="1">
      <c r="A47" s="9" t="s">
        <v>35</v>
      </c>
      <c r="B47" s="10"/>
      <c r="C47" s="11">
        <f>SUMPRODUCT($B41:$B46,C41:C46)</f>
        <v>0</v>
      </c>
      <c r="D47" s="11">
        <f t="shared" ref="D47:BO47" si="22">SUMPRODUCT($B41:$B46,D41:D46)</f>
        <v>0</v>
      </c>
      <c r="E47" s="11">
        <f t="shared" si="22"/>
        <v>0</v>
      </c>
      <c r="F47" s="11">
        <f t="shared" si="22"/>
        <v>0</v>
      </c>
      <c r="G47" s="11">
        <f t="shared" si="22"/>
        <v>0</v>
      </c>
      <c r="H47" s="11">
        <f t="shared" si="22"/>
        <v>0</v>
      </c>
      <c r="I47" s="11">
        <f t="shared" si="22"/>
        <v>0</v>
      </c>
      <c r="J47" s="11">
        <f t="shared" si="22"/>
        <v>0</v>
      </c>
      <c r="K47" s="11">
        <f t="shared" si="22"/>
        <v>0</v>
      </c>
      <c r="L47" s="11">
        <f t="shared" si="22"/>
        <v>0</v>
      </c>
      <c r="M47" s="11">
        <f t="shared" si="22"/>
        <v>0</v>
      </c>
      <c r="N47" s="11">
        <f t="shared" si="22"/>
        <v>0</v>
      </c>
      <c r="O47" s="11">
        <f t="shared" si="22"/>
        <v>0</v>
      </c>
      <c r="P47" s="11">
        <f t="shared" si="22"/>
        <v>0</v>
      </c>
      <c r="Q47" s="11">
        <f t="shared" si="22"/>
        <v>0</v>
      </c>
      <c r="R47" s="11">
        <f t="shared" si="22"/>
        <v>0</v>
      </c>
      <c r="S47" s="11">
        <f t="shared" si="22"/>
        <v>0</v>
      </c>
      <c r="T47" s="11">
        <f t="shared" si="22"/>
        <v>0</v>
      </c>
      <c r="U47" s="11">
        <f t="shared" si="22"/>
        <v>0</v>
      </c>
      <c r="V47" s="11">
        <f t="shared" si="22"/>
        <v>0</v>
      </c>
      <c r="W47" s="11">
        <f t="shared" si="22"/>
        <v>0</v>
      </c>
      <c r="X47" s="11">
        <f t="shared" si="22"/>
        <v>0</v>
      </c>
      <c r="Y47" s="11">
        <f t="shared" si="22"/>
        <v>0</v>
      </c>
      <c r="Z47" s="11">
        <f t="shared" si="22"/>
        <v>0</v>
      </c>
      <c r="AA47" s="11">
        <f t="shared" si="22"/>
        <v>0</v>
      </c>
      <c r="AB47" s="11">
        <f t="shared" si="22"/>
        <v>0</v>
      </c>
      <c r="AC47" s="11">
        <f t="shared" si="22"/>
        <v>0</v>
      </c>
      <c r="AD47" s="11">
        <f t="shared" si="22"/>
        <v>0</v>
      </c>
      <c r="AE47" s="11">
        <f t="shared" si="22"/>
        <v>0</v>
      </c>
      <c r="AF47" s="11">
        <f t="shared" si="22"/>
        <v>0</v>
      </c>
      <c r="AG47" s="11">
        <f t="shared" si="22"/>
        <v>0</v>
      </c>
      <c r="AH47" s="11">
        <f t="shared" si="22"/>
        <v>0</v>
      </c>
      <c r="AI47" s="11">
        <f t="shared" si="22"/>
        <v>0</v>
      </c>
      <c r="AJ47" s="11">
        <f t="shared" si="22"/>
        <v>0</v>
      </c>
      <c r="AK47" s="11">
        <f t="shared" si="22"/>
        <v>0</v>
      </c>
      <c r="AL47" s="11">
        <f t="shared" si="22"/>
        <v>0</v>
      </c>
      <c r="AM47" s="11">
        <f t="shared" si="22"/>
        <v>0</v>
      </c>
      <c r="AN47" s="11">
        <f t="shared" si="22"/>
        <v>0</v>
      </c>
      <c r="AO47" s="11">
        <f t="shared" si="22"/>
        <v>0</v>
      </c>
      <c r="AP47" s="11">
        <f t="shared" si="22"/>
        <v>0</v>
      </c>
      <c r="AQ47" s="11">
        <f t="shared" si="22"/>
        <v>0</v>
      </c>
      <c r="AR47" s="11">
        <f t="shared" si="22"/>
        <v>0</v>
      </c>
      <c r="AS47" s="11">
        <f t="shared" si="22"/>
        <v>0</v>
      </c>
      <c r="AT47" s="11">
        <f t="shared" si="22"/>
        <v>0</v>
      </c>
      <c r="AU47" s="11">
        <f t="shared" si="22"/>
        <v>0</v>
      </c>
      <c r="AV47" s="11">
        <f t="shared" si="22"/>
        <v>0</v>
      </c>
      <c r="AW47" s="11">
        <f t="shared" si="22"/>
        <v>0</v>
      </c>
      <c r="AX47" s="11">
        <f t="shared" si="22"/>
        <v>0</v>
      </c>
      <c r="AY47" s="11">
        <f t="shared" si="22"/>
        <v>0</v>
      </c>
      <c r="AZ47" s="11">
        <f t="shared" si="22"/>
        <v>0</v>
      </c>
      <c r="BA47" s="11">
        <f t="shared" si="22"/>
        <v>0</v>
      </c>
      <c r="BB47" s="11">
        <f t="shared" si="22"/>
        <v>0</v>
      </c>
      <c r="BC47" s="11">
        <f t="shared" si="22"/>
        <v>0</v>
      </c>
      <c r="BD47" s="11">
        <f t="shared" si="22"/>
        <v>0</v>
      </c>
      <c r="BE47" s="11">
        <f t="shared" si="22"/>
        <v>0</v>
      </c>
      <c r="BF47" s="11">
        <f t="shared" si="22"/>
        <v>0</v>
      </c>
      <c r="BG47" s="11">
        <f t="shared" si="22"/>
        <v>0</v>
      </c>
      <c r="BH47" s="11">
        <f t="shared" si="22"/>
        <v>0</v>
      </c>
      <c r="BI47" s="11">
        <f t="shared" si="22"/>
        <v>0</v>
      </c>
      <c r="BJ47" s="11">
        <f t="shared" si="22"/>
        <v>0</v>
      </c>
      <c r="BK47" s="11">
        <f t="shared" si="22"/>
        <v>0</v>
      </c>
      <c r="BL47" s="11">
        <f t="shared" si="22"/>
        <v>0</v>
      </c>
      <c r="BM47" s="11">
        <f t="shared" si="22"/>
        <v>0</v>
      </c>
      <c r="BN47" s="11">
        <f t="shared" si="22"/>
        <v>0</v>
      </c>
      <c r="BO47" s="11">
        <f t="shared" si="22"/>
        <v>0</v>
      </c>
      <c r="BP47" s="11">
        <f t="shared" ref="BP47:CZ47" si="23">SUMPRODUCT($B41:$B46,BP41:BP46)</f>
        <v>0</v>
      </c>
      <c r="BQ47" s="11">
        <f t="shared" si="23"/>
        <v>0</v>
      </c>
      <c r="BR47" s="11">
        <f t="shared" si="23"/>
        <v>0</v>
      </c>
      <c r="BS47" s="11">
        <f t="shared" si="23"/>
        <v>0</v>
      </c>
      <c r="BT47" s="11">
        <f t="shared" si="23"/>
        <v>0</v>
      </c>
      <c r="BU47" s="11">
        <f t="shared" si="23"/>
        <v>0</v>
      </c>
      <c r="BV47" s="11">
        <f t="shared" si="23"/>
        <v>0</v>
      </c>
      <c r="BW47" s="11">
        <f t="shared" si="23"/>
        <v>0</v>
      </c>
      <c r="BX47" s="11">
        <f t="shared" si="23"/>
        <v>0</v>
      </c>
      <c r="BY47" s="11">
        <f t="shared" si="23"/>
        <v>0</v>
      </c>
      <c r="BZ47" s="11">
        <f t="shared" si="23"/>
        <v>0</v>
      </c>
      <c r="CA47" s="11">
        <f t="shared" si="23"/>
        <v>0</v>
      </c>
      <c r="CB47" s="11">
        <f t="shared" si="23"/>
        <v>0</v>
      </c>
      <c r="CC47" s="11">
        <f t="shared" si="23"/>
        <v>0</v>
      </c>
      <c r="CD47" s="11">
        <f t="shared" si="23"/>
        <v>0</v>
      </c>
      <c r="CE47" s="11">
        <f t="shared" si="23"/>
        <v>0</v>
      </c>
      <c r="CF47" s="11">
        <f t="shared" si="23"/>
        <v>0</v>
      </c>
      <c r="CG47" s="11">
        <f t="shared" si="23"/>
        <v>0</v>
      </c>
      <c r="CH47" s="11">
        <f t="shared" si="23"/>
        <v>0</v>
      </c>
      <c r="CI47" s="11">
        <f t="shared" si="23"/>
        <v>0</v>
      </c>
      <c r="CJ47" s="11">
        <f t="shared" si="23"/>
        <v>0</v>
      </c>
      <c r="CK47" s="11">
        <f t="shared" si="23"/>
        <v>0</v>
      </c>
      <c r="CL47" s="11">
        <f t="shared" si="23"/>
        <v>0</v>
      </c>
      <c r="CM47" s="11">
        <f t="shared" si="23"/>
        <v>0</v>
      </c>
      <c r="CN47" s="11">
        <f t="shared" si="23"/>
        <v>0</v>
      </c>
      <c r="CO47" s="11">
        <f t="shared" si="23"/>
        <v>0</v>
      </c>
      <c r="CP47" s="11">
        <f t="shared" si="23"/>
        <v>0</v>
      </c>
      <c r="CQ47" s="11">
        <f t="shared" si="23"/>
        <v>0</v>
      </c>
      <c r="CR47" s="11">
        <f t="shared" si="23"/>
        <v>0</v>
      </c>
      <c r="CS47" s="11">
        <f t="shared" si="23"/>
        <v>0</v>
      </c>
      <c r="CT47" s="11">
        <f t="shared" si="23"/>
        <v>0</v>
      </c>
      <c r="CU47" s="11">
        <f t="shared" si="23"/>
        <v>0</v>
      </c>
      <c r="CV47" s="11">
        <f t="shared" si="23"/>
        <v>0</v>
      </c>
      <c r="CW47" s="11">
        <f t="shared" si="23"/>
        <v>0</v>
      </c>
      <c r="CX47" s="11">
        <f t="shared" si="23"/>
        <v>0</v>
      </c>
      <c r="CY47" s="11">
        <f t="shared" si="23"/>
        <v>0</v>
      </c>
      <c r="CZ47" s="11">
        <f t="shared" si="23"/>
        <v>0</v>
      </c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</row>
    <row r="48" spans="1:122" ht="18" customHeight="1">
      <c r="A48" s="4" t="s">
        <v>81</v>
      </c>
      <c r="B48" s="14">
        <f>IFERROR(VLOOKUP(A48,PRICELIST!$A$3:$D$138,4,0),"-")</f>
        <v>201.26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9">
        <f t="shared" ref="CY48:CZ48" si="24">C48+E48+G48+I48+K48+M48+O48+Q48+S48+U48+W48+Y48+AA48+AC48+AE48+AG48+AI48+AK48+AM48+AO48+AQ48+AS48+AU48+AW48+AY48+BA48+BC48+BE48+BG48+BI48+BK48+BM48+BO48+BQ48+BS48+BU48+BW48+BY48+CA48+CC48+CE48+CG48+CI48+CK48+CM48+CO48+CQ48+CS48+CU48+CW48</f>
        <v>0</v>
      </c>
      <c r="CZ48" s="19">
        <f t="shared" si="24"/>
        <v>0</v>
      </c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</row>
    <row r="49" spans="1:122" ht="18" customHeight="1">
      <c r="A49" s="9" t="s">
        <v>77</v>
      </c>
      <c r="B49" s="15"/>
      <c r="C49" s="11">
        <f>SUMPRODUCT($B48*C48)</f>
        <v>0</v>
      </c>
      <c r="D49" s="11">
        <f t="shared" ref="D49:BO49" si="25">SUMPRODUCT($B48*D48)</f>
        <v>0</v>
      </c>
      <c r="E49" s="11">
        <f t="shared" si="25"/>
        <v>0</v>
      </c>
      <c r="F49" s="11">
        <f t="shared" si="25"/>
        <v>0</v>
      </c>
      <c r="G49" s="11">
        <f t="shared" si="25"/>
        <v>0</v>
      </c>
      <c r="H49" s="11">
        <f t="shared" si="25"/>
        <v>0</v>
      </c>
      <c r="I49" s="11">
        <f t="shared" si="25"/>
        <v>0</v>
      </c>
      <c r="J49" s="11">
        <f t="shared" si="25"/>
        <v>0</v>
      </c>
      <c r="K49" s="11">
        <f t="shared" si="25"/>
        <v>0</v>
      </c>
      <c r="L49" s="11">
        <f t="shared" si="25"/>
        <v>0</v>
      </c>
      <c r="M49" s="11">
        <f t="shared" si="25"/>
        <v>0</v>
      </c>
      <c r="N49" s="11">
        <f t="shared" si="25"/>
        <v>0</v>
      </c>
      <c r="O49" s="11">
        <f t="shared" si="25"/>
        <v>0</v>
      </c>
      <c r="P49" s="11">
        <f t="shared" si="25"/>
        <v>0</v>
      </c>
      <c r="Q49" s="11">
        <f t="shared" si="25"/>
        <v>0</v>
      </c>
      <c r="R49" s="11">
        <f t="shared" si="25"/>
        <v>0</v>
      </c>
      <c r="S49" s="11">
        <f t="shared" si="25"/>
        <v>0</v>
      </c>
      <c r="T49" s="11">
        <f t="shared" si="25"/>
        <v>0</v>
      </c>
      <c r="U49" s="11">
        <f t="shared" si="25"/>
        <v>0</v>
      </c>
      <c r="V49" s="11">
        <f t="shared" si="25"/>
        <v>0</v>
      </c>
      <c r="W49" s="11">
        <f t="shared" si="25"/>
        <v>0</v>
      </c>
      <c r="X49" s="11">
        <f t="shared" si="25"/>
        <v>0</v>
      </c>
      <c r="Y49" s="11">
        <f t="shared" si="25"/>
        <v>0</v>
      </c>
      <c r="Z49" s="11">
        <f t="shared" si="25"/>
        <v>0</v>
      </c>
      <c r="AA49" s="11">
        <f t="shared" si="25"/>
        <v>0</v>
      </c>
      <c r="AB49" s="11">
        <f t="shared" si="25"/>
        <v>0</v>
      </c>
      <c r="AC49" s="11">
        <f t="shared" si="25"/>
        <v>0</v>
      </c>
      <c r="AD49" s="11">
        <f t="shared" si="25"/>
        <v>0</v>
      </c>
      <c r="AE49" s="11">
        <f t="shared" si="25"/>
        <v>0</v>
      </c>
      <c r="AF49" s="11">
        <f t="shared" si="25"/>
        <v>0</v>
      </c>
      <c r="AG49" s="11">
        <f t="shared" si="25"/>
        <v>0</v>
      </c>
      <c r="AH49" s="11">
        <f t="shared" si="25"/>
        <v>0</v>
      </c>
      <c r="AI49" s="11">
        <f t="shared" si="25"/>
        <v>0</v>
      </c>
      <c r="AJ49" s="11">
        <f t="shared" si="25"/>
        <v>0</v>
      </c>
      <c r="AK49" s="11">
        <f t="shared" si="25"/>
        <v>0</v>
      </c>
      <c r="AL49" s="11">
        <f t="shared" si="25"/>
        <v>0</v>
      </c>
      <c r="AM49" s="11">
        <f t="shared" si="25"/>
        <v>0</v>
      </c>
      <c r="AN49" s="11">
        <f t="shared" si="25"/>
        <v>0</v>
      </c>
      <c r="AO49" s="11">
        <f t="shared" si="25"/>
        <v>0</v>
      </c>
      <c r="AP49" s="11">
        <f t="shared" si="25"/>
        <v>0</v>
      </c>
      <c r="AQ49" s="11">
        <f t="shared" si="25"/>
        <v>0</v>
      </c>
      <c r="AR49" s="11">
        <f t="shared" si="25"/>
        <v>0</v>
      </c>
      <c r="AS49" s="11">
        <f t="shared" si="25"/>
        <v>0</v>
      </c>
      <c r="AT49" s="11">
        <f t="shared" si="25"/>
        <v>0</v>
      </c>
      <c r="AU49" s="11">
        <f t="shared" si="25"/>
        <v>0</v>
      </c>
      <c r="AV49" s="11">
        <f t="shared" si="25"/>
        <v>0</v>
      </c>
      <c r="AW49" s="11">
        <f t="shared" si="25"/>
        <v>0</v>
      </c>
      <c r="AX49" s="11">
        <f t="shared" si="25"/>
        <v>0</v>
      </c>
      <c r="AY49" s="11">
        <f t="shared" si="25"/>
        <v>0</v>
      </c>
      <c r="AZ49" s="11">
        <f t="shared" si="25"/>
        <v>0</v>
      </c>
      <c r="BA49" s="11">
        <f t="shared" si="25"/>
        <v>0</v>
      </c>
      <c r="BB49" s="11">
        <f t="shared" si="25"/>
        <v>0</v>
      </c>
      <c r="BC49" s="11">
        <f t="shared" si="25"/>
        <v>0</v>
      </c>
      <c r="BD49" s="11">
        <f t="shared" si="25"/>
        <v>0</v>
      </c>
      <c r="BE49" s="11">
        <f t="shared" si="25"/>
        <v>0</v>
      </c>
      <c r="BF49" s="11">
        <f t="shared" si="25"/>
        <v>0</v>
      </c>
      <c r="BG49" s="11">
        <f t="shared" si="25"/>
        <v>0</v>
      </c>
      <c r="BH49" s="11">
        <f t="shared" si="25"/>
        <v>0</v>
      </c>
      <c r="BI49" s="11">
        <f t="shared" si="25"/>
        <v>0</v>
      </c>
      <c r="BJ49" s="11">
        <f t="shared" si="25"/>
        <v>0</v>
      </c>
      <c r="BK49" s="11">
        <f t="shared" si="25"/>
        <v>0</v>
      </c>
      <c r="BL49" s="11">
        <f t="shared" si="25"/>
        <v>0</v>
      </c>
      <c r="BM49" s="11">
        <f t="shared" si="25"/>
        <v>0</v>
      </c>
      <c r="BN49" s="11">
        <f t="shared" si="25"/>
        <v>0</v>
      </c>
      <c r="BO49" s="11">
        <f t="shared" si="25"/>
        <v>0</v>
      </c>
      <c r="BP49" s="11">
        <f t="shared" ref="BP49:CZ49" si="26">SUMPRODUCT($B48*BP48)</f>
        <v>0</v>
      </c>
      <c r="BQ49" s="11">
        <f t="shared" si="26"/>
        <v>0</v>
      </c>
      <c r="BR49" s="11">
        <f t="shared" si="26"/>
        <v>0</v>
      </c>
      <c r="BS49" s="11">
        <f t="shared" si="26"/>
        <v>0</v>
      </c>
      <c r="BT49" s="11">
        <f t="shared" si="26"/>
        <v>0</v>
      </c>
      <c r="BU49" s="11">
        <f t="shared" si="26"/>
        <v>0</v>
      </c>
      <c r="BV49" s="11">
        <f t="shared" si="26"/>
        <v>0</v>
      </c>
      <c r="BW49" s="11">
        <f t="shared" si="26"/>
        <v>0</v>
      </c>
      <c r="BX49" s="11">
        <f t="shared" si="26"/>
        <v>0</v>
      </c>
      <c r="BY49" s="11">
        <f t="shared" si="26"/>
        <v>0</v>
      </c>
      <c r="BZ49" s="11">
        <f t="shared" si="26"/>
        <v>0</v>
      </c>
      <c r="CA49" s="11">
        <f t="shared" si="26"/>
        <v>0</v>
      </c>
      <c r="CB49" s="11">
        <f t="shared" si="26"/>
        <v>0</v>
      </c>
      <c r="CC49" s="11">
        <f t="shared" si="26"/>
        <v>0</v>
      </c>
      <c r="CD49" s="11">
        <f t="shared" si="26"/>
        <v>0</v>
      </c>
      <c r="CE49" s="11">
        <f t="shared" si="26"/>
        <v>0</v>
      </c>
      <c r="CF49" s="11">
        <f t="shared" si="26"/>
        <v>0</v>
      </c>
      <c r="CG49" s="11">
        <f t="shared" si="26"/>
        <v>0</v>
      </c>
      <c r="CH49" s="11">
        <f t="shared" si="26"/>
        <v>0</v>
      </c>
      <c r="CI49" s="11">
        <f t="shared" si="26"/>
        <v>0</v>
      </c>
      <c r="CJ49" s="11">
        <f t="shared" si="26"/>
        <v>0</v>
      </c>
      <c r="CK49" s="11">
        <f t="shared" si="26"/>
        <v>0</v>
      </c>
      <c r="CL49" s="11">
        <f t="shared" si="26"/>
        <v>0</v>
      </c>
      <c r="CM49" s="11">
        <f t="shared" si="26"/>
        <v>0</v>
      </c>
      <c r="CN49" s="11">
        <f t="shared" si="26"/>
        <v>0</v>
      </c>
      <c r="CO49" s="11">
        <f t="shared" si="26"/>
        <v>0</v>
      </c>
      <c r="CP49" s="11">
        <f t="shared" si="26"/>
        <v>0</v>
      </c>
      <c r="CQ49" s="11">
        <f t="shared" si="26"/>
        <v>0</v>
      </c>
      <c r="CR49" s="11">
        <f t="shared" si="26"/>
        <v>0</v>
      </c>
      <c r="CS49" s="11">
        <f t="shared" si="26"/>
        <v>0</v>
      </c>
      <c r="CT49" s="11">
        <f t="shared" si="26"/>
        <v>0</v>
      </c>
      <c r="CU49" s="11">
        <f t="shared" si="26"/>
        <v>0</v>
      </c>
      <c r="CV49" s="11">
        <f t="shared" si="26"/>
        <v>0</v>
      </c>
      <c r="CW49" s="11">
        <f t="shared" si="26"/>
        <v>0</v>
      </c>
      <c r="CX49" s="11">
        <f t="shared" si="26"/>
        <v>0</v>
      </c>
      <c r="CY49" s="11">
        <f t="shared" si="26"/>
        <v>0</v>
      </c>
      <c r="CZ49" s="11">
        <f t="shared" si="26"/>
        <v>0</v>
      </c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</row>
    <row r="50" spans="1:122" ht="18" customHeight="1">
      <c r="A50" s="4" t="s">
        <v>82</v>
      </c>
      <c r="B50" s="14">
        <f>IFERROR(VLOOKUP(A50,PRICELIST!$A$3:$D$138,4,0),"-")</f>
        <v>170.19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9">
        <f t="shared" ref="CY50:CZ52" si="27">C50+E50+G50+I50+K50+M50+O50+Q50+S50+U50+W50+Y50+AA50+AC50+AE50+AG50+AI50+AK50+AM50+AO50+AQ50+AS50+AU50+AW50+AY50+BA50+BC50+BE50+BG50+BI50+BK50+BM50+BO50+BQ50+BS50+BU50+BW50+BY50+CA50+CC50+CE50+CG50+CI50+CK50+CM50+CO50+CQ50+CS50+CU50+CW50</f>
        <v>0</v>
      </c>
      <c r="CZ50" s="19">
        <f t="shared" si="27"/>
        <v>0</v>
      </c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</row>
    <row r="51" spans="1:122" ht="18" customHeight="1">
      <c r="A51" s="4" t="s">
        <v>83</v>
      </c>
      <c r="B51" s="14">
        <f>IFERROR(VLOOKUP(A51,PRICELIST!$A$3:$D$138,4,0),"-")</f>
        <v>209.89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9">
        <f t="shared" si="27"/>
        <v>0</v>
      </c>
      <c r="CZ51" s="19">
        <f t="shared" si="27"/>
        <v>0</v>
      </c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</row>
    <row r="52" spans="1:122" ht="18" customHeight="1">
      <c r="A52" s="4" t="s">
        <v>84</v>
      </c>
      <c r="B52" s="14">
        <f>IFERROR(VLOOKUP(A52,PRICELIST!$A$3:$D$138,4,0),"-")</f>
        <v>302.79000000000002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9">
        <f t="shared" si="27"/>
        <v>0</v>
      </c>
      <c r="CZ52" s="19">
        <f t="shared" si="27"/>
        <v>0</v>
      </c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</row>
    <row r="53" spans="1:122" ht="18" customHeight="1">
      <c r="A53" s="9" t="s">
        <v>89</v>
      </c>
      <c r="B53" s="15"/>
      <c r="C53" s="11">
        <f>SUMPRODUCT($B50:$B52,C50:C52)</f>
        <v>0</v>
      </c>
      <c r="D53" s="11">
        <f t="shared" ref="D53:BO53" si="28">SUMPRODUCT($B50:$B52,D50:D52)</f>
        <v>0</v>
      </c>
      <c r="E53" s="11">
        <f t="shared" si="28"/>
        <v>0</v>
      </c>
      <c r="F53" s="11">
        <f t="shared" si="28"/>
        <v>0</v>
      </c>
      <c r="G53" s="11">
        <f t="shared" si="28"/>
        <v>0</v>
      </c>
      <c r="H53" s="11">
        <f t="shared" si="28"/>
        <v>0</v>
      </c>
      <c r="I53" s="11">
        <f t="shared" si="28"/>
        <v>0</v>
      </c>
      <c r="J53" s="11">
        <f t="shared" si="28"/>
        <v>0</v>
      </c>
      <c r="K53" s="11">
        <f t="shared" si="28"/>
        <v>0</v>
      </c>
      <c r="L53" s="11">
        <f t="shared" si="28"/>
        <v>0</v>
      </c>
      <c r="M53" s="11">
        <f t="shared" si="28"/>
        <v>0</v>
      </c>
      <c r="N53" s="11">
        <f t="shared" si="28"/>
        <v>0</v>
      </c>
      <c r="O53" s="11">
        <f t="shared" si="28"/>
        <v>0</v>
      </c>
      <c r="P53" s="11">
        <f t="shared" si="28"/>
        <v>0</v>
      </c>
      <c r="Q53" s="11">
        <f t="shared" si="28"/>
        <v>0</v>
      </c>
      <c r="R53" s="11">
        <f t="shared" si="28"/>
        <v>0</v>
      </c>
      <c r="S53" s="11">
        <f t="shared" si="28"/>
        <v>0</v>
      </c>
      <c r="T53" s="11">
        <f t="shared" si="28"/>
        <v>0</v>
      </c>
      <c r="U53" s="11">
        <f t="shared" si="28"/>
        <v>0</v>
      </c>
      <c r="V53" s="11">
        <f t="shared" si="28"/>
        <v>0</v>
      </c>
      <c r="W53" s="11">
        <f t="shared" si="28"/>
        <v>0</v>
      </c>
      <c r="X53" s="11">
        <f t="shared" si="28"/>
        <v>0</v>
      </c>
      <c r="Y53" s="11">
        <f t="shared" si="28"/>
        <v>0</v>
      </c>
      <c r="Z53" s="11">
        <f t="shared" si="28"/>
        <v>0</v>
      </c>
      <c r="AA53" s="11">
        <f t="shared" si="28"/>
        <v>0</v>
      </c>
      <c r="AB53" s="11">
        <f t="shared" si="28"/>
        <v>0</v>
      </c>
      <c r="AC53" s="11">
        <f t="shared" si="28"/>
        <v>0</v>
      </c>
      <c r="AD53" s="11">
        <f t="shared" si="28"/>
        <v>0</v>
      </c>
      <c r="AE53" s="11">
        <f t="shared" si="28"/>
        <v>0</v>
      </c>
      <c r="AF53" s="11">
        <f t="shared" si="28"/>
        <v>0</v>
      </c>
      <c r="AG53" s="11">
        <f t="shared" si="28"/>
        <v>0</v>
      </c>
      <c r="AH53" s="11">
        <f t="shared" si="28"/>
        <v>0</v>
      </c>
      <c r="AI53" s="11">
        <f t="shared" si="28"/>
        <v>0</v>
      </c>
      <c r="AJ53" s="11">
        <f t="shared" si="28"/>
        <v>0</v>
      </c>
      <c r="AK53" s="11">
        <f t="shared" si="28"/>
        <v>0</v>
      </c>
      <c r="AL53" s="11">
        <f t="shared" si="28"/>
        <v>0</v>
      </c>
      <c r="AM53" s="11">
        <f t="shared" si="28"/>
        <v>0</v>
      </c>
      <c r="AN53" s="11">
        <f t="shared" si="28"/>
        <v>0</v>
      </c>
      <c r="AO53" s="11">
        <f t="shared" si="28"/>
        <v>0</v>
      </c>
      <c r="AP53" s="11">
        <f t="shared" si="28"/>
        <v>0</v>
      </c>
      <c r="AQ53" s="11">
        <f t="shared" si="28"/>
        <v>0</v>
      </c>
      <c r="AR53" s="11">
        <f t="shared" si="28"/>
        <v>0</v>
      </c>
      <c r="AS53" s="11">
        <f t="shared" si="28"/>
        <v>0</v>
      </c>
      <c r="AT53" s="11">
        <f t="shared" si="28"/>
        <v>0</v>
      </c>
      <c r="AU53" s="11">
        <f t="shared" si="28"/>
        <v>0</v>
      </c>
      <c r="AV53" s="11">
        <f t="shared" si="28"/>
        <v>0</v>
      </c>
      <c r="AW53" s="11">
        <f t="shared" si="28"/>
        <v>0</v>
      </c>
      <c r="AX53" s="11">
        <f t="shared" si="28"/>
        <v>0</v>
      </c>
      <c r="AY53" s="11">
        <f t="shared" si="28"/>
        <v>0</v>
      </c>
      <c r="AZ53" s="11">
        <f t="shared" si="28"/>
        <v>0</v>
      </c>
      <c r="BA53" s="11">
        <f t="shared" si="28"/>
        <v>0</v>
      </c>
      <c r="BB53" s="11">
        <f t="shared" si="28"/>
        <v>0</v>
      </c>
      <c r="BC53" s="11">
        <f t="shared" si="28"/>
        <v>0</v>
      </c>
      <c r="BD53" s="11">
        <f t="shared" si="28"/>
        <v>0</v>
      </c>
      <c r="BE53" s="11">
        <f t="shared" si="28"/>
        <v>0</v>
      </c>
      <c r="BF53" s="11">
        <f t="shared" si="28"/>
        <v>0</v>
      </c>
      <c r="BG53" s="11">
        <f t="shared" si="28"/>
        <v>0</v>
      </c>
      <c r="BH53" s="11">
        <f t="shared" si="28"/>
        <v>0</v>
      </c>
      <c r="BI53" s="11">
        <f t="shared" si="28"/>
        <v>0</v>
      </c>
      <c r="BJ53" s="11">
        <f t="shared" si="28"/>
        <v>0</v>
      </c>
      <c r="BK53" s="11">
        <f t="shared" si="28"/>
        <v>0</v>
      </c>
      <c r="BL53" s="11">
        <f t="shared" si="28"/>
        <v>0</v>
      </c>
      <c r="BM53" s="11">
        <f t="shared" si="28"/>
        <v>0</v>
      </c>
      <c r="BN53" s="11">
        <f t="shared" si="28"/>
        <v>0</v>
      </c>
      <c r="BO53" s="11">
        <f t="shared" si="28"/>
        <v>0</v>
      </c>
      <c r="BP53" s="11">
        <f t="shared" ref="BP53:CZ53" si="29">SUMPRODUCT($B50:$B52,BP50:BP52)</f>
        <v>0</v>
      </c>
      <c r="BQ53" s="11">
        <f t="shared" si="29"/>
        <v>0</v>
      </c>
      <c r="BR53" s="11">
        <f t="shared" si="29"/>
        <v>0</v>
      </c>
      <c r="BS53" s="11">
        <f t="shared" si="29"/>
        <v>0</v>
      </c>
      <c r="BT53" s="11">
        <f t="shared" si="29"/>
        <v>0</v>
      </c>
      <c r="BU53" s="11">
        <f t="shared" si="29"/>
        <v>0</v>
      </c>
      <c r="BV53" s="11">
        <f t="shared" si="29"/>
        <v>0</v>
      </c>
      <c r="BW53" s="11">
        <f t="shared" si="29"/>
        <v>0</v>
      </c>
      <c r="BX53" s="11">
        <f t="shared" si="29"/>
        <v>0</v>
      </c>
      <c r="BY53" s="11">
        <f t="shared" si="29"/>
        <v>0</v>
      </c>
      <c r="BZ53" s="11">
        <f t="shared" si="29"/>
        <v>0</v>
      </c>
      <c r="CA53" s="11">
        <f t="shared" si="29"/>
        <v>0</v>
      </c>
      <c r="CB53" s="11">
        <f t="shared" si="29"/>
        <v>0</v>
      </c>
      <c r="CC53" s="11">
        <f t="shared" si="29"/>
        <v>0</v>
      </c>
      <c r="CD53" s="11">
        <f t="shared" si="29"/>
        <v>0</v>
      </c>
      <c r="CE53" s="11">
        <f t="shared" si="29"/>
        <v>0</v>
      </c>
      <c r="CF53" s="11">
        <f t="shared" si="29"/>
        <v>0</v>
      </c>
      <c r="CG53" s="11">
        <f t="shared" si="29"/>
        <v>0</v>
      </c>
      <c r="CH53" s="11">
        <f t="shared" si="29"/>
        <v>0</v>
      </c>
      <c r="CI53" s="11">
        <f t="shared" si="29"/>
        <v>0</v>
      </c>
      <c r="CJ53" s="11">
        <f t="shared" si="29"/>
        <v>0</v>
      </c>
      <c r="CK53" s="11">
        <f t="shared" si="29"/>
        <v>0</v>
      </c>
      <c r="CL53" s="11">
        <f t="shared" si="29"/>
        <v>0</v>
      </c>
      <c r="CM53" s="11">
        <f t="shared" si="29"/>
        <v>0</v>
      </c>
      <c r="CN53" s="11">
        <f t="shared" si="29"/>
        <v>0</v>
      </c>
      <c r="CO53" s="11">
        <f t="shared" si="29"/>
        <v>0</v>
      </c>
      <c r="CP53" s="11">
        <f t="shared" si="29"/>
        <v>0</v>
      </c>
      <c r="CQ53" s="11">
        <f t="shared" si="29"/>
        <v>0</v>
      </c>
      <c r="CR53" s="11">
        <f t="shared" si="29"/>
        <v>0</v>
      </c>
      <c r="CS53" s="11">
        <f t="shared" si="29"/>
        <v>0</v>
      </c>
      <c r="CT53" s="11">
        <f t="shared" si="29"/>
        <v>0</v>
      </c>
      <c r="CU53" s="11">
        <f t="shared" si="29"/>
        <v>0</v>
      </c>
      <c r="CV53" s="11">
        <f t="shared" si="29"/>
        <v>0</v>
      </c>
      <c r="CW53" s="11">
        <f t="shared" si="29"/>
        <v>0</v>
      </c>
      <c r="CX53" s="11">
        <f t="shared" si="29"/>
        <v>0</v>
      </c>
      <c r="CY53" s="11">
        <f t="shared" si="29"/>
        <v>0</v>
      </c>
      <c r="CZ53" s="11">
        <f t="shared" si="29"/>
        <v>0</v>
      </c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</row>
    <row r="54" spans="1:122" ht="18" customHeight="1">
      <c r="A54" s="13" t="s">
        <v>36</v>
      </c>
      <c r="B54" s="14">
        <f>IFERROR(VLOOKUP(A54,PRICELIST!$A$3:$D$138,4,0),"-")</f>
        <v>508.18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9">
        <f t="shared" ref="CY54:CZ58" si="30">C54+E54+G54+I54+K54+M54+O54+Q54+S54+U54+W54+Y54+AA54+AC54+AE54+AG54+AI54+AK54+AM54+AO54+AQ54+AS54+AU54+AW54+AY54+BA54+BC54+BE54+BG54+BI54+BK54+BM54+BO54+BQ54+BS54+BU54+BW54+BY54+CA54+CC54+CE54+CG54+CI54+CK54+CM54+CO54+CQ54+CS54+CU54+CW54</f>
        <v>0</v>
      </c>
      <c r="CZ54" s="19">
        <f t="shared" si="30"/>
        <v>0</v>
      </c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</row>
    <row r="55" spans="1:122" ht="18" customHeight="1">
      <c r="A55" s="13" t="s">
        <v>37</v>
      </c>
      <c r="B55" s="14">
        <f>IFERROR(VLOOKUP(A55,PRICELIST!$A$3:$D$138,4,0),"-")</f>
        <v>115.71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9">
        <f t="shared" si="30"/>
        <v>0</v>
      </c>
      <c r="CZ55" s="19">
        <f t="shared" si="30"/>
        <v>0</v>
      </c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</row>
    <row r="56" spans="1:122" ht="18" customHeight="1">
      <c r="A56" s="13" t="s">
        <v>38</v>
      </c>
      <c r="B56" s="14">
        <f>IFERROR(VLOOKUP(A56,PRICELIST!$A$3:$D$138,4,0),"-")</f>
        <v>207.64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9">
        <f t="shared" si="30"/>
        <v>0</v>
      </c>
      <c r="CZ56" s="19">
        <f t="shared" si="30"/>
        <v>0</v>
      </c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</row>
    <row r="57" spans="1:122" ht="18" customHeight="1">
      <c r="A57" s="13" t="s">
        <v>39</v>
      </c>
      <c r="B57" s="14">
        <f>IFERROR(VLOOKUP(A57,PRICELIST!$A$3:$D$138,4,0),"-")</f>
        <v>576.96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9">
        <f t="shared" si="30"/>
        <v>0</v>
      </c>
      <c r="CZ57" s="19">
        <f t="shared" si="30"/>
        <v>0</v>
      </c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</row>
    <row r="58" spans="1:122" ht="18" customHeight="1">
      <c r="A58" s="13" t="s">
        <v>40</v>
      </c>
      <c r="B58" s="14">
        <f>IFERROR(VLOOKUP(A58,PRICELIST!$A$3:$D$138,4,0),"-")</f>
        <v>635.30999999999995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9">
        <f t="shared" si="30"/>
        <v>0</v>
      </c>
      <c r="CZ58" s="19">
        <f t="shared" si="30"/>
        <v>0</v>
      </c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</row>
    <row r="59" spans="1:122" ht="18" customHeight="1">
      <c r="A59" s="9" t="s">
        <v>41</v>
      </c>
      <c r="B59" s="10"/>
      <c r="C59" s="11">
        <f>SUMPRODUCT($B54:$B58,C54:C58)</f>
        <v>0</v>
      </c>
      <c r="D59" s="11">
        <f t="shared" ref="D59:BO59" si="31">SUMPRODUCT($B54:$B58,D54:D58)</f>
        <v>0</v>
      </c>
      <c r="E59" s="11">
        <f t="shared" si="31"/>
        <v>0</v>
      </c>
      <c r="F59" s="11">
        <f t="shared" si="31"/>
        <v>0</v>
      </c>
      <c r="G59" s="11">
        <f t="shared" si="31"/>
        <v>0</v>
      </c>
      <c r="H59" s="11">
        <f t="shared" si="31"/>
        <v>0</v>
      </c>
      <c r="I59" s="11">
        <f t="shared" si="31"/>
        <v>0</v>
      </c>
      <c r="J59" s="11">
        <f t="shared" si="31"/>
        <v>0</v>
      </c>
      <c r="K59" s="11">
        <f t="shared" si="31"/>
        <v>0</v>
      </c>
      <c r="L59" s="11">
        <f t="shared" si="31"/>
        <v>0</v>
      </c>
      <c r="M59" s="11">
        <f t="shared" si="31"/>
        <v>0</v>
      </c>
      <c r="N59" s="11">
        <f t="shared" si="31"/>
        <v>0</v>
      </c>
      <c r="O59" s="11">
        <f t="shared" si="31"/>
        <v>0</v>
      </c>
      <c r="P59" s="11">
        <f t="shared" si="31"/>
        <v>0</v>
      </c>
      <c r="Q59" s="11">
        <f t="shared" si="31"/>
        <v>0</v>
      </c>
      <c r="R59" s="11">
        <f t="shared" si="31"/>
        <v>0</v>
      </c>
      <c r="S59" s="11">
        <f t="shared" si="31"/>
        <v>0</v>
      </c>
      <c r="T59" s="11">
        <f t="shared" si="31"/>
        <v>0</v>
      </c>
      <c r="U59" s="11">
        <f t="shared" si="31"/>
        <v>0</v>
      </c>
      <c r="V59" s="11">
        <f t="shared" si="31"/>
        <v>0</v>
      </c>
      <c r="W59" s="11">
        <f t="shared" si="31"/>
        <v>0</v>
      </c>
      <c r="X59" s="11">
        <f t="shared" si="31"/>
        <v>0</v>
      </c>
      <c r="Y59" s="11">
        <f t="shared" si="31"/>
        <v>0</v>
      </c>
      <c r="Z59" s="11">
        <f t="shared" si="31"/>
        <v>0</v>
      </c>
      <c r="AA59" s="11">
        <f t="shared" si="31"/>
        <v>0</v>
      </c>
      <c r="AB59" s="11">
        <f t="shared" si="31"/>
        <v>0</v>
      </c>
      <c r="AC59" s="11">
        <f t="shared" si="31"/>
        <v>0</v>
      </c>
      <c r="AD59" s="11">
        <f t="shared" si="31"/>
        <v>0</v>
      </c>
      <c r="AE59" s="11">
        <f t="shared" si="31"/>
        <v>0</v>
      </c>
      <c r="AF59" s="11">
        <f t="shared" si="31"/>
        <v>0</v>
      </c>
      <c r="AG59" s="11">
        <f t="shared" si="31"/>
        <v>0</v>
      </c>
      <c r="AH59" s="11">
        <f t="shared" si="31"/>
        <v>0</v>
      </c>
      <c r="AI59" s="11">
        <f t="shared" si="31"/>
        <v>0</v>
      </c>
      <c r="AJ59" s="11">
        <f t="shared" si="31"/>
        <v>0</v>
      </c>
      <c r="AK59" s="11">
        <f t="shared" si="31"/>
        <v>0</v>
      </c>
      <c r="AL59" s="11">
        <f t="shared" si="31"/>
        <v>0</v>
      </c>
      <c r="AM59" s="11">
        <f t="shared" si="31"/>
        <v>0</v>
      </c>
      <c r="AN59" s="11">
        <f t="shared" si="31"/>
        <v>0</v>
      </c>
      <c r="AO59" s="11">
        <f t="shared" si="31"/>
        <v>0</v>
      </c>
      <c r="AP59" s="11">
        <f t="shared" si="31"/>
        <v>0</v>
      </c>
      <c r="AQ59" s="11">
        <f t="shared" si="31"/>
        <v>0</v>
      </c>
      <c r="AR59" s="11">
        <f t="shared" si="31"/>
        <v>0</v>
      </c>
      <c r="AS59" s="11">
        <f t="shared" si="31"/>
        <v>0</v>
      </c>
      <c r="AT59" s="11">
        <f t="shared" si="31"/>
        <v>0</v>
      </c>
      <c r="AU59" s="11">
        <f t="shared" si="31"/>
        <v>0</v>
      </c>
      <c r="AV59" s="11">
        <f t="shared" si="31"/>
        <v>0</v>
      </c>
      <c r="AW59" s="11">
        <f t="shared" si="31"/>
        <v>0</v>
      </c>
      <c r="AX59" s="11">
        <f t="shared" si="31"/>
        <v>0</v>
      </c>
      <c r="AY59" s="11">
        <f t="shared" si="31"/>
        <v>0</v>
      </c>
      <c r="AZ59" s="11">
        <f t="shared" si="31"/>
        <v>0</v>
      </c>
      <c r="BA59" s="11">
        <f t="shared" si="31"/>
        <v>0</v>
      </c>
      <c r="BB59" s="11">
        <f t="shared" si="31"/>
        <v>0</v>
      </c>
      <c r="BC59" s="11">
        <f t="shared" si="31"/>
        <v>0</v>
      </c>
      <c r="BD59" s="11">
        <f t="shared" si="31"/>
        <v>0</v>
      </c>
      <c r="BE59" s="11">
        <f t="shared" si="31"/>
        <v>0</v>
      </c>
      <c r="BF59" s="11">
        <f t="shared" si="31"/>
        <v>0</v>
      </c>
      <c r="BG59" s="11">
        <f t="shared" si="31"/>
        <v>0</v>
      </c>
      <c r="BH59" s="11">
        <f t="shared" si="31"/>
        <v>0</v>
      </c>
      <c r="BI59" s="11">
        <f t="shared" si="31"/>
        <v>0</v>
      </c>
      <c r="BJ59" s="11">
        <f t="shared" si="31"/>
        <v>0</v>
      </c>
      <c r="BK59" s="11">
        <f t="shared" si="31"/>
        <v>0</v>
      </c>
      <c r="BL59" s="11">
        <f t="shared" si="31"/>
        <v>0</v>
      </c>
      <c r="BM59" s="11">
        <f t="shared" si="31"/>
        <v>0</v>
      </c>
      <c r="BN59" s="11">
        <f t="shared" si="31"/>
        <v>0</v>
      </c>
      <c r="BO59" s="11">
        <f t="shared" si="31"/>
        <v>0</v>
      </c>
      <c r="BP59" s="11">
        <f t="shared" ref="BP59:CZ59" si="32">SUMPRODUCT($B54:$B58,BP54:BP58)</f>
        <v>0</v>
      </c>
      <c r="BQ59" s="11">
        <f t="shared" si="32"/>
        <v>0</v>
      </c>
      <c r="BR59" s="11">
        <f t="shared" si="32"/>
        <v>0</v>
      </c>
      <c r="BS59" s="11">
        <f t="shared" si="32"/>
        <v>0</v>
      </c>
      <c r="BT59" s="11">
        <f t="shared" si="32"/>
        <v>0</v>
      </c>
      <c r="BU59" s="11">
        <f t="shared" si="32"/>
        <v>0</v>
      </c>
      <c r="BV59" s="11">
        <f t="shared" si="32"/>
        <v>0</v>
      </c>
      <c r="BW59" s="11">
        <f t="shared" si="32"/>
        <v>0</v>
      </c>
      <c r="BX59" s="11">
        <f t="shared" si="32"/>
        <v>0</v>
      </c>
      <c r="BY59" s="11">
        <f t="shared" si="32"/>
        <v>0</v>
      </c>
      <c r="BZ59" s="11">
        <f t="shared" si="32"/>
        <v>0</v>
      </c>
      <c r="CA59" s="11">
        <f t="shared" si="32"/>
        <v>0</v>
      </c>
      <c r="CB59" s="11">
        <f t="shared" si="32"/>
        <v>0</v>
      </c>
      <c r="CC59" s="11">
        <f t="shared" si="32"/>
        <v>0</v>
      </c>
      <c r="CD59" s="11">
        <f t="shared" si="32"/>
        <v>0</v>
      </c>
      <c r="CE59" s="11">
        <f t="shared" si="32"/>
        <v>0</v>
      </c>
      <c r="CF59" s="11">
        <f t="shared" si="32"/>
        <v>0</v>
      </c>
      <c r="CG59" s="11">
        <f t="shared" si="32"/>
        <v>0</v>
      </c>
      <c r="CH59" s="11">
        <f t="shared" si="32"/>
        <v>0</v>
      </c>
      <c r="CI59" s="11">
        <f t="shared" si="32"/>
        <v>0</v>
      </c>
      <c r="CJ59" s="11">
        <f t="shared" si="32"/>
        <v>0</v>
      </c>
      <c r="CK59" s="11">
        <f t="shared" si="32"/>
        <v>0</v>
      </c>
      <c r="CL59" s="11">
        <f t="shared" si="32"/>
        <v>0</v>
      </c>
      <c r="CM59" s="11">
        <f t="shared" si="32"/>
        <v>0</v>
      </c>
      <c r="CN59" s="11">
        <f t="shared" si="32"/>
        <v>0</v>
      </c>
      <c r="CO59" s="11">
        <f t="shared" si="32"/>
        <v>0</v>
      </c>
      <c r="CP59" s="11">
        <f t="shared" si="32"/>
        <v>0</v>
      </c>
      <c r="CQ59" s="11">
        <f t="shared" si="32"/>
        <v>0</v>
      </c>
      <c r="CR59" s="11">
        <f t="shared" si="32"/>
        <v>0</v>
      </c>
      <c r="CS59" s="11">
        <f t="shared" si="32"/>
        <v>0</v>
      </c>
      <c r="CT59" s="11">
        <f t="shared" si="32"/>
        <v>0</v>
      </c>
      <c r="CU59" s="11">
        <f t="shared" si="32"/>
        <v>0</v>
      </c>
      <c r="CV59" s="11">
        <f t="shared" si="32"/>
        <v>0</v>
      </c>
      <c r="CW59" s="11">
        <f t="shared" si="32"/>
        <v>0</v>
      </c>
      <c r="CX59" s="11">
        <f t="shared" si="32"/>
        <v>0</v>
      </c>
      <c r="CY59" s="11">
        <f t="shared" si="32"/>
        <v>0</v>
      </c>
      <c r="CZ59" s="11">
        <f t="shared" si="32"/>
        <v>0</v>
      </c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</row>
    <row r="60" spans="1:122" ht="18" customHeight="1">
      <c r="A60" s="13" t="s">
        <v>133</v>
      </c>
      <c r="B60" s="14">
        <f>IFERROR(VLOOKUP(A60,PRICELIST!$A$3:$D$138,4,0),"-")</f>
        <v>23.41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9">
        <f t="shared" ref="CY60:CZ70" si="33">C60+E60+G60+I60+K60+M60+O60+Q60+S60+U60+W60+Y60+AA60+AC60+AE60+AG60+AI60+AK60+AM60+AO60+AQ60+AS60+AU60+AW60+AY60+BA60+BC60+BE60+BG60+BI60+BK60+BM60+BO60+BQ60+BS60+BU60+BW60+BY60+CA60+CC60+CE60+CG60+CI60+CK60+CM60+CO60+CQ60+CS60+CU60+CW60</f>
        <v>0</v>
      </c>
      <c r="CZ60" s="19">
        <f t="shared" si="33"/>
        <v>0</v>
      </c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</row>
    <row r="61" spans="1:122" ht="18" customHeight="1">
      <c r="A61" s="13" t="s">
        <v>42</v>
      </c>
      <c r="B61" s="14">
        <f>IFERROR(VLOOKUP(A61,PRICELIST!$A$3:$D$138,4,0),"-")</f>
        <v>23.57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9">
        <f t="shared" si="33"/>
        <v>0</v>
      </c>
      <c r="CZ61" s="19">
        <f t="shared" si="33"/>
        <v>0</v>
      </c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</row>
    <row r="62" spans="1:122" ht="18" customHeight="1">
      <c r="A62" s="13" t="s">
        <v>43</v>
      </c>
      <c r="B62" s="14">
        <f>IFERROR(VLOOKUP(A62,PRICELIST!$A$3:$D$138,4,0),"-")</f>
        <v>66.7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9">
        <f t="shared" si="33"/>
        <v>0</v>
      </c>
      <c r="CZ62" s="19">
        <f t="shared" si="33"/>
        <v>0</v>
      </c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</row>
    <row r="63" spans="1:122" ht="18" customHeight="1">
      <c r="A63" s="13" t="s">
        <v>44</v>
      </c>
      <c r="B63" s="14">
        <f>IFERROR(VLOOKUP(A63,PRICELIST!$A$3:$D$138,4,0),"-")</f>
        <v>67.819999999999993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9">
        <f t="shared" si="33"/>
        <v>0</v>
      </c>
      <c r="CZ63" s="19">
        <f t="shared" si="33"/>
        <v>0</v>
      </c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</row>
    <row r="64" spans="1:122" ht="18" customHeight="1">
      <c r="A64" s="13" t="s">
        <v>45</v>
      </c>
      <c r="B64" s="14">
        <f>IFERROR(VLOOKUP(A64,PRICELIST!$A$3:$D$138,4,0),"-")</f>
        <v>9.58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9">
        <f t="shared" si="33"/>
        <v>0</v>
      </c>
      <c r="CZ64" s="19">
        <f t="shared" si="33"/>
        <v>0</v>
      </c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</row>
    <row r="65" spans="1:122" ht="18" customHeight="1">
      <c r="A65" s="13" t="s">
        <v>46</v>
      </c>
      <c r="B65" s="14">
        <f>IFERROR(VLOOKUP(A65,PRICELIST!$A$3:$D$138,4,0),"-")</f>
        <v>23.41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9">
        <f t="shared" si="33"/>
        <v>0</v>
      </c>
      <c r="CZ65" s="19">
        <f t="shared" si="33"/>
        <v>0</v>
      </c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</row>
    <row r="66" spans="1:122" ht="18" customHeight="1">
      <c r="A66" s="13" t="s">
        <v>47</v>
      </c>
      <c r="B66" s="14">
        <f>IFERROR(VLOOKUP(A66,PRICELIST!$A$3:$D$138,4,0),"-")</f>
        <v>23.57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9">
        <f t="shared" si="33"/>
        <v>0</v>
      </c>
      <c r="CZ66" s="19">
        <f t="shared" si="33"/>
        <v>0</v>
      </c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</row>
    <row r="67" spans="1:122" ht="18" customHeight="1">
      <c r="A67" s="13" t="s">
        <v>49</v>
      </c>
      <c r="B67" s="14">
        <f>IFERROR(VLOOKUP(A67,PRICELIST!$A$3:$D$138,4,0),"-")</f>
        <v>132.43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9">
        <f t="shared" si="33"/>
        <v>0</v>
      </c>
      <c r="CZ67" s="19">
        <f t="shared" si="33"/>
        <v>0</v>
      </c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</row>
    <row r="68" spans="1:122" ht="18" customHeight="1">
      <c r="A68" s="13" t="s">
        <v>50</v>
      </c>
      <c r="B68" s="14">
        <f>IFERROR(VLOOKUP(A68,PRICELIST!$A$3:$D$138,4,0),"-")</f>
        <v>94.7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9">
        <f t="shared" si="33"/>
        <v>0</v>
      </c>
      <c r="CZ68" s="19">
        <f t="shared" si="33"/>
        <v>0</v>
      </c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</row>
    <row r="69" spans="1:122" ht="18" customHeight="1">
      <c r="A69" s="13" t="s">
        <v>51</v>
      </c>
      <c r="B69" s="14">
        <f>IFERROR(VLOOKUP(A69,PRICELIST!$A$3:$D$138,4,0),"-")</f>
        <v>58.82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9">
        <f t="shared" si="33"/>
        <v>0</v>
      </c>
      <c r="CZ69" s="19">
        <f t="shared" si="33"/>
        <v>0</v>
      </c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</row>
    <row r="70" spans="1:122" ht="18" customHeight="1">
      <c r="A70" s="13" t="s">
        <v>52</v>
      </c>
      <c r="B70" s="14">
        <f>IFERROR(VLOOKUP(A70,PRICELIST!$A$3:$D$138,4,0),"-")</f>
        <v>61.39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9">
        <f t="shared" si="33"/>
        <v>0</v>
      </c>
      <c r="CZ70" s="19">
        <f t="shared" si="33"/>
        <v>0</v>
      </c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</row>
    <row r="71" spans="1:122" ht="18" customHeight="1">
      <c r="A71" s="9" t="s">
        <v>48</v>
      </c>
      <c r="B71" s="10"/>
      <c r="C71" s="11">
        <f t="shared" ref="C71:AH71" si="34">SUMPRODUCT($B60:$B70,C60:C70)</f>
        <v>0</v>
      </c>
      <c r="D71" s="11">
        <f t="shared" si="34"/>
        <v>0</v>
      </c>
      <c r="E71" s="11">
        <f t="shared" si="34"/>
        <v>0</v>
      </c>
      <c r="F71" s="11">
        <f t="shared" si="34"/>
        <v>0</v>
      </c>
      <c r="G71" s="11">
        <f t="shared" si="34"/>
        <v>0</v>
      </c>
      <c r="H71" s="11">
        <f t="shared" si="34"/>
        <v>0</v>
      </c>
      <c r="I71" s="11">
        <f t="shared" si="34"/>
        <v>0</v>
      </c>
      <c r="J71" s="11">
        <f t="shared" si="34"/>
        <v>0</v>
      </c>
      <c r="K71" s="11">
        <f t="shared" si="34"/>
        <v>0</v>
      </c>
      <c r="L71" s="11">
        <f t="shared" si="34"/>
        <v>0</v>
      </c>
      <c r="M71" s="11">
        <f t="shared" si="34"/>
        <v>0</v>
      </c>
      <c r="N71" s="11">
        <f t="shared" si="34"/>
        <v>0</v>
      </c>
      <c r="O71" s="11">
        <f t="shared" si="34"/>
        <v>0</v>
      </c>
      <c r="P71" s="11">
        <f t="shared" si="34"/>
        <v>0</v>
      </c>
      <c r="Q71" s="11">
        <f t="shared" si="34"/>
        <v>0</v>
      </c>
      <c r="R71" s="11">
        <f t="shared" si="34"/>
        <v>0</v>
      </c>
      <c r="S71" s="11">
        <f t="shared" si="34"/>
        <v>0</v>
      </c>
      <c r="T71" s="11">
        <f t="shared" si="34"/>
        <v>0</v>
      </c>
      <c r="U71" s="11">
        <f t="shared" si="34"/>
        <v>0</v>
      </c>
      <c r="V71" s="11">
        <f t="shared" si="34"/>
        <v>0</v>
      </c>
      <c r="W71" s="11">
        <f t="shared" si="34"/>
        <v>0</v>
      </c>
      <c r="X71" s="11">
        <f t="shared" si="34"/>
        <v>0</v>
      </c>
      <c r="Y71" s="11">
        <f t="shared" si="34"/>
        <v>0</v>
      </c>
      <c r="Z71" s="11">
        <f t="shared" si="34"/>
        <v>0</v>
      </c>
      <c r="AA71" s="11">
        <f t="shared" si="34"/>
        <v>0</v>
      </c>
      <c r="AB71" s="11">
        <f t="shared" si="34"/>
        <v>0</v>
      </c>
      <c r="AC71" s="11">
        <f t="shared" si="34"/>
        <v>0</v>
      </c>
      <c r="AD71" s="11">
        <f t="shared" si="34"/>
        <v>0</v>
      </c>
      <c r="AE71" s="11">
        <f t="shared" si="34"/>
        <v>0</v>
      </c>
      <c r="AF71" s="11">
        <f t="shared" si="34"/>
        <v>0</v>
      </c>
      <c r="AG71" s="11">
        <f t="shared" si="34"/>
        <v>0</v>
      </c>
      <c r="AH71" s="11">
        <f t="shared" si="34"/>
        <v>0</v>
      </c>
      <c r="AI71" s="11">
        <f t="shared" ref="AI71:BN71" si="35">SUMPRODUCT($B60:$B70,AI60:AI70)</f>
        <v>0</v>
      </c>
      <c r="AJ71" s="11">
        <f t="shared" si="35"/>
        <v>0</v>
      </c>
      <c r="AK71" s="11">
        <f t="shared" si="35"/>
        <v>0</v>
      </c>
      <c r="AL71" s="11">
        <f t="shared" si="35"/>
        <v>0</v>
      </c>
      <c r="AM71" s="11">
        <f t="shared" si="35"/>
        <v>0</v>
      </c>
      <c r="AN71" s="11">
        <f t="shared" si="35"/>
        <v>0</v>
      </c>
      <c r="AO71" s="11">
        <f t="shared" si="35"/>
        <v>0</v>
      </c>
      <c r="AP71" s="11">
        <f t="shared" si="35"/>
        <v>0</v>
      </c>
      <c r="AQ71" s="11">
        <f t="shared" si="35"/>
        <v>0</v>
      </c>
      <c r="AR71" s="11">
        <f t="shared" si="35"/>
        <v>0</v>
      </c>
      <c r="AS71" s="11">
        <f t="shared" si="35"/>
        <v>0</v>
      </c>
      <c r="AT71" s="11">
        <f t="shared" si="35"/>
        <v>0</v>
      </c>
      <c r="AU71" s="11">
        <f t="shared" si="35"/>
        <v>0</v>
      </c>
      <c r="AV71" s="11">
        <f t="shared" si="35"/>
        <v>0</v>
      </c>
      <c r="AW71" s="11">
        <f t="shared" si="35"/>
        <v>0</v>
      </c>
      <c r="AX71" s="11">
        <f t="shared" si="35"/>
        <v>0</v>
      </c>
      <c r="AY71" s="11">
        <f t="shared" si="35"/>
        <v>0</v>
      </c>
      <c r="AZ71" s="11">
        <f t="shared" si="35"/>
        <v>0</v>
      </c>
      <c r="BA71" s="11">
        <f t="shared" si="35"/>
        <v>0</v>
      </c>
      <c r="BB71" s="11">
        <f t="shared" si="35"/>
        <v>0</v>
      </c>
      <c r="BC71" s="11">
        <f t="shared" si="35"/>
        <v>0</v>
      </c>
      <c r="BD71" s="11">
        <f t="shared" si="35"/>
        <v>0</v>
      </c>
      <c r="BE71" s="11">
        <f t="shared" si="35"/>
        <v>0</v>
      </c>
      <c r="BF71" s="11">
        <f t="shared" si="35"/>
        <v>0</v>
      </c>
      <c r="BG71" s="11">
        <f t="shared" si="35"/>
        <v>0</v>
      </c>
      <c r="BH71" s="11">
        <f t="shared" si="35"/>
        <v>0</v>
      </c>
      <c r="BI71" s="11">
        <f t="shared" si="35"/>
        <v>0</v>
      </c>
      <c r="BJ71" s="11">
        <f t="shared" si="35"/>
        <v>0</v>
      </c>
      <c r="BK71" s="11">
        <f t="shared" si="35"/>
        <v>0</v>
      </c>
      <c r="BL71" s="11">
        <f t="shared" si="35"/>
        <v>0</v>
      </c>
      <c r="BM71" s="11">
        <f t="shared" si="35"/>
        <v>0</v>
      </c>
      <c r="BN71" s="11">
        <f t="shared" si="35"/>
        <v>0</v>
      </c>
      <c r="BO71" s="11">
        <f t="shared" ref="BO71:CT71" si="36">SUMPRODUCT($B60:$B70,BO60:BO70)</f>
        <v>0</v>
      </c>
      <c r="BP71" s="11">
        <f t="shared" si="36"/>
        <v>0</v>
      </c>
      <c r="BQ71" s="11">
        <f t="shared" si="36"/>
        <v>0</v>
      </c>
      <c r="BR71" s="11">
        <f t="shared" si="36"/>
        <v>0</v>
      </c>
      <c r="BS71" s="11">
        <f t="shared" si="36"/>
        <v>0</v>
      </c>
      <c r="BT71" s="11">
        <f t="shared" si="36"/>
        <v>0</v>
      </c>
      <c r="BU71" s="11">
        <f t="shared" si="36"/>
        <v>0</v>
      </c>
      <c r="BV71" s="11">
        <f t="shared" si="36"/>
        <v>0</v>
      </c>
      <c r="BW71" s="11">
        <f t="shared" si="36"/>
        <v>0</v>
      </c>
      <c r="BX71" s="11">
        <f t="shared" si="36"/>
        <v>0</v>
      </c>
      <c r="BY71" s="11">
        <f t="shared" si="36"/>
        <v>0</v>
      </c>
      <c r="BZ71" s="11">
        <f t="shared" si="36"/>
        <v>0</v>
      </c>
      <c r="CA71" s="11">
        <f t="shared" si="36"/>
        <v>0</v>
      </c>
      <c r="CB71" s="11">
        <f t="shared" si="36"/>
        <v>0</v>
      </c>
      <c r="CC71" s="11">
        <f t="shared" si="36"/>
        <v>0</v>
      </c>
      <c r="CD71" s="11">
        <f t="shared" si="36"/>
        <v>0</v>
      </c>
      <c r="CE71" s="11">
        <f t="shared" si="36"/>
        <v>0</v>
      </c>
      <c r="CF71" s="11">
        <f t="shared" si="36"/>
        <v>0</v>
      </c>
      <c r="CG71" s="11">
        <f t="shared" si="36"/>
        <v>0</v>
      </c>
      <c r="CH71" s="11">
        <f t="shared" si="36"/>
        <v>0</v>
      </c>
      <c r="CI71" s="11">
        <f t="shared" si="36"/>
        <v>0</v>
      </c>
      <c r="CJ71" s="11">
        <f t="shared" si="36"/>
        <v>0</v>
      </c>
      <c r="CK71" s="11">
        <f t="shared" si="36"/>
        <v>0</v>
      </c>
      <c r="CL71" s="11">
        <f t="shared" si="36"/>
        <v>0</v>
      </c>
      <c r="CM71" s="11">
        <f t="shared" si="36"/>
        <v>0</v>
      </c>
      <c r="CN71" s="11">
        <f t="shared" si="36"/>
        <v>0</v>
      </c>
      <c r="CO71" s="11">
        <f t="shared" si="36"/>
        <v>0</v>
      </c>
      <c r="CP71" s="11">
        <f t="shared" si="36"/>
        <v>0</v>
      </c>
      <c r="CQ71" s="11">
        <f t="shared" si="36"/>
        <v>0</v>
      </c>
      <c r="CR71" s="11">
        <f t="shared" si="36"/>
        <v>0</v>
      </c>
      <c r="CS71" s="11">
        <f t="shared" si="36"/>
        <v>0</v>
      </c>
      <c r="CT71" s="11">
        <f t="shared" si="36"/>
        <v>0</v>
      </c>
      <c r="CU71" s="11">
        <f t="shared" ref="CU71:CZ71" si="37">SUMPRODUCT($B60:$B70,CU60:CU70)</f>
        <v>0</v>
      </c>
      <c r="CV71" s="11">
        <f t="shared" si="37"/>
        <v>0</v>
      </c>
      <c r="CW71" s="11">
        <f t="shared" si="37"/>
        <v>0</v>
      </c>
      <c r="CX71" s="11">
        <f t="shared" si="37"/>
        <v>0</v>
      </c>
      <c r="CY71" s="11">
        <f t="shared" si="37"/>
        <v>0</v>
      </c>
      <c r="CZ71" s="11">
        <f t="shared" si="37"/>
        <v>0</v>
      </c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</row>
    <row r="72" spans="1:122" ht="18" customHeight="1">
      <c r="A72" s="13" t="s">
        <v>85</v>
      </c>
      <c r="B72" s="14">
        <f>IFERROR(VLOOKUP(A72,PRICELIST!$A$3:$D$138,4,0),"-")</f>
        <v>165.86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9">
        <f t="shared" ref="CY72:CZ78" si="38">C72+E72+G72+I72+K72+M72+O72+Q72+S72+U72+W72+Y72+AA72+AC72+AE72+AG72+AI72+AK72+AM72+AO72+AQ72+AS72+AU72+AW72+AY72+BA72+BC72+BE72+BG72+BI72+BK72+BM72+BO72+BQ72+BS72+BU72+BW72+BY72+CA72+CC72+CE72+CG72+CI72+CK72+CM72+CO72+CQ72+CS72+CU72+CW72</f>
        <v>0</v>
      </c>
      <c r="CZ72" s="19">
        <f t="shared" si="38"/>
        <v>0</v>
      </c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</row>
    <row r="73" spans="1:122" ht="18" customHeight="1">
      <c r="A73" s="13" t="s">
        <v>53</v>
      </c>
      <c r="B73" s="14">
        <f>IFERROR(VLOOKUP(A73,PRICELIST!$A$3:$D$138,4,0),"-")</f>
        <v>82.93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9">
        <f t="shared" si="38"/>
        <v>0</v>
      </c>
      <c r="CZ73" s="19">
        <f t="shared" si="38"/>
        <v>0</v>
      </c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</row>
    <row r="74" spans="1:122" ht="18" customHeight="1">
      <c r="A74" s="13" t="s">
        <v>54</v>
      </c>
      <c r="B74" s="14">
        <f>IFERROR(VLOOKUP(A74,PRICELIST!$A$3:$D$138,4,0),"-")</f>
        <v>96.43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9">
        <f t="shared" si="38"/>
        <v>0</v>
      </c>
      <c r="CZ74" s="19">
        <f t="shared" si="38"/>
        <v>0</v>
      </c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</row>
    <row r="75" spans="1:122" ht="18" customHeight="1">
      <c r="A75" s="13" t="s">
        <v>55</v>
      </c>
      <c r="B75" s="14">
        <f>IFERROR(VLOOKUP(A75,PRICELIST!$A$3:$D$138,4,0),"-")</f>
        <v>47.57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9">
        <f t="shared" si="38"/>
        <v>0</v>
      </c>
      <c r="CZ75" s="19">
        <f t="shared" si="38"/>
        <v>0</v>
      </c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</row>
    <row r="76" spans="1:122" ht="18" customHeight="1">
      <c r="A76" s="13" t="s">
        <v>132</v>
      </c>
      <c r="B76" s="14">
        <f>IFERROR(VLOOKUP(A76,PRICELIST!$A$3:$D$138,4,0),"-")</f>
        <v>128.57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9">
        <f t="shared" si="38"/>
        <v>0</v>
      </c>
      <c r="CZ76" s="19">
        <f t="shared" si="38"/>
        <v>0</v>
      </c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</row>
    <row r="77" spans="1:122" ht="18" customHeight="1">
      <c r="A77" s="13" t="s">
        <v>86</v>
      </c>
      <c r="B77" s="14">
        <f>IFERROR(VLOOKUP(A77,PRICELIST!$A$3:$D$138,4,0),"-")</f>
        <v>130.5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9">
        <f t="shared" si="38"/>
        <v>0</v>
      </c>
      <c r="CZ77" s="19">
        <f t="shared" si="38"/>
        <v>0</v>
      </c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</row>
    <row r="78" spans="1:122" ht="18" customHeight="1">
      <c r="A78" s="26" t="s">
        <v>121</v>
      </c>
      <c r="B78" s="14">
        <f>IFERROR(VLOOKUP(A78,PRICELIST!$A$3:$D$138,4,0),"-")</f>
        <v>146.88999999999999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9">
        <f t="shared" si="38"/>
        <v>0</v>
      </c>
      <c r="CZ78" s="19">
        <f t="shared" si="38"/>
        <v>0</v>
      </c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</row>
    <row r="79" spans="1:122" ht="18" customHeight="1">
      <c r="A79" s="9" t="s">
        <v>56</v>
      </c>
      <c r="B79" s="10"/>
      <c r="C79" s="11">
        <f>SUMPRODUCT($B72:$B78,C72:C78)</f>
        <v>0</v>
      </c>
      <c r="D79" s="11">
        <f t="shared" ref="D79:BO79" si="39">SUMPRODUCT($B72:$B78,D72:D78)</f>
        <v>0</v>
      </c>
      <c r="E79" s="11">
        <f t="shared" si="39"/>
        <v>0</v>
      </c>
      <c r="F79" s="11">
        <f t="shared" si="39"/>
        <v>0</v>
      </c>
      <c r="G79" s="11">
        <f t="shared" si="39"/>
        <v>0</v>
      </c>
      <c r="H79" s="11">
        <f t="shared" si="39"/>
        <v>0</v>
      </c>
      <c r="I79" s="11">
        <f t="shared" si="39"/>
        <v>0</v>
      </c>
      <c r="J79" s="11">
        <f t="shared" si="39"/>
        <v>0</v>
      </c>
      <c r="K79" s="11">
        <f t="shared" si="39"/>
        <v>0</v>
      </c>
      <c r="L79" s="11">
        <f t="shared" si="39"/>
        <v>0</v>
      </c>
      <c r="M79" s="11">
        <f t="shared" si="39"/>
        <v>0</v>
      </c>
      <c r="N79" s="11">
        <f t="shared" si="39"/>
        <v>0</v>
      </c>
      <c r="O79" s="11">
        <f t="shared" si="39"/>
        <v>0</v>
      </c>
      <c r="P79" s="11">
        <f t="shared" si="39"/>
        <v>0</v>
      </c>
      <c r="Q79" s="11">
        <f t="shared" si="39"/>
        <v>0</v>
      </c>
      <c r="R79" s="11">
        <f t="shared" si="39"/>
        <v>0</v>
      </c>
      <c r="S79" s="11">
        <f t="shared" si="39"/>
        <v>0</v>
      </c>
      <c r="T79" s="11">
        <f t="shared" si="39"/>
        <v>0</v>
      </c>
      <c r="U79" s="11">
        <f t="shared" si="39"/>
        <v>0</v>
      </c>
      <c r="V79" s="11">
        <f t="shared" si="39"/>
        <v>0</v>
      </c>
      <c r="W79" s="11">
        <f t="shared" si="39"/>
        <v>0</v>
      </c>
      <c r="X79" s="11">
        <f t="shared" si="39"/>
        <v>0</v>
      </c>
      <c r="Y79" s="11">
        <f t="shared" si="39"/>
        <v>0</v>
      </c>
      <c r="Z79" s="11">
        <f t="shared" si="39"/>
        <v>0</v>
      </c>
      <c r="AA79" s="11">
        <f t="shared" si="39"/>
        <v>0</v>
      </c>
      <c r="AB79" s="11">
        <f t="shared" si="39"/>
        <v>0</v>
      </c>
      <c r="AC79" s="11">
        <f t="shared" si="39"/>
        <v>0</v>
      </c>
      <c r="AD79" s="11">
        <f t="shared" si="39"/>
        <v>0</v>
      </c>
      <c r="AE79" s="11">
        <f t="shared" si="39"/>
        <v>0</v>
      </c>
      <c r="AF79" s="11">
        <f t="shared" si="39"/>
        <v>0</v>
      </c>
      <c r="AG79" s="11">
        <f t="shared" si="39"/>
        <v>0</v>
      </c>
      <c r="AH79" s="11">
        <f t="shared" si="39"/>
        <v>0</v>
      </c>
      <c r="AI79" s="11">
        <f t="shared" si="39"/>
        <v>0</v>
      </c>
      <c r="AJ79" s="11">
        <f t="shared" si="39"/>
        <v>0</v>
      </c>
      <c r="AK79" s="11">
        <f t="shared" si="39"/>
        <v>0</v>
      </c>
      <c r="AL79" s="11">
        <f t="shared" si="39"/>
        <v>0</v>
      </c>
      <c r="AM79" s="11">
        <f t="shared" si="39"/>
        <v>0</v>
      </c>
      <c r="AN79" s="11">
        <f t="shared" si="39"/>
        <v>0</v>
      </c>
      <c r="AO79" s="11">
        <f t="shared" si="39"/>
        <v>0</v>
      </c>
      <c r="AP79" s="11">
        <f t="shared" si="39"/>
        <v>0</v>
      </c>
      <c r="AQ79" s="11">
        <f t="shared" si="39"/>
        <v>0</v>
      </c>
      <c r="AR79" s="11">
        <f t="shared" si="39"/>
        <v>0</v>
      </c>
      <c r="AS79" s="11">
        <f t="shared" si="39"/>
        <v>0</v>
      </c>
      <c r="AT79" s="11">
        <f t="shared" si="39"/>
        <v>0</v>
      </c>
      <c r="AU79" s="11">
        <f t="shared" si="39"/>
        <v>0</v>
      </c>
      <c r="AV79" s="11">
        <f t="shared" si="39"/>
        <v>0</v>
      </c>
      <c r="AW79" s="11">
        <f t="shared" si="39"/>
        <v>0</v>
      </c>
      <c r="AX79" s="11">
        <f t="shared" si="39"/>
        <v>0</v>
      </c>
      <c r="AY79" s="11">
        <f t="shared" si="39"/>
        <v>0</v>
      </c>
      <c r="AZ79" s="11">
        <f t="shared" si="39"/>
        <v>0</v>
      </c>
      <c r="BA79" s="11">
        <f t="shared" si="39"/>
        <v>0</v>
      </c>
      <c r="BB79" s="11">
        <f t="shared" si="39"/>
        <v>0</v>
      </c>
      <c r="BC79" s="11">
        <f t="shared" si="39"/>
        <v>0</v>
      </c>
      <c r="BD79" s="11">
        <f t="shared" si="39"/>
        <v>0</v>
      </c>
      <c r="BE79" s="11">
        <f t="shared" si="39"/>
        <v>0</v>
      </c>
      <c r="BF79" s="11">
        <f t="shared" si="39"/>
        <v>0</v>
      </c>
      <c r="BG79" s="11">
        <f t="shared" si="39"/>
        <v>0</v>
      </c>
      <c r="BH79" s="11">
        <f t="shared" si="39"/>
        <v>0</v>
      </c>
      <c r="BI79" s="11">
        <f t="shared" si="39"/>
        <v>0</v>
      </c>
      <c r="BJ79" s="11">
        <f t="shared" si="39"/>
        <v>0</v>
      </c>
      <c r="BK79" s="11">
        <f t="shared" si="39"/>
        <v>0</v>
      </c>
      <c r="BL79" s="11">
        <f t="shared" si="39"/>
        <v>0</v>
      </c>
      <c r="BM79" s="11">
        <f t="shared" si="39"/>
        <v>0</v>
      </c>
      <c r="BN79" s="11">
        <f t="shared" si="39"/>
        <v>0</v>
      </c>
      <c r="BO79" s="11">
        <f t="shared" si="39"/>
        <v>0</v>
      </c>
      <c r="BP79" s="11">
        <f t="shared" ref="BP79:CZ79" si="40">SUMPRODUCT($B72:$B78,BP72:BP78)</f>
        <v>0</v>
      </c>
      <c r="BQ79" s="11">
        <f t="shared" si="40"/>
        <v>0</v>
      </c>
      <c r="BR79" s="11">
        <f t="shared" si="40"/>
        <v>0</v>
      </c>
      <c r="BS79" s="11">
        <f t="shared" si="40"/>
        <v>0</v>
      </c>
      <c r="BT79" s="11">
        <f t="shared" si="40"/>
        <v>0</v>
      </c>
      <c r="BU79" s="11">
        <f t="shared" si="40"/>
        <v>0</v>
      </c>
      <c r="BV79" s="11">
        <f t="shared" si="40"/>
        <v>0</v>
      </c>
      <c r="BW79" s="11">
        <f t="shared" si="40"/>
        <v>0</v>
      </c>
      <c r="BX79" s="11">
        <f t="shared" si="40"/>
        <v>0</v>
      </c>
      <c r="BY79" s="11">
        <f t="shared" si="40"/>
        <v>0</v>
      </c>
      <c r="BZ79" s="11">
        <f t="shared" si="40"/>
        <v>0</v>
      </c>
      <c r="CA79" s="11">
        <f t="shared" si="40"/>
        <v>0</v>
      </c>
      <c r="CB79" s="11">
        <f t="shared" si="40"/>
        <v>0</v>
      </c>
      <c r="CC79" s="11">
        <f t="shared" si="40"/>
        <v>0</v>
      </c>
      <c r="CD79" s="11">
        <f t="shared" si="40"/>
        <v>0</v>
      </c>
      <c r="CE79" s="11">
        <f t="shared" si="40"/>
        <v>0</v>
      </c>
      <c r="CF79" s="11">
        <f t="shared" si="40"/>
        <v>0</v>
      </c>
      <c r="CG79" s="11">
        <f t="shared" si="40"/>
        <v>0</v>
      </c>
      <c r="CH79" s="11">
        <f t="shared" si="40"/>
        <v>0</v>
      </c>
      <c r="CI79" s="11">
        <f t="shared" si="40"/>
        <v>0</v>
      </c>
      <c r="CJ79" s="11">
        <f t="shared" si="40"/>
        <v>0</v>
      </c>
      <c r="CK79" s="11">
        <f t="shared" si="40"/>
        <v>0</v>
      </c>
      <c r="CL79" s="11">
        <f t="shared" si="40"/>
        <v>0</v>
      </c>
      <c r="CM79" s="11">
        <f t="shared" si="40"/>
        <v>0</v>
      </c>
      <c r="CN79" s="11">
        <f t="shared" si="40"/>
        <v>0</v>
      </c>
      <c r="CO79" s="11">
        <f t="shared" si="40"/>
        <v>0</v>
      </c>
      <c r="CP79" s="11">
        <f t="shared" si="40"/>
        <v>0</v>
      </c>
      <c r="CQ79" s="11">
        <f t="shared" si="40"/>
        <v>0</v>
      </c>
      <c r="CR79" s="11">
        <f t="shared" si="40"/>
        <v>0</v>
      </c>
      <c r="CS79" s="11">
        <f t="shared" si="40"/>
        <v>0</v>
      </c>
      <c r="CT79" s="11">
        <f t="shared" si="40"/>
        <v>0</v>
      </c>
      <c r="CU79" s="11">
        <f t="shared" si="40"/>
        <v>0</v>
      </c>
      <c r="CV79" s="11">
        <f t="shared" si="40"/>
        <v>0</v>
      </c>
      <c r="CW79" s="11">
        <f t="shared" si="40"/>
        <v>0</v>
      </c>
      <c r="CX79" s="11">
        <f t="shared" si="40"/>
        <v>0</v>
      </c>
      <c r="CY79" s="11">
        <f t="shared" si="40"/>
        <v>0</v>
      </c>
      <c r="CZ79" s="11">
        <f t="shared" si="40"/>
        <v>0</v>
      </c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</row>
    <row r="80" spans="1:122" ht="18" customHeight="1">
      <c r="A80" s="13" t="s">
        <v>57</v>
      </c>
      <c r="B80" s="14">
        <f>IFERROR(VLOOKUP(A80,PRICELIST!$A$3:$D$138,4,0),"-")</f>
        <v>78.75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9">
        <f>C80+E80+G80+I80+K80+M80+O80+Q80+S80+U80+W80+Y80+AA80+AC80+AE80+AG80+AI80+AK80+AM80+AO80+AQ80+AS80+AU80+AW80+AY80+BA80+BC80+BE80+BG80+BI80+BK80+BM80+BO80+BQ80+BS80+BU80+BW80+BY80+CA80+CC80+CE80+CG80+CI80+CK80+CM80+CO80+CQ80+CS80+CU80+CW80</f>
        <v>0</v>
      </c>
      <c r="CZ80" s="19">
        <f>D80+F80+H80+J80+L80+N80+P80+R80+T80+V80+X80+Z80+AB80+AD80+AF80+AH80+AJ80+AL80+AN80+AP80+AR80+AT80+AV80+AX80+AZ80+BB80+BD80+BF80+BH80+BJ80+BL80+BN80+BP80+BR80+BT80+BV80+BX80+BZ80+CB80+CD80+CF80+CH80+CJ80+CL80+CN80+CP80+CR80+CT80+CV80+CX80</f>
        <v>0</v>
      </c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</row>
    <row r="81" spans="1:122" ht="18" customHeight="1">
      <c r="A81" s="9" t="s">
        <v>58</v>
      </c>
      <c r="B81" s="10"/>
      <c r="C81" s="11">
        <f>SUMPRODUCT($B80*C80)</f>
        <v>0</v>
      </c>
      <c r="D81" s="11">
        <f t="shared" ref="D81:BO81" si="41">SUMPRODUCT($B80*D80)</f>
        <v>0</v>
      </c>
      <c r="E81" s="11">
        <f t="shared" si="41"/>
        <v>0</v>
      </c>
      <c r="F81" s="11">
        <f t="shared" si="41"/>
        <v>0</v>
      </c>
      <c r="G81" s="11">
        <f t="shared" si="41"/>
        <v>0</v>
      </c>
      <c r="H81" s="11">
        <f t="shared" si="41"/>
        <v>0</v>
      </c>
      <c r="I81" s="11">
        <f t="shared" si="41"/>
        <v>0</v>
      </c>
      <c r="J81" s="11">
        <f t="shared" si="41"/>
        <v>0</v>
      </c>
      <c r="K81" s="11">
        <f t="shared" si="41"/>
        <v>0</v>
      </c>
      <c r="L81" s="11">
        <f t="shared" si="41"/>
        <v>0</v>
      </c>
      <c r="M81" s="11">
        <f t="shared" si="41"/>
        <v>0</v>
      </c>
      <c r="N81" s="11">
        <f t="shared" si="41"/>
        <v>0</v>
      </c>
      <c r="O81" s="11">
        <f t="shared" si="41"/>
        <v>0</v>
      </c>
      <c r="P81" s="11">
        <f t="shared" si="41"/>
        <v>0</v>
      </c>
      <c r="Q81" s="11">
        <f t="shared" si="41"/>
        <v>0</v>
      </c>
      <c r="R81" s="11">
        <f t="shared" si="41"/>
        <v>0</v>
      </c>
      <c r="S81" s="11">
        <f t="shared" si="41"/>
        <v>0</v>
      </c>
      <c r="T81" s="11">
        <f t="shared" si="41"/>
        <v>0</v>
      </c>
      <c r="U81" s="11">
        <f t="shared" si="41"/>
        <v>0</v>
      </c>
      <c r="V81" s="11">
        <f t="shared" si="41"/>
        <v>0</v>
      </c>
      <c r="W81" s="11">
        <f t="shared" si="41"/>
        <v>0</v>
      </c>
      <c r="X81" s="11">
        <f t="shared" si="41"/>
        <v>0</v>
      </c>
      <c r="Y81" s="11">
        <f t="shared" si="41"/>
        <v>0</v>
      </c>
      <c r="Z81" s="11">
        <f t="shared" si="41"/>
        <v>0</v>
      </c>
      <c r="AA81" s="11">
        <f t="shared" si="41"/>
        <v>0</v>
      </c>
      <c r="AB81" s="11">
        <f t="shared" si="41"/>
        <v>0</v>
      </c>
      <c r="AC81" s="11">
        <f t="shared" si="41"/>
        <v>0</v>
      </c>
      <c r="AD81" s="11">
        <f t="shared" si="41"/>
        <v>0</v>
      </c>
      <c r="AE81" s="11">
        <f t="shared" si="41"/>
        <v>0</v>
      </c>
      <c r="AF81" s="11">
        <f t="shared" si="41"/>
        <v>0</v>
      </c>
      <c r="AG81" s="11">
        <f t="shared" si="41"/>
        <v>0</v>
      </c>
      <c r="AH81" s="11">
        <f t="shared" si="41"/>
        <v>0</v>
      </c>
      <c r="AI81" s="11">
        <f t="shared" si="41"/>
        <v>0</v>
      </c>
      <c r="AJ81" s="11">
        <f t="shared" si="41"/>
        <v>0</v>
      </c>
      <c r="AK81" s="11">
        <f t="shared" si="41"/>
        <v>0</v>
      </c>
      <c r="AL81" s="11">
        <f t="shared" si="41"/>
        <v>0</v>
      </c>
      <c r="AM81" s="11">
        <f t="shared" si="41"/>
        <v>0</v>
      </c>
      <c r="AN81" s="11">
        <f t="shared" si="41"/>
        <v>0</v>
      </c>
      <c r="AO81" s="11">
        <f t="shared" si="41"/>
        <v>0</v>
      </c>
      <c r="AP81" s="11">
        <f t="shared" si="41"/>
        <v>0</v>
      </c>
      <c r="AQ81" s="11">
        <f t="shared" si="41"/>
        <v>0</v>
      </c>
      <c r="AR81" s="11">
        <f t="shared" si="41"/>
        <v>0</v>
      </c>
      <c r="AS81" s="11">
        <f t="shared" si="41"/>
        <v>0</v>
      </c>
      <c r="AT81" s="11">
        <f t="shared" si="41"/>
        <v>0</v>
      </c>
      <c r="AU81" s="11">
        <f t="shared" si="41"/>
        <v>0</v>
      </c>
      <c r="AV81" s="11">
        <f t="shared" si="41"/>
        <v>0</v>
      </c>
      <c r="AW81" s="11">
        <f t="shared" si="41"/>
        <v>0</v>
      </c>
      <c r="AX81" s="11">
        <f t="shared" si="41"/>
        <v>0</v>
      </c>
      <c r="AY81" s="11">
        <f t="shared" si="41"/>
        <v>0</v>
      </c>
      <c r="AZ81" s="11">
        <f t="shared" si="41"/>
        <v>0</v>
      </c>
      <c r="BA81" s="11">
        <f t="shared" si="41"/>
        <v>0</v>
      </c>
      <c r="BB81" s="11">
        <f t="shared" si="41"/>
        <v>0</v>
      </c>
      <c r="BC81" s="11">
        <f t="shared" si="41"/>
        <v>0</v>
      </c>
      <c r="BD81" s="11">
        <f t="shared" si="41"/>
        <v>0</v>
      </c>
      <c r="BE81" s="11">
        <f t="shared" si="41"/>
        <v>0</v>
      </c>
      <c r="BF81" s="11">
        <f t="shared" si="41"/>
        <v>0</v>
      </c>
      <c r="BG81" s="11">
        <f t="shared" si="41"/>
        <v>0</v>
      </c>
      <c r="BH81" s="11">
        <f t="shared" si="41"/>
        <v>0</v>
      </c>
      <c r="BI81" s="11">
        <f t="shared" si="41"/>
        <v>0</v>
      </c>
      <c r="BJ81" s="11">
        <f t="shared" si="41"/>
        <v>0</v>
      </c>
      <c r="BK81" s="11">
        <f t="shared" si="41"/>
        <v>0</v>
      </c>
      <c r="BL81" s="11">
        <f t="shared" si="41"/>
        <v>0</v>
      </c>
      <c r="BM81" s="11">
        <f t="shared" si="41"/>
        <v>0</v>
      </c>
      <c r="BN81" s="11">
        <f t="shared" si="41"/>
        <v>0</v>
      </c>
      <c r="BO81" s="11">
        <f t="shared" si="41"/>
        <v>0</v>
      </c>
      <c r="BP81" s="11">
        <f t="shared" ref="BP81:CZ81" si="42">SUMPRODUCT($B80*BP80)</f>
        <v>0</v>
      </c>
      <c r="BQ81" s="11">
        <f t="shared" si="42"/>
        <v>0</v>
      </c>
      <c r="BR81" s="11">
        <f t="shared" si="42"/>
        <v>0</v>
      </c>
      <c r="BS81" s="11">
        <f t="shared" si="42"/>
        <v>0</v>
      </c>
      <c r="BT81" s="11">
        <f t="shared" si="42"/>
        <v>0</v>
      </c>
      <c r="BU81" s="11">
        <f t="shared" si="42"/>
        <v>0</v>
      </c>
      <c r="BV81" s="11">
        <f t="shared" si="42"/>
        <v>0</v>
      </c>
      <c r="BW81" s="11">
        <f t="shared" si="42"/>
        <v>0</v>
      </c>
      <c r="BX81" s="11">
        <f t="shared" si="42"/>
        <v>0</v>
      </c>
      <c r="BY81" s="11">
        <f t="shared" si="42"/>
        <v>0</v>
      </c>
      <c r="BZ81" s="11">
        <f t="shared" si="42"/>
        <v>0</v>
      </c>
      <c r="CA81" s="11">
        <f t="shared" si="42"/>
        <v>0</v>
      </c>
      <c r="CB81" s="11">
        <f t="shared" si="42"/>
        <v>0</v>
      </c>
      <c r="CC81" s="11">
        <f t="shared" si="42"/>
        <v>0</v>
      </c>
      <c r="CD81" s="11">
        <f t="shared" si="42"/>
        <v>0</v>
      </c>
      <c r="CE81" s="11">
        <f t="shared" si="42"/>
        <v>0</v>
      </c>
      <c r="CF81" s="11">
        <f t="shared" si="42"/>
        <v>0</v>
      </c>
      <c r="CG81" s="11">
        <f t="shared" si="42"/>
        <v>0</v>
      </c>
      <c r="CH81" s="11">
        <f t="shared" si="42"/>
        <v>0</v>
      </c>
      <c r="CI81" s="11">
        <f t="shared" si="42"/>
        <v>0</v>
      </c>
      <c r="CJ81" s="11">
        <f t="shared" si="42"/>
        <v>0</v>
      </c>
      <c r="CK81" s="11">
        <f t="shared" si="42"/>
        <v>0</v>
      </c>
      <c r="CL81" s="11">
        <f t="shared" si="42"/>
        <v>0</v>
      </c>
      <c r="CM81" s="11">
        <f t="shared" si="42"/>
        <v>0</v>
      </c>
      <c r="CN81" s="11">
        <f t="shared" si="42"/>
        <v>0</v>
      </c>
      <c r="CO81" s="11">
        <f t="shared" si="42"/>
        <v>0</v>
      </c>
      <c r="CP81" s="11">
        <f t="shared" si="42"/>
        <v>0</v>
      </c>
      <c r="CQ81" s="11">
        <f t="shared" si="42"/>
        <v>0</v>
      </c>
      <c r="CR81" s="11">
        <f t="shared" si="42"/>
        <v>0</v>
      </c>
      <c r="CS81" s="11">
        <f t="shared" si="42"/>
        <v>0</v>
      </c>
      <c r="CT81" s="11">
        <f t="shared" si="42"/>
        <v>0</v>
      </c>
      <c r="CU81" s="11">
        <f t="shared" si="42"/>
        <v>0</v>
      </c>
      <c r="CV81" s="11">
        <f t="shared" si="42"/>
        <v>0</v>
      </c>
      <c r="CW81" s="11">
        <f t="shared" si="42"/>
        <v>0</v>
      </c>
      <c r="CX81" s="11">
        <f t="shared" si="42"/>
        <v>0</v>
      </c>
      <c r="CY81" s="11">
        <f t="shared" si="42"/>
        <v>0</v>
      </c>
      <c r="CZ81" s="11">
        <f t="shared" si="42"/>
        <v>0</v>
      </c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</row>
    <row r="82" spans="1:122" ht="18" customHeight="1">
      <c r="A82" s="13" t="s">
        <v>59</v>
      </c>
      <c r="B82" s="14">
        <f>IFERROR(VLOOKUP(A82,PRICELIST!$A$3:$D$138,4,0),"-")</f>
        <v>276.11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9">
        <f t="shared" ref="CY82:CZ84" si="43">C82+E82+G82+I82+K82+M82+O82+Q82+S82+U82+W82+Y82+AA82+AC82+AE82+AG82+AI82+AK82+AM82+AO82+AQ82+AS82+AU82+AW82+AY82+BA82+BC82+BE82+BG82+BI82+BK82+BM82+BO82+BQ82+BS82+BU82+BW82+BY82+CA82+CC82+CE82+CG82+CI82+CK82+CM82+CO82+CQ82+CS82+CU82+CW82</f>
        <v>0</v>
      </c>
      <c r="CZ82" s="19">
        <f t="shared" si="43"/>
        <v>0</v>
      </c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</row>
    <row r="83" spans="1:122" ht="18" customHeight="1">
      <c r="A83" s="13" t="s">
        <v>60</v>
      </c>
      <c r="B83" s="14">
        <f>IFERROR(VLOOKUP(A83,PRICELIST!$A$3:$D$138,4,0),"-")</f>
        <v>75.540000000000006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9">
        <f t="shared" si="43"/>
        <v>0</v>
      </c>
      <c r="CZ83" s="19">
        <f t="shared" si="43"/>
        <v>0</v>
      </c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</row>
    <row r="84" spans="1:122" ht="18" customHeight="1">
      <c r="A84" s="13" t="s">
        <v>61</v>
      </c>
      <c r="B84" s="14">
        <f>IFERROR(VLOOKUP(A84,PRICELIST!$A$3:$D$138,4,0),"-")</f>
        <v>145.93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9">
        <f t="shared" si="43"/>
        <v>0</v>
      </c>
      <c r="CZ84" s="19">
        <f t="shared" si="43"/>
        <v>0</v>
      </c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</row>
    <row r="85" spans="1:122" ht="18" customHeight="1">
      <c r="A85" s="13" t="s">
        <v>62</v>
      </c>
      <c r="B85" s="14">
        <f>IFERROR(VLOOKUP(A85,PRICELIST!$A$3:$D$138,4,0),"-")</f>
        <v>149.79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9">
        <f>C85+E85+G85+I85+K85+M85+O85+Q85+S85+U85+W85+Y85+AA85+AC85+AE85+AG85+AI85+AK85+AM85+AO85+AQ85+AS85+AU85+AW85+AY85+BA85+BC85+BE85+BG85+BI85+BK85+BM85+BO85+BQ85+BS85+BU85+BW85+BY85+CA85+CC85+CE85+CG85+CI85+CK85+CM85+CO85+CQ85+CS85+CU85+CW85</f>
        <v>0</v>
      </c>
      <c r="CZ85" s="19">
        <f>D85+F85+H85+J85+L85+N85+P85+R85+T85+V85+X85+Z85+AB85+AD85+AF85+AH85+AJ85+AL85+AN85+AP85+AR85+AT85+AV85+AX85+AZ85+BB85+BD85+BF85+BH85+BJ85+BL85+BN85+BP85+BR85+BT85+BV85+BX85+BZ85+CB85+CD85+CF85+CH85+CJ85+CL85+CN85+CP85+CR85+CT85+CV85+CX85</f>
        <v>0</v>
      </c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</row>
    <row r="86" spans="1:122" ht="18" customHeight="1">
      <c r="A86" s="13" t="s">
        <v>87</v>
      </c>
      <c r="B86" s="14">
        <f>IFERROR(VLOOKUP(A86,PRICELIST!$A$3:$D$138,4,0),"-")</f>
        <v>192.86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9">
        <f>C86+E86+G86+I86+K86+M86+O86+Q86+S86+U86+W86+Y86+AA86+AC86+AE86+AG86+AI86+AK86+AM86+AO86+AQ86+AS86+AU86+AW86+AY86+BA86+BC86+BE86+BG86+BI86+BK86+BM86+BO86+BQ86+BS86+BU86+BW86+BY86+CA86+CC86+CE86+CG86+CI86+CK86+CM86+CO86+CQ86+CS86+CU86+CW86</f>
        <v>0</v>
      </c>
      <c r="CZ86" s="19">
        <f>D86+F86+H86+J86+L86+N86+P86+R86+T86+V86+X86+Z86+AB86+AD86+AF86+AH86+AJ86+AL86+AN86+AP86+AR86+AT86+AV86+AX86+AZ86+BB86+BD86+BF86+BH86+BJ86+BL86+BN86+BP86+BR86+BT86+BV86+BX86+BZ86+CB86+CD86+CF86+CH86+CJ86+CL86+CN86+CP86+CR86+CT86+CV86+CX86</f>
        <v>0</v>
      </c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</row>
    <row r="87" spans="1:122" ht="18" customHeight="1">
      <c r="A87" s="13" t="s">
        <v>122</v>
      </c>
      <c r="B87" s="14">
        <f>IFERROR(VLOOKUP(A87,PRICELIST!$A$3:$D$138,4,0),"-")</f>
        <v>104.79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9">
        <f t="shared" ref="CY87:CZ87" si="44">C87+E87+G87+I87+K87+M87+O87+Q87+S87+U87+W87+Y87+AA87+AC87+AE87+AG87+AI87+AK87+AM87+AO87+AQ87+AS87+AU87+AW87+AY87+BA87+BC87+BE87+BG87+BI87+BK87+BM87+BO87+BQ87+BS87+BU87+BW87+BY87+CA87+CC87+CE87+CG87+CI87+CK87+CM87+CO87+CQ87+CS87+CU87+CW87</f>
        <v>0</v>
      </c>
      <c r="CZ87" s="19">
        <f t="shared" si="44"/>
        <v>0</v>
      </c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</row>
    <row r="88" spans="1:122" ht="18" customHeight="1">
      <c r="A88" s="9" t="s">
        <v>88</v>
      </c>
      <c r="B88" s="10"/>
      <c r="C88" s="11">
        <f>SUMPRODUCT($B82:$B87,C82:C87)</f>
        <v>0</v>
      </c>
      <c r="D88" s="11">
        <f t="shared" ref="D88:BO88" si="45">SUMPRODUCT($B82:$B87,D82:D87)</f>
        <v>0</v>
      </c>
      <c r="E88" s="11">
        <f t="shared" si="45"/>
        <v>0</v>
      </c>
      <c r="F88" s="11">
        <f t="shared" si="45"/>
        <v>0</v>
      </c>
      <c r="G88" s="11">
        <f t="shared" si="45"/>
        <v>0</v>
      </c>
      <c r="H88" s="11">
        <f t="shared" si="45"/>
        <v>0</v>
      </c>
      <c r="I88" s="11">
        <f t="shared" si="45"/>
        <v>0</v>
      </c>
      <c r="J88" s="11">
        <f t="shared" si="45"/>
        <v>0</v>
      </c>
      <c r="K88" s="11">
        <f t="shared" si="45"/>
        <v>0</v>
      </c>
      <c r="L88" s="11">
        <f t="shared" si="45"/>
        <v>0</v>
      </c>
      <c r="M88" s="11">
        <f t="shared" si="45"/>
        <v>0</v>
      </c>
      <c r="N88" s="11">
        <f t="shared" si="45"/>
        <v>0</v>
      </c>
      <c r="O88" s="11">
        <f t="shared" si="45"/>
        <v>0</v>
      </c>
      <c r="P88" s="11">
        <f t="shared" si="45"/>
        <v>0</v>
      </c>
      <c r="Q88" s="11">
        <f t="shared" si="45"/>
        <v>0</v>
      </c>
      <c r="R88" s="11">
        <f t="shared" si="45"/>
        <v>0</v>
      </c>
      <c r="S88" s="11">
        <f t="shared" si="45"/>
        <v>0</v>
      </c>
      <c r="T88" s="11">
        <f t="shared" si="45"/>
        <v>0</v>
      </c>
      <c r="U88" s="11">
        <f t="shared" si="45"/>
        <v>0</v>
      </c>
      <c r="V88" s="11">
        <f t="shared" si="45"/>
        <v>0</v>
      </c>
      <c r="W88" s="11">
        <f t="shared" si="45"/>
        <v>0</v>
      </c>
      <c r="X88" s="11">
        <f t="shared" si="45"/>
        <v>0</v>
      </c>
      <c r="Y88" s="11">
        <f t="shared" si="45"/>
        <v>0</v>
      </c>
      <c r="Z88" s="11">
        <f t="shared" si="45"/>
        <v>0</v>
      </c>
      <c r="AA88" s="11">
        <f t="shared" si="45"/>
        <v>0</v>
      </c>
      <c r="AB88" s="11">
        <f t="shared" si="45"/>
        <v>0</v>
      </c>
      <c r="AC88" s="11">
        <f t="shared" si="45"/>
        <v>0</v>
      </c>
      <c r="AD88" s="11">
        <f t="shared" si="45"/>
        <v>0</v>
      </c>
      <c r="AE88" s="11">
        <f t="shared" si="45"/>
        <v>0</v>
      </c>
      <c r="AF88" s="11">
        <f t="shared" si="45"/>
        <v>0</v>
      </c>
      <c r="AG88" s="11">
        <f t="shared" si="45"/>
        <v>0</v>
      </c>
      <c r="AH88" s="11">
        <f t="shared" si="45"/>
        <v>0</v>
      </c>
      <c r="AI88" s="11">
        <f t="shared" si="45"/>
        <v>0</v>
      </c>
      <c r="AJ88" s="11">
        <f t="shared" si="45"/>
        <v>0</v>
      </c>
      <c r="AK88" s="11">
        <f t="shared" si="45"/>
        <v>0</v>
      </c>
      <c r="AL88" s="11">
        <f t="shared" si="45"/>
        <v>0</v>
      </c>
      <c r="AM88" s="11">
        <f t="shared" si="45"/>
        <v>0</v>
      </c>
      <c r="AN88" s="11">
        <f t="shared" si="45"/>
        <v>0</v>
      </c>
      <c r="AO88" s="11">
        <f t="shared" si="45"/>
        <v>0</v>
      </c>
      <c r="AP88" s="11">
        <f t="shared" si="45"/>
        <v>0</v>
      </c>
      <c r="AQ88" s="11">
        <f t="shared" si="45"/>
        <v>0</v>
      </c>
      <c r="AR88" s="11">
        <f t="shared" si="45"/>
        <v>0</v>
      </c>
      <c r="AS88" s="11">
        <f t="shared" si="45"/>
        <v>0</v>
      </c>
      <c r="AT88" s="11">
        <f t="shared" si="45"/>
        <v>0</v>
      </c>
      <c r="AU88" s="11">
        <f t="shared" si="45"/>
        <v>0</v>
      </c>
      <c r="AV88" s="11">
        <f t="shared" si="45"/>
        <v>0</v>
      </c>
      <c r="AW88" s="11">
        <f t="shared" si="45"/>
        <v>0</v>
      </c>
      <c r="AX88" s="11">
        <f t="shared" si="45"/>
        <v>0</v>
      </c>
      <c r="AY88" s="11">
        <f t="shared" si="45"/>
        <v>0</v>
      </c>
      <c r="AZ88" s="11">
        <f t="shared" si="45"/>
        <v>0</v>
      </c>
      <c r="BA88" s="11">
        <f t="shared" si="45"/>
        <v>0</v>
      </c>
      <c r="BB88" s="11">
        <f t="shared" si="45"/>
        <v>0</v>
      </c>
      <c r="BC88" s="11">
        <f t="shared" si="45"/>
        <v>0</v>
      </c>
      <c r="BD88" s="11">
        <f t="shared" si="45"/>
        <v>0</v>
      </c>
      <c r="BE88" s="11">
        <f t="shared" si="45"/>
        <v>0</v>
      </c>
      <c r="BF88" s="11">
        <f t="shared" si="45"/>
        <v>0</v>
      </c>
      <c r="BG88" s="11">
        <f t="shared" si="45"/>
        <v>0</v>
      </c>
      <c r="BH88" s="11">
        <f t="shared" si="45"/>
        <v>0</v>
      </c>
      <c r="BI88" s="11">
        <f t="shared" si="45"/>
        <v>0</v>
      </c>
      <c r="BJ88" s="11">
        <f t="shared" si="45"/>
        <v>0</v>
      </c>
      <c r="BK88" s="11">
        <f t="shared" si="45"/>
        <v>0</v>
      </c>
      <c r="BL88" s="11">
        <f t="shared" si="45"/>
        <v>0</v>
      </c>
      <c r="BM88" s="11">
        <f t="shared" si="45"/>
        <v>0</v>
      </c>
      <c r="BN88" s="11">
        <f t="shared" si="45"/>
        <v>0</v>
      </c>
      <c r="BO88" s="11">
        <f t="shared" si="45"/>
        <v>0</v>
      </c>
      <c r="BP88" s="11">
        <f t="shared" ref="BP88:CZ88" si="46">SUMPRODUCT($B82:$B87,BP82:BP87)</f>
        <v>0</v>
      </c>
      <c r="BQ88" s="11">
        <f t="shared" si="46"/>
        <v>0</v>
      </c>
      <c r="BR88" s="11">
        <f t="shared" si="46"/>
        <v>0</v>
      </c>
      <c r="BS88" s="11">
        <f t="shared" si="46"/>
        <v>0</v>
      </c>
      <c r="BT88" s="11">
        <f t="shared" si="46"/>
        <v>0</v>
      </c>
      <c r="BU88" s="11">
        <f t="shared" si="46"/>
        <v>0</v>
      </c>
      <c r="BV88" s="11">
        <f t="shared" si="46"/>
        <v>0</v>
      </c>
      <c r="BW88" s="11">
        <f t="shared" si="46"/>
        <v>0</v>
      </c>
      <c r="BX88" s="11">
        <f t="shared" si="46"/>
        <v>0</v>
      </c>
      <c r="BY88" s="11">
        <f t="shared" si="46"/>
        <v>0</v>
      </c>
      <c r="BZ88" s="11">
        <f t="shared" si="46"/>
        <v>0</v>
      </c>
      <c r="CA88" s="11">
        <f t="shared" si="46"/>
        <v>0</v>
      </c>
      <c r="CB88" s="11">
        <f t="shared" si="46"/>
        <v>0</v>
      </c>
      <c r="CC88" s="11">
        <f t="shared" si="46"/>
        <v>0</v>
      </c>
      <c r="CD88" s="11">
        <f t="shared" si="46"/>
        <v>0</v>
      </c>
      <c r="CE88" s="11">
        <f t="shared" si="46"/>
        <v>0</v>
      </c>
      <c r="CF88" s="11">
        <f t="shared" si="46"/>
        <v>0</v>
      </c>
      <c r="CG88" s="11">
        <f t="shared" si="46"/>
        <v>0</v>
      </c>
      <c r="CH88" s="11">
        <f t="shared" si="46"/>
        <v>0</v>
      </c>
      <c r="CI88" s="11">
        <f t="shared" si="46"/>
        <v>0</v>
      </c>
      <c r="CJ88" s="11">
        <f t="shared" si="46"/>
        <v>0</v>
      </c>
      <c r="CK88" s="11">
        <f t="shared" si="46"/>
        <v>0</v>
      </c>
      <c r="CL88" s="11">
        <f t="shared" si="46"/>
        <v>0</v>
      </c>
      <c r="CM88" s="11">
        <f t="shared" si="46"/>
        <v>0</v>
      </c>
      <c r="CN88" s="11">
        <f t="shared" si="46"/>
        <v>0</v>
      </c>
      <c r="CO88" s="11">
        <f t="shared" si="46"/>
        <v>0</v>
      </c>
      <c r="CP88" s="11">
        <f t="shared" si="46"/>
        <v>0</v>
      </c>
      <c r="CQ88" s="11">
        <f t="shared" si="46"/>
        <v>0</v>
      </c>
      <c r="CR88" s="11">
        <f t="shared" si="46"/>
        <v>0</v>
      </c>
      <c r="CS88" s="11">
        <f t="shared" si="46"/>
        <v>0</v>
      </c>
      <c r="CT88" s="11">
        <f t="shared" si="46"/>
        <v>0</v>
      </c>
      <c r="CU88" s="11">
        <f t="shared" si="46"/>
        <v>0</v>
      </c>
      <c r="CV88" s="11">
        <f t="shared" si="46"/>
        <v>0</v>
      </c>
      <c r="CW88" s="11">
        <f t="shared" si="46"/>
        <v>0</v>
      </c>
      <c r="CX88" s="11">
        <f t="shared" si="46"/>
        <v>0</v>
      </c>
      <c r="CY88" s="11">
        <f t="shared" si="46"/>
        <v>0</v>
      </c>
      <c r="CZ88" s="11">
        <f t="shared" si="46"/>
        <v>0</v>
      </c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</row>
    <row r="89" spans="1:122" ht="18" customHeight="1">
      <c r="A89" s="13" t="s">
        <v>63</v>
      </c>
      <c r="B89" s="14">
        <f>IFERROR(VLOOKUP(A89,PRICELIST!$A$3:$D$138,4,0),"-")</f>
        <v>172.53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9">
        <f t="shared" ref="CY89:CZ91" si="47">C89+E89+G89+I89+K89+M89+O89+Q89+S89+U89+W89+Y89+AA89+AC89+AE89+AG89+AI89+AK89+AM89+AO89+AQ89+AS89+AU89+AW89+AY89+BA89+BC89+BE89+BG89+BI89+BK89+BM89+BO89+BQ89+BS89+BU89+BW89+BY89+CA89+CC89+CE89+CG89+CI89+CK89+CM89+CO89+CQ89+CS89+CU89+CW89</f>
        <v>0</v>
      </c>
      <c r="CZ89" s="19">
        <f t="shared" si="47"/>
        <v>0</v>
      </c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</row>
    <row r="90" spans="1:122" ht="18" customHeight="1">
      <c r="A90" s="13" t="s">
        <v>64</v>
      </c>
      <c r="B90" s="14">
        <f>IFERROR(VLOOKUP(A90,PRICELIST!$A$3:$D$138,4,0),"-")</f>
        <v>50.46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9">
        <f t="shared" si="47"/>
        <v>0</v>
      </c>
      <c r="CZ90" s="19">
        <f t="shared" si="47"/>
        <v>0</v>
      </c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</row>
    <row r="91" spans="1:122" ht="18" customHeight="1">
      <c r="A91" s="13" t="s">
        <v>65</v>
      </c>
      <c r="B91" s="14">
        <f>IFERROR(VLOOKUP(A91,PRICELIST!$A$3:$D$138,4,0),"-")</f>
        <v>99.64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9">
        <f t="shared" si="47"/>
        <v>0</v>
      </c>
      <c r="CZ91" s="19">
        <f t="shared" si="47"/>
        <v>0</v>
      </c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</row>
    <row r="92" spans="1:122" ht="18" customHeight="1">
      <c r="A92" s="9" t="s">
        <v>66</v>
      </c>
      <c r="B92" s="10"/>
      <c r="C92" s="11">
        <f>SUMPRODUCT($B89:$B91,C89:C91)</f>
        <v>0</v>
      </c>
      <c r="D92" s="11">
        <f t="shared" ref="D92:BO92" si="48">SUMPRODUCT($B89:$B91,D89:D91)</f>
        <v>0</v>
      </c>
      <c r="E92" s="11">
        <f t="shared" si="48"/>
        <v>0</v>
      </c>
      <c r="F92" s="11">
        <f t="shared" si="48"/>
        <v>0</v>
      </c>
      <c r="G92" s="11">
        <f t="shared" si="48"/>
        <v>0</v>
      </c>
      <c r="H92" s="11">
        <f t="shared" si="48"/>
        <v>0</v>
      </c>
      <c r="I92" s="11">
        <f t="shared" si="48"/>
        <v>0</v>
      </c>
      <c r="J92" s="11">
        <f t="shared" si="48"/>
        <v>0</v>
      </c>
      <c r="K92" s="11">
        <f t="shared" si="48"/>
        <v>0</v>
      </c>
      <c r="L92" s="11">
        <f t="shared" si="48"/>
        <v>0</v>
      </c>
      <c r="M92" s="11">
        <f t="shared" si="48"/>
        <v>0</v>
      </c>
      <c r="N92" s="11">
        <f t="shared" si="48"/>
        <v>0</v>
      </c>
      <c r="O92" s="11">
        <f t="shared" si="48"/>
        <v>0</v>
      </c>
      <c r="P92" s="11">
        <f t="shared" si="48"/>
        <v>0</v>
      </c>
      <c r="Q92" s="11">
        <f t="shared" si="48"/>
        <v>0</v>
      </c>
      <c r="R92" s="11">
        <f t="shared" si="48"/>
        <v>0</v>
      </c>
      <c r="S92" s="11">
        <f t="shared" si="48"/>
        <v>0</v>
      </c>
      <c r="T92" s="11">
        <f t="shared" si="48"/>
        <v>0</v>
      </c>
      <c r="U92" s="11">
        <f t="shared" si="48"/>
        <v>0</v>
      </c>
      <c r="V92" s="11">
        <f t="shared" si="48"/>
        <v>0</v>
      </c>
      <c r="W92" s="11">
        <f t="shared" si="48"/>
        <v>0</v>
      </c>
      <c r="X92" s="11">
        <f t="shared" si="48"/>
        <v>0</v>
      </c>
      <c r="Y92" s="11">
        <f t="shared" si="48"/>
        <v>0</v>
      </c>
      <c r="Z92" s="11">
        <f t="shared" si="48"/>
        <v>0</v>
      </c>
      <c r="AA92" s="11">
        <f t="shared" si="48"/>
        <v>0</v>
      </c>
      <c r="AB92" s="11">
        <f t="shared" si="48"/>
        <v>0</v>
      </c>
      <c r="AC92" s="11">
        <f t="shared" si="48"/>
        <v>0</v>
      </c>
      <c r="AD92" s="11">
        <f t="shared" si="48"/>
        <v>0</v>
      </c>
      <c r="AE92" s="11">
        <f t="shared" si="48"/>
        <v>0</v>
      </c>
      <c r="AF92" s="11">
        <f t="shared" si="48"/>
        <v>0</v>
      </c>
      <c r="AG92" s="11">
        <f t="shared" si="48"/>
        <v>0</v>
      </c>
      <c r="AH92" s="11">
        <f t="shared" si="48"/>
        <v>0</v>
      </c>
      <c r="AI92" s="11">
        <f t="shared" si="48"/>
        <v>0</v>
      </c>
      <c r="AJ92" s="11">
        <f t="shared" si="48"/>
        <v>0</v>
      </c>
      <c r="AK92" s="11">
        <f t="shared" si="48"/>
        <v>0</v>
      </c>
      <c r="AL92" s="11">
        <f t="shared" si="48"/>
        <v>0</v>
      </c>
      <c r="AM92" s="11">
        <f t="shared" si="48"/>
        <v>0</v>
      </c>
      <c r="AN92" s="11">
        <f t="shared" si="48"/>
        <v>0</v>
      </c>
      <c r="AO92" s="11">
        <f t="shared" si="48"/>
        <v>0</v>
      </c>
      <c r="AP92" s="11">
        <f t="shared" si="48"/>
        <v>0</v>
      </c>
      <c r="AQ92" s="11">
        <f t="shared" si="48"/>
        <v>0</v>
      </c>
      <c r="AR92" s="11">
        <f t="shared" si="48"/>
        <v>0</v>
      </c>
      <c r="AS92" s="11">
        <f t="shared" si="48"/>
        <v>0</v>
      </c>
      <c r="AT92" s="11">
        <f t="shared" si="48"/>
        <v>0</v>
      </c>
      <c r="AU92" s="11">
        <f t="shared" si="48"/>
        <v>0</v>
      </c>
      <c r="AV92" s="11">
        <f t="shared" si="48"/>
        <v>0</v>
      </c>
      <c r="AW92" s="11">
        <f t="shared" si="48"/>
        <v>0</v>
      </c>
      <c r="AX92" s="11">
        <f t="shared" si="48"/>
        <v>0</v>
      </c>
      <c r="AY92" s="11">
        <f t="shared" si="48"/>
        <v>0</v>
      </c>
      <c r="AZ92" s="11">
        <f t="shared" si="48"/>
        <v>0</v>
      </c>
      <c r="BA92" s="11">
        <f t="shared" si="48"/>
        <v>0</v>
      </c>
      <c r="BB92" s="11">
        <f t="shared" si="48"/>
        <v>0</v>
      </c>
      <c r="BC92" s="11">
        <f t="shared" si="48"/>
        <v>0</v>
      </c>
      <c r="BD92" s="11">
        <f t="shared" si="48"/>
        <v>0</v>
      </c>
      <c r="BE92" s="11">
        <f t="shared" si="48"/>
        <v>0</v>
      </c>
      <c r="BF92" s="11">
        <f t="shared" si="48"/>
        <v>0</v>
      </c>
      <c r="BG92" s="11">
        <f t="shared" si="48"/>
        <v>0</v>
      </c>
      <c r="BH92" s="11">
        <f t="shared" si="48"/>
        <v>0</v>
      </c>
      <c r="BI92" s="11">
        <f t="shared" si="48"/>
        <v>0</v>
      </c>
      <c r="BJ92" s="11">
        <f t="shared" si="48"/>
        <v>0</v>
      </c>
      <c r="BK92" s="11">
        <f t="shared" si="48"/>
        <v>0</v>
      </c>
      <c r="BL92" s="11">
        <f t="shared" si="48"/>
        <v>0</v>
      </c>
      <c r="BM92" s="11">
        <f t="shared" si="48"/>
        <v>0</v>
      </c>
      <c r="BN92" s="11">
        <f t="shared" si="48"/>
        <v>0</v>
      </c>
      <c r="BO92" s="11">
        <f t="shared" si="48"/>
        <v>0</v>
      </c>
      <c r="BP92" s="11">
        <f t="shared" ref="BP92:CZ92" si="49">SUMPRODUCT($B89:$B91,BP89:BP91)</f>
        <v>0</v>
      </c>
      <c r="BQ92" s="11">
        <f t="shared" si="49"/>
        <v>0</v>
      </c>
      <c r="BR92" s="11">
        <f t="shared" si="49"/>
        <v>0</v>
      </c>
      <c r="BS92" s="11">
        <f t="shared" si="49"/>
        <v>0</v>
      </c>
      <c r="BT92" s="11">
        <f t="shared" si="49"/>
        <v>0</v>
      </c>
      <c r="BU92" s="11">
        <f t="shared" si="49"/>
        <v>0</v>
      </c>
      <c r="BV92" s="11">
        <f t="shared" si="49"/>
        <v>0</v>
      </c>
      <c r="BW92" s="11">
        <f t="shared" si="49"/>
        <v>0</v>
      </c>
      <c r="BX92" s="11">
        <f t="shared" si="49"/>
        <v>0</v>
      </c>
      <c r="BY92" s="11">
        <f t="shared" si="49"/>
        <v>0</v>
      </c>
      <c r="BZ92" s="11">
        <f t="shared" si="49"/>
        <v>0</v>
      </c>
      <c r="CA92" s="11">
        <f t="shared" si="49"/>
        <v>0</v>
      </c>
      <c r="CB92" s="11">
        <f t="shared" si="49"/>
        <v>0</v>
      </c>
      <c r="CC92" s="11">
        <f t="shared" si="49"/>
        <v>0</v>
      </c>
      <c r="CD92" s="11">
        <f t="shared" si="49"/>
        <v>0</v>
      </c>
      <c r="CE92" s="11">
        <f t="shared" si="49"/>
        <v>0</v>
      </c>
      <c r="CF92" s="11">
        <f t="shared" si="49"/>
        <v>0</v>
      </c>
      <c r="CG92" s="11">
        <f t="shared" si="49"/>
        <v>0</v>
      </c>
      <c r="CH92" s="11">
        <f t="shared" si="49"/>
        <v>0</v>
      </c>
      <c r="CI92" s="11">
        <f t="shared" si="49"/>
        <v>0</v>
      </c>
      <c r="CJ92" s="11">
        <f t="shared" si="49"/>
        <v>0</v>
      </c>
      <c r="CK92" s="11">
        <f t="shared" si="49"/>
        <v>0</v>
      </c>
      <c r="CL92" s="11">
        <f t="shared" si="49"/>
        <v>0</v>
      </c>
      <c r="CM92" s="11">
        <f t="shared" si="49"/>
        <v>0</v>
      </c>
      <c r="CN92" s="11">
        <f t="shared" si="49"/>
        <v>0</v>
      </c>
      <c r="CO92" s="11">
        <f t="shared" si="49"/>
        <v>0</v>
      </c>
      <c r="CP92" s="11">
        <f t="shared" si="49"/>
        <v>0</v>
      </c>
      <c r="CQ92" s="11">
        <f t="shared" si="49"/>
        <v>0</v>
      </c>
      <c r="CR92" s="11">
        <f t="shared" si="49"/>
        <v>0</v>
      </c>
      <c r="CS92" s="11">
        <f t="shared" si="49"/>
        <v>0</v>
      </c>
      <c r="CT92" s="11">
        <f t="shared" si="49"/>
        <v>0</v>
      </c>
      <c r="CU92" s="11">
        <f t="shared" si="49"/>
        <v>0</v>
      </c>
      <c r="CV92" s="11">
        <f t="shared" si="49"/>
        <v>0</v>
      </c>
      <c r="CW92" s="11">
        <f t="shared" si="49"/>
        <v>0</v>
      </c>
      <c r="CX92" s="11">
        <f t="shared" si="49"/>
        <v>0</v>
      </c>
      <c r="CY92" s="11">
        <f t="shared" si="49"/>
        <v>0</v>
      </c>
      <c r="CZ92" s="11">
        <f t="shared" si="49"/>
        <v>0</v>
      </c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</row>
    <row r="93" spans="1:122" ht="18" customHeight="1">
      <c r="A93" s="13" t="s">
        <v>67</v>
      </c>
      <c r="B93" s="14">
        <f>IFERROR(VLOOKUP(A93,PRICELIST!$A$3:$D$138,4,0),"-")</f>
        <v>140.13999999999999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9">
        <f t="shared" ref="CY93:CZ94" si="50">C93+E93+G93+I93+K93+M93+O93+Q93+S93+U93+W93+Y93+AA93+AC93+AE93+AG93+AI93+AK93+AM93+AO93+AQ93+AS93+AU93+AW93+AY93+BA93+BC93+BE93+BG93+BI93+BK93+BM93+BO93+BQ93+BS93+BU93+BW93+BY93+CA93+CC93+CE93+CG93+CI93+CK93+CM93+CO93+CQ93+CS93+CU93+CW93</f>
        <v>0</v>
      </c>
      <c r="CZ93" s="19">
        <f t="shared" si="50"/>
        <v>0</v>
      </c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</row>
    <row r="94" spans="1:122" ht="18" customHeight="1">
      <c r="A94" s="13" t="s">
        <v>68</v>
      </c>
      <c r="B94" s="14">
        <f>IFERROR(VLOOKUP(A94,PRICELIST!$A$3:$D$138,4,0),"-")</f>
        <v>203.14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9">
        <f t="shared" si="50"/>
        <v>0</v>
      </c>
      <c r="CZ94" s="19">
        <f t="shared" si="50"/>
        <v>0</v>
      </c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</row>
    <row r="95" spans="1:122" ht="18" customHeight="1">
      <c r="A95" s="9" t="s">
        <v>69</v>
      </c>
      <c r="B95" s="10"/>
      <c r="C95" s="11">
        <f>SUMPRODUCT($B93:$B94,C93:C94)</f>
        <v>0</v>
      </c>
      <c r="D95" s="11">
        <f t="shared" ref="D95:BO95" si="51">SUMPRODUCT($B93:$B94,D93:D94)</f>
        <v>0</v>
      </c>
      <c r="E95" s="11">
        <f t="shared" si="51"/>
        <v>0</v>
      </c>
      <c r="F95" s="11">
        <f t="shared" si="51"/>
        <v>0</v>
      </c>
      <c r="G95" s="11">
        <f t="shared" si="51"/>
        <v>0</v>
      </c>
      <c r="H95" s="11">
        <f t="shared" si="51"/>
        <v>0</v>
      </c>
      <c r="I95" s="11">
        <f t="shared" si="51"/>
        <v>0</v>
      </c>
      <c r="J95" s="11">
        <f t="shared" si="51"/>
        <v>0</v>
      </c>
      <c r="K95" s="11">
        <f t="shared" si="51"/>
        <v>0</v>
      </c>
      <c r="L95" s="11">
        <f t="shared" si="51"/>
        <v>0</v>
      </c>
      <c r="M95" s="11">
        <f t="shared" si="51"/>
        <v>0</v>
      </c>
      <c r="N95" s="11">
        <f t="shared" si="51"/>
        <v>0</v>
      </c>
      <c r="O95" s="11">
        <f t="shared" si="51"/>
        <v>0</v>
      </c>
      <c r="P95" s="11">
        <f t="shared" si="51"/>
        <v>0</v>
      </c>
      <c r="Q95" s="11">
        <f t="shared" si="51"/>
        <v>0</v>
      </c>
      <c r="R95" s="11">
        <f t="shared" si="51"/>
        <v>0</v>
      </c>
      <c r="S95" s="11">
        <f t="shared" si="51"/>
        <v>0</v>
      </c>
      <c r="T95" s="11">
        <f t="shared" si="51"/>
        <v>0</v>
      </c>
      <c r="U95" s="11">
        <f t="shared" si="51"/>
        <v>0</v>
      </c>
      <c r="V95" s="11">
        <f t="shared" si="51"/>
        <v>0</v>
      </c>
      <c r="W95" s="11">
        <f t="shared" si="51"/>
        <v>0</v>
      </c>
      <c r="X95" s="11">
        <f t="shared" si="51"/>
        <v>0</v>
      </c>
      <c r="Y95" s="11">
        <f t="shared" si="51"/>
        <v>0</v>
      </c>
      <c r="Z95" s="11">
        <f t="shared" si="51"/>
        <v>0</v>
      </c>
      <c r="AA95" s="11">
        <f t="shared" si="51"/>
        <v>0</v>
      </c>
      <c r="AB95" s="11">
        <f t="shared" si="51"/>
        <v>0</v>
      </c>
      <c r="AC95" s="11">
        <f t="shared" si="51"/>
        <v>0</v>
      </c>
      <c r="AD95" s="11">
        <f t="shared" si="51"/>
        <v>0</v>
      </c>
      <c r="AE95" s="11">
        <f t="shared" si="51"/>
        <v>0</v>
      </c>
      <c r="AF95" s="11">
        <f t="shared" si="51"/>
        <v>0</v>
      </c>
      <c r="AG95" s="11">
        <f t="shared" si="51"/>
        <v>0</v>
      </c>
      <c r="AH95" s="11">
        <f t="shared" si="51"/>
        <v>0</v>
      </c>
      <c r="AI95" s="11">
        <f t="shared" si="51"/>
        <v>0</v>
      </c>
      <c r="AJ95" s="11">
        <f t="shared" si="51"/>
        <v>0</v>
      </c>
      <c r="AK95" s="11">
        <f t="shared" si="51"/>
        <v>0</v>
      </c>
      <c r="AL95" s="11">
        <f t="shared" si="51"/>
        <v>0</v>
      </c>
      <c r="AM95" s="11">
        <f t="shared" si="51"/>
        <v>0</v>
      </c>
      <c r="AN95" s="11">
        <f t="shared" si="51"/>
        <v>0</v>
      </c>
      <c r="AO95" s="11">
        <f t="shared" si="51"/>
        <v>0</v>
      </c>
      <c r="AP95" s="11">
        <f t="shared" si="51"/>
        <v>0</v>
      </c>
      <c r="AQ95" s="11">
        <f t="shared" si="51"/>
        <v>0</v>
      </c>
      <c r="AR95" s="11">
        <f t="shared" si="51"/>
        <v>0</v>
      </c>
      <c r="AS95" s="11">
        <f t="shared" si="51"/>
        <v>0</v>
      </c>
      <c r="AT95" s="11">
        <f t="shared" si="51"/>
        <v>0</v>
      </c>
      <c r="AU95" s="11">
        <f t="shared" si="51"/>
        <v>0</v>
      </c>
      <c r="AV95" s="11">
        <f t="shared" si="51"/>
        <v>0</v>
      </c>
      <c r="AW95" s="11">
        <f t="shared" si="51"/>
        <v>0</v>
      </c>
      <c r="AX95" s="11">
        <f t="shared" si="51"/>
        <v>0</v>
      </c>
      <c r="AY95" s="11">
        <f t="shared" si="51"/>
        <v>0</v>
      </c>
      <c r="AZ95" s="11">
        <f t="shared" si="51"/>
        <v>0</v>
      </c>
      <c r="BA95" s="11">
        <f t="shared" si="51"/>
        <v>0</v>
      </c>
      <c r="BB95" s="11">
        <f t="shared" si="51"/>
        <v>0</v>
      </c>
      <c r="BC95" s="11">
        <f t="shared" si="51"/>
        <v>0</v>
      </c>
      <c r="BD95" s="11">
        <f t="shared" si="51"/>
        <v>0</v>
      </c>
      <c r="BE95" s="11">
        <f t="shared" si="51"/>
        <v>0</v>
      </c>
      <c r="BF95" s="11">
        <f t="shared" si="51"/>
        <v>0</v>
      </c>
      <c r="BG95" s="11">
        <f t="shared" si="51"/>
        <v>0</v>
      </c>
      <c r="BH95" s="11">
        <f t="shared" si="51"/>
        <v>0</v>
      </c>
      <c r="BI95" s="11">
        <f t="shared" si="51"/>
        <v>0</v>
      </c>
      <c r="BJ95" s="11">
        <f t="shared" si="51"/>
        <v>0</v>
      </c>
      <c r="BK95" s="11">
        <f t="shared" si="51"/>
        <v>0</v>
      </c>
      <c r="BL95" s="11">
        <f t="shared" si="51"/>
        <v>0</v>
      </c>
      <c r="BM95" s="11">
        <f t="shared" si="51"/>
        <v>0</v>
      </c>
      <c r="BN95" s="11">
        <f t="shared" si="51"/>
        <v>0</v>
      </c>
      <c r="BO95" s="11">
        <f t="shared" si="51"/>
        <v>0</v>
      </c>
      <c r="BP95" s="11">
        <f t="shared" ref="BP95:CZ95" si="52">SUMPRODUCT($B93:$B94,BP93:BP94)</f>
        <v>0</v>
      </c>
      <c r="BQ95" s="11">
        <f t="shared" si="52"/>
        <v>0</v>
      </c>
      <c r="BR95" s="11">
        <f t="shared" si="52"/>
        <v>0</v>
      </c>
      <c r="BS95" s="11">
        <f t="shared" si="52"/>
        <v>0</v>
      </c>
      <c r="BT95" s="11">
        <f t="shared" si="52"/>
        <v>0</v>
      </c>
      <c r="BU95" s="11">
        <f t="shared" si="52"/>
        <v>0</v>
      </c>
      <c r="BV95" s="11">
        <f t="shared" si="52"/>
        <v>0</v>
      </c>
      <c r="BW95" s="11">
        <f t="shared" si="52"/>
        <v>0</v>
      </c>
      <c r="BX95" s="11">
        <f t="shared" si="52"/>
        <v>0</v>
      </c>
      <c r="BY95" s="11">
        <f t="shared" si="52"/>
        <v>0</v>
      </c>
      <c r="BZ95" s="11">
        <f t="shared" si="52"/>
        <v>0</v>
      </c>
      <c r="CA95" s="11">
        <f t="shared" si="52"/>
        <v>0</v>
      </c>
      <c r="CB95" s="11">
        <f t="shared" si="52"/>
        <v>0</v>
      </c>
      <c r="CC95" s="11">
        <f t="shared" si="52"/>
        <v>0</v>
      </c>
      <c r="CD95" s="11">
        <f t="shared" si="52"/>
        <v>0</v>
      </c>
      <c r="CE95" s="11">
        <f t="shared" si="52"/>
        <v>0</v>
      </c>
      <c r="CF95" s="11">
        <f t="shared" si="52"/>
        <v>0</v>
      </c>
      <c r="CG95" s="11">
        <f t="shared" si="52"/>
        <v>0</v>
      </c>
      <c r="CH95" s="11">
        <f t="shared" si="52"/>
        <v>0</v>
      </c>
      <c r="CI95" s="11">
        <f t="shared" si="52"/>
        <v>0</v>
      </c>
      <c r="CJ95" s="11">
        <f t="shared" si="52"/>
        <v>0</v>
      </c>
      <c r="CK95" s="11">
        <f t="shared" si="52"/>
        <v>0</v>
      </c>
      <c r="CL95" s="11">
        <f t="shared" si="52"/>
        <v>0</v>
      </c>
      <c r="CM95" s="11">
        <f t="shared" si="52"/>
        <v>0</v>
      </c>
      <c r="CN95" s="11">
        <f t="shared" si="52"/>
        <v>0</v>
      </c>
      <c r="CO95" s="11">
        <f t="shared" si="52"/>
        <v>0</v>
      </c>
      <c r="CP95" s="11">
        <f t="shared" si="52"/>
        <v>0</v>
      </c>
      <c r="CQ95" s="11">
        <f t="shared" si="52"/>
        <v>0</v>
      </c>
      <c r="CR95" s="11">
        <f t="shared" si="52"/>
        <v>0</v>
      </c>
      <c r="CS95" s="11">
        <f t="shared" si="52"/>
        <v>0</v>
      </c>
      <c r="CT95" s="11">
        <f t="shared" si="52"/>
        <v>0</v>
      </c>
      <c r="CU95" s="11">
        <f t="shared" si="52"/>
        <v>0</v>
      </c>
      <c r="CV95" s="11">
        <f t="shared" si="52"/>
        <v>0</v>
      </c>
      <c r="CW95" s="11">
        <f t="shared" si="52"/>
        <v>0</v>
      </c>
      <c r="CX95" s="11">
        <f t="shared" si="52"/>
        <v>0</v>
      </c>
      <c r="CY95" s="11">
        <f t="shared" si="52"/>
        <v>0</v>
      </c>
      <c r="CZ95" s="11">
        <f t="shared" si="52"/>
        <v>0</v>
      </c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</row>
    <row r="96" spans="1:122" ht="18" customHeight="1">
      <c r="A96" s="34" t="s">
        <v>126</v>
      </c>
      <c r="B96" s="14">
        <f>IFERROR(VLOOKUP(A96,PRICELIST!$A$3:$D$138,4,0),"-")</f>
        <v>201.54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9">
        <f t="shared" ref="CY96:CZ98" si="53">C96+E96+G96+I96+K96+M96+O96+Q96+S96+U96+W96+Y96+AA96+AC96+AE96+AG96+AI96+AK96+AM96+AO96+AQ96+AS96+AU96+AW96+AY96+BA96+BC96+BE96+BG96+BI96+BK96+BM96+BO96+BQ96+BS96+BU96+BW96+BY96+CA96+CC96+CE96+CG96+CI96+CK96+CM96+CO96+CQ96+CS96+CU96+CW96</f>
        <v>0</v>
      </c>
      <c r="CZ96" s="19">
        <f t="shared" si="53"/>
        <v>0</v>
      </c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</row>
    <row r="97" spans="1:122" ht="18" customHeight="1">
      <c r="A97" s="13" t="s">
        <v>123</v>
      </c>
      <c r="B97" s="14">
        <f>IFERROR(VLOOKUP(A97,PRICELIST!$A$3:$D$138,4,0),"-")</f>
        <v>225.64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9">
        <f t="shared" si="53"/>
        <v>0</v>
      </c>
      <c r="CZ97" s="19">
        <f t="shared" si="53"/>
        <v>0</v>
      </c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</row>
    <row r="98" spans="1:122" ht="18" customHeight="1">
      <c r="A98" s="13" t="s">
        <v>131</v>
      </c>
      <c r="B98" s="14">
        <f>IFERROR(VLOOKUP(A98,PRICELIST!$A$3:$D$138,4,0),"-")</f>
        <v>198.64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9">
        <f t="shared" si="53"/>
        <v>0</v>
      </c>
      <c r="CZ98" s="19">
        <f t="shared" si="53"/>
        <v>0</v>
      </c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</row>
    <row r="99" spans="1:122" ht="18" customHeight="1">
      <c r="A99" s="9" t="s">
        <v>70</v>
      </c>
      <c r="B99" s="10"/>
      <c r="C99" s="11">
        <f t="shared" ref="C99:BN99" si="54">SUMPRODUCT($B96:$B98,C96:C98)</f>
        <v>0</v>
      </c>
      <c r="D99" s="11">
        <f t="shared" si="54"/>
        <v>0</v>
      </c>
      <c r="E99" s="11">
        <f t="shared" si="54"/>
        <v>0</v>
      </c>
      <c r="F99" s="11">
        <f t="shared" si="54"/>
        <v>0</v>
      </c>
      <c r="G99" s="11">
        <f t="shared" si="54"/>
        <v>0</v>
      </c>
      <c r="H99" s="11">
        <f t="shared" si="54"/>
        <v>0</v>
      </c>
      <c r="I99" s="11">
        <f t="shared" si="54"/>
        <v>0</v>
      </c>
      <c r="J99" s="11">
        <f t="shared" si="54"/>
        <v>0</v>
      </c>
      <c r="K99" s="11">
        <f t="shared" si="54"/>
        <v>0</v>
      </c>
      <c r="L99" s="11">
        <f t="shared" si="54"/>
        <v>0</v>
      </c>
      <c r="M99" s="11">
        <f t="shared" si="54"/>
        <v>0</v>
      </c>
      <c r="N99" s="11">
        <f t="shared" si="54"/>
        <v>0</v>
      </c>
      <c r="O99" s="11">
        <f t="shared" si="54"/>
        <v>0</v>
      </c>
      <c r="P99" s="11">
        <f t="shared" si="54"/>
        <v>0</v>
      </c>
      <c r="Q99" s="11">
        <f t="shared" si="54"/>
        <v>0</v>
      </c>
      <c r="R99" s="11">
        <f t="shared" si="54"/>
        <v>0</v>
      </c>
      <c r="S99" s="11">
        <f t="shared" si="54"/>
        <v>0</v>
      </c>
      <c r="T99" s="11">
        <f t="shared" si="54"/>
        <v>0</v>
      </c>
      <c r="U99" s="11">
        <f t="shared" si="54"/>
        <v>0</v>
      </c>
      <c r="V99" s="11">
        <f t="shared" si="54"/>
        <v>0</v>
      </c>
      <c r="W99" s="11">
        <f t="shared" si="54"/>
        <v>0</v>
      </c>
      <c r="X99" s="11">
        <f t="shared" si="54"/>
        <v>0</v>
      </c>
      <c r="Y99" s="11">
        <f t="shared" si="54"/>
        <v>0</v>
      </c>
      <c r="Z99" s="11">
        <f t="shared" si="54"/>
        <v>0</v>
      </c>
      <c r="AA99" s="11">
        <f t="shared" si="54"/>
        <v>0</v>
      </c>
      <c r="AB99" s="11">
        <f t="shared" si="54"/>
        <v>0</v>
      </c>
      <c r="AC99" s="11">
        <f t="shared" si="54"/>
        <v>0</v>
      </c>
      <c r="AD99" s="11">
        <f t="shared" si="54"/>
        <v>0</v>
      </c>
      <c r="AE99" s="11">
        <f t="shared" si="54"/>
        <v>0</v>
      </c>
      <c r="AF99" s="11">
        <f t="shared" si="54"/>
        <v>0</v>
      </c>
      <c r="AG99" s="11">
        <f t="shared" si="54"/>
        <v>0</v>
      </c>
      <c r="AH99" s="11">
        <f t="shared" si="54"/>
        <v>0</v>
      </c>
      <c r="AI99" s="11">
        <f t="shared" si="54"/>
        <v>0</v>
      </c>
      <c r="AJ99" s="11">
        <f t="shared" si="54"/>
        <v>0</v>
      </c>
      <c r="AK99" s="11">
        <f t="shared" si="54"/>
        <v>0</v>
      </c>
      <c r="AL99" s="11">
        <f t="shared" si="54"/>
        <v>0</v>
      </c>
      <c r="AM99" s="11">
        <f t="shared" si="54"/>
        <v>0</v>
      </c>
      <c r="AN99" s="11">
        <f t="shared" si="54"/>
        <v>0</v>
      </c>
      <c r="AO99" s="11">
        <f t="shared" si="54"/>
        <v>0</v>
      </c>
      <c r="AP99" s="11">
        <f t="shared" si="54"/>
        <v>0</v>
      </c>
      <c r="AQ99" s="11">
        <f t="shared" si="54"/>
        <v>0</v>
      </c>
      <c r="AR99" s="11">
        <f t="shared" si="54"/>
        <v>0</v>
      </c>
      <c r="AS99" s="11">
        <f t="shared" si="54"/>
        <v>0</v>
      </c>
      <c r="AT99" s="11">
        <f t="shared" si="54"/>
        <v>0</v>
      </c>
      <c r="AU99" s="11">
        <f t="shared" si="54"/>
        <v>0</v>
      </c>
      <c r="AV99" s="11">
        <f t="shared" si="54"/>
        <v>0</v>
      </c>
      <c r="AW99" s="11">
        <f t="shared" si="54"/>
        <v>0</v>
      </c>
      <c r="AX99" s="11">
        <f t="shared" si="54"/>
        <v>0</v>
      </c>
      <c r="AY99" s="11">
        <f t="shared" si="54"/>
        <v>0</v>
      </c>
      <c r="AZ99" s="11">
        <f t="shared" si="54"/>
        <v>0</v>
      </c>
      <c r="BA99" s="11">
        <f t="shared" si="54"/>
        <v>0</v>
      </c>
      <c r="BB99" s="11">
        <f t="shared" si="54"/>
        <v>0</v>
      </c>
      <c r="BC99" s="11">
        <f t="shared" si="54"/>
        <v>0</v>
      </c>
      <c r="BD99" s="11">
        <f t="shared" si="54"/>
        <v>0</v>
      </c>
      <c r="BE99" s="11">
        <f t="shared" si="54"/>
        <v>0</v>
      </c>
      <c r="BF99" s="11">
        <f t="shared" si="54"/>
        <v>0</v>
      </c>
      <c r="BG99" s="11">
        <f t="shared" si="54"/>
        <v>0</v>
      </c>
      <c r="BH99" s="11">
        <f t="shared" si="54"/>
        <v>0</v>
      </c>
      <c r="BI99" s="11">
        <f t="shared" si="54"/>
        <v>0</v>
      </c>
      <c r="BJ99" s="11">
        <f t="shared" si="54"/>
        <v>0</v>
      </c>
      <c r="BK99" s="11">
        <f t="shared" si="54"/>
        <v>0</v>
      </c>
      <c r="BL99" s="11">
        <f t="shared" si="54"/>
        <v>0</v>
      </c>
      <c r="BM99" s="11">
        <f t="shared" si="54"/>
        <v>0</v>
      </c>
      <c r="BN99" s="11">
        <f t="shared" si="54"/>
        <v>0</v>
      </c>
      <c r="BO99" s="11">
        <f t="shared" ref="BO99:CZ99" si="55">SUMPRODUCT($B96:$B98,BO96:BO98)</f>
        <v>0</v>
      </c>
      <c r="BP99" s="11">
        <f t="shared" si="55"/>
        <v>0</v>
      </c>
      <c r="BQ99" s="11">
        <f t="shared" si="55"/>
        <v>0</v>
      </c>
      <c r="BR99" s="11">
        <f t="shared" si="55"/>
        <v>0</v>
      </c>
      <c r="BS99" s="11">
        <f t="shared" si="55"/>
        <v>0</v>
      </c>
      <c r="BT99" s="11">
        <f t="shared" si="55"/>
        <v>0</v>
      </c>
      <c r="BU99" s="11">
        <f t="shared" si="55"/>
        <v>0</v>
      </c>
      <c r="BV99" s="11">
        <f t="shared" si="55"/>
        <v>0</v>
      </c>
      <c r="BW99" s="11">
        <f t="shared" si="55"/>
        <v>0</v>
      </c>
      <c r="BX99" s="11">
        <f t="shared" si="55"/>
        <v>0</v>
      </c>
      <c r="BY99" s="11">
        <f t="shared" si="55"/>
        <v>0</v>
      </c>
      <c r="BZ99" s="11">
        <f t="shared" si="55"/>
        <v>0</v>
      </c>
      <c r="CA99" s="11">
        <f t="shared" si="55"/>
        <v>0</v>
      </c>
      <c r="CB99" s="11">
        <f t="shared" si="55"/>
        <v>0</v>
      </c>
      <c r="CC99" s="11">
        <f t="shared" si="55"/>
        <v>0</v>
      </c>
      <c r="CD99" s="11">
        <f t="shared" si="55"/>
        <v>0</v>
      </c>
      <c r="CE99" s="11">
        <f t="shared" si="55"/>
        <v>0</v>
      </c>
      <c r="CF99" s="11">
        <f t="shared" si="55"/>
        <v>0</v>
      </c>
      <c r="CG99" s="11">
        <f t="shared" si="55"/>
        <v>0</v>
      </c>
      <c r="CH99" s="11">
        <f t="shared" si="55"/>
        <v>0</v>
      </c>
      <c r="CI99" s="11">
        <f t="shared" si="55"/>
        <v>0</v>
      </c>
      <c r="CJ99" s="11">
        <f t="shared" si="55"/>
        <v>0</v>
      </c>
      <c r="CK99" s="11">
        <f t="shared" si="55"/>
        <v>0</v>
      </c>
      <c r="CL99" s="11">
        <f t="shared" si="55"/>
        <v>0</v>
      </c>
      <c r="CM99" s="11">
        <f t="shared" si="55"/>
        <v>0</v>
      </c>
      <c r="CN99" s="11">
        <f t="shared" si="55"/>
        <v>0</v>
      </c>
      <c r="CO99" s="11">
        <f t="shared" si="55"/>
        <v>0</v>
      </c>
      <c r="CP99" s="11">
        <f t="shared" si="55"/>
        <v>0</v>
      </c>
      <c r="CQ99" s="11">
        <f t="shared" si="55"/>
        <v>0</v>
      </c>
      <c r="CR99" s="11">
        <f t="shared" si="55"/>
        <v>0</v>
      </c>
      <c r="CS99" s="11">
        <f t="shared" si="55"/>
        <v>0</v>
      </c>
      <c r="CT99" s="11">
        <f t="shared" si="55"/>
        <v>0</v>
      </c>
      <c r="CU99" s="11">
        <f t="shared" si="55"/>
        <v>0</v>
      </c>
      <c r="CV99" s="11">
        <f t="shared" si="55"/>
        <v>0</v>
      </c>
      <c r="CW99" s="11">
        <f t="shared" si="55"/>
        <v>0</v>
      </c>
      <c r="CX99" s="11">
        <f t="shared" si="55"/>
        <v>0</v>
      </c>
      <c r="CY99" s="11">
        <f t="shared" si="55"/>
        <v>0</v>
      </c>
      <c r="CZ99" s="11">
        <f t="shared" si="55"/>
        <v>0</v>
      </c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</row>
    <row r="100" spans="1:122" ht="18" customHeight="1">
      <c r="A100" s="13" t="s">
        <v>134</v>
      </c>
      <c r="B100" s="14">
        <f>IFERROR(VLOOKUP(A100,PRICELIST!$A$3:$D$138,4,0),"-")</f>
        <v>52.46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9">
        <f t="shared" ref="CY100:CZ109" si="56">C100+E100+G100+I100+K100+M100+O100+Q100+S100+U100+W100+Y100+AA100+AC100+AE100+AG100+AI100+AK100+AM100+AO100+AQ100+AS100+AU100+AW100+AY100+BA100+BC100+BE100+BG100+BI100+BK100+BM100+BO100+BQ100+BS100+BU100+BW100+BY100+CA100+CC100+CE100+CG100+CI100+CK100+CM100+CO100+CQ100+CS100+CU100+CW100</f>
        <v>0</v>
      </c>
      <c r="CZ100" s="19">
        <f t="shared" si="56"/>
        <v>0</v>
      </c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</row>
    <row r="101" spans="1:122" ht="18" customHeight="1">
      <c r="A101" s="13" t="s">
        <v>135</v>
      </c>
      <c r="B101" s="14">
        <f>IFERROR(VLOOKUP(A101,PRICELIST!$A$3:$D$138,4,0),"-")</f>
        <v>89.62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9">
        <f t="shared" si="56"/>
        <v>0</v>
      </c>
      <c r="CZ101" s="19">
        <f t="shared" si="56"/>
        <v>0</v>
      </c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</row>
    <row r="102" spans="1:122" ht="18" customHeight="1">
      <c r="A102" s="13" t="s">
        <v>136</v>
      </c>
      <c r="B102" s="14">
        <f>IFERROR(VLOOKUP(A102,PRICELIST!$A$3:$D$138,4,0),"-")</f>
        <v>83.41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9">
        <f t="shared" si="56"/>
        <v>0</v>
      </c>
      <c r="CZ102" s="19">
        <f t="shared" si="56"/>
        <v>0</v>
      </c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</row>
    <row r="103" spans="1:122" ht="18" customHeight="1">
      <c r="A103" s="13" t="s">
        <v>137</v>
      </c>
      <c r="B103" s="14">
        <f>IFERROR(VLOOKUP(A103,PRICELIST!$A$3:$D$138,4,0),"-")</f>
        <v>109.58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9">
        <f t="shared" si="56"/>
        <v>0</v>
      </c>
      <c r="CZ103" s="19">
        <f t="shared" si="56"/>
        <v>0</v>
      </c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</row>
    <row r="104" spans="1:122" ht="18" customHeight="1">
      <c r="A104" s="13" t="s">
        <v>140</v>
      </c>
      <c r="B104" s="14">
        <f>IFERROR(VLOOKUP(A104,PRICELIST!$A$3:$D$138,4,0),"-")</f>
        <v>28.8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9">
        <f>C104+E104+G104+I104+K104+M104+O104+Q104+S104+U104+W104+Y104+AA104+AC104+AE104+AG104+AI104+AK104+AM104+AO104+AQ104+AS104+AU104+AW104+AY104+BA104+BC104+BE104+BG104+BI104+BK104+BM104+BO104+BQ104+BS104+BU104+BW104+BY104+CA104+CC104+CE104+CG104+CI104+CK104+CM104+CO104+CQ104+CS104+CU104+CW104</f>
        <v>0</v>
      </c>
      <c r="CZ104" s="19">
        <f>D104+F104+H104+J104+L104+N104+P104+R104+T104+V104+X104+Z104+AB104+AD104+AF104+AH104+AJ104+AL104+AN104+AP104+AR104+AT104+AV104+AX104+AZ104+BB104+BD104+BF104+BH104+BJ104+BL104+BN104+BP104+BR104+BT104+BV104+BX104+BZ104+CB104+CD104+CF104+CH104+CJ104+CL104+CN104+CP104+CR104+CT104+CV104+CX104</f>
        <v>0</v>
      </c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</row>
    <row r="105" spans="1:122" ht="18" customHeight="1">
      <c r="A105" s="13" t="s">
        <v>141</v>
      </c>
      <c r="B105" s="14">
        <f>IFERROR(VLOOKUP(A105,PRICELIST!$A$3:$D$138,4,0),"-")</f>
        <v>60.43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9">
        <f>C105+E105+G105+I105+K105+M105+O105+Q105+S105+U105+W105+Y105+AA105+AC105+AE105+AG105+AI105+AK105+AM105+AO105+AQ105+AS105+AU105+AW105+AY105+BA105+BC105+BE105+BG105+BI105+BK105+BM105+BO105+BQ105+BS105+BU105+BW105+BY105+CA105+CC105+CE105+CG105+CI105+CK105+CM105+CO105+CQ105+CS105+CU105+CW105</f>
        <v>0</v>
      </c>
      <c r="CZ105" s="19">
        <f>D105+F105+H105+J105+L105+N105+P105+R105+T105+V105+X105+Z105+AB105+AD105+AF105+AH105+AJ105+AL105+AN105+AP105+AR105+AT105+AV105+AX105+AZ105+BB105+BD105+BF105+BH105+BJ105+BL105+BN105+BP105+BR105+BT105+BV105+BX105+BZ105+CB105+CD105+CF105+CH105+CJ105+CL105+CN105+CP105+CR105+CT105+CV105+CX105</f>
        <v>0</v>
      </c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</row>
    <row r="106" spans="1:122" ht="18" customHeight="1">
      <c r="A106" s="13" t="s">
        <v>138</v>
      </c>
      <c r="B106" s="14">
        <f>IFERROR(VLOOKUP(A106,PRICELIST!$A$3:$D$138,4,0),"-")</f>
        <v>96.43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9">
        <f t="shared" si="56"/>
        <v>0</v>
      </c>
      <c r="CZ106" s="19">
        <f t="shared" si="56"/>
        <v>0</v>
      </c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</row>
    <row r="107" spans="1:122" ht="18" customHeight="1">
      <c r="A107" s="13" t="s">
        <v>139</v>
      </c>
      <c r="B107" s="14">
        <f>IFERROR(VLOOKUP(A107,PRICELIST!$A$3:$D$138,4,0),"-")</f>
        <v>123.43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9">
        <f t="shared" si="56"/>
        <v>0</v>
      </c>
      <c r="CZ107" s="19">
        <f t="shared" si="56"/>
        <v>0</v>
      </c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</row>
    <row r="108" spans="1:122" ht="18" customHeight="1">
      <c r="A108" s="13" t="s">
        <v>142</v>
      </c>
      <c r="B108" s="14">
        <f>IFERROR(VLOOKUP(A108,PRICELIST!$A$3:$D$138,4,0),"-")</f>
        <v>121.5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9">
        <f t="shared" si="56"/>
        <v>0</v>
      </c>
      <c r="CZ108" s="19">
        <f t="shared" si="56"/>
        <v>0</v>
      </c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</row>
    <row r="109" spans="1:122" ht="18" customHeight="1">
      <c r="A109" s="13" t="s">
        <v>143</v>
      </c>
      <c r="B109" s="14">
        <f>IFERROR(VLOOKUP(A109,PRICELIST!$A$3:$D$138,4,0),"-")</f>
        <v>109.23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9">
        <f t="shared" si="56"/>
        <v>0</v>
      </c>
      <c r="CZ109" s="19">
        <f t="shared" si="56"/>
        <v>0</v>
      </c>
    </row>
    <row r="110" spans="1:122" ht="18" customHeight="1">
      <c r="A110" s="9" t="s">
        <v>144</v>
      </c>
      <c r="B110" s="10"/>
      <c r="C110" s="11">
        <f t="shared" ref="C110:AH110" si="57">SUMPRODUCT($B100:$B109,C100:C109)</f>
        <v>0</v>
      </c>
      <c r="D110" s="11">
        <f t="shared" si="57"/>
        <v>0</v>
      </c>
      <c r="E110" s="11">
        <f t="shared" si="57"/>
        <v>0</v>
      </c>
      <c r="F110" s="11">
        <f t="shared" si="57"/>
        <v>0</v>
      </c>
      <c r="G110" s="11">
        <f t="shared" si="57"/>
        <v>0</v>
      </c>
      <c r="H110" s="11">
        <f t="shared" si="57"/>
        <v>0</v>
      </c>
      <c r="I110" s="11">
        <f t="shared" si="57"/>
        <v>0</v>
      </c>
      <c r="J110" s="11">
        <f t="shared" si="57"/>
        <v>0</v>
      </c>
      <c r="K110" s="11">
        <f t="shared" si="57"/>
        <v>0</v>
      </c>
      <c r="L110" s="11">
        <f t="shared" si="57"/>
        <v>0</v>
      </c>
      <c r="M110" s="11">
        <f t="shared" si="57"/>
        <v>0</v>
      </c>
      <c r="N110" s="11">
        <f t="shared" si="57"/>
        <v>0</v>
      </c>
      <c r="O110" s="11">
        <f t="shared" si="57"/>
        <v>0</v>
      </c>
      <c r="P110" s="11">
        <f t="shared" si="57"/>
        <v>0</v>
      </c>
      <c r="Q110" s="11">
        <f t="shared" si="57"/>
        <v>0</v>
      </c>
      <c r="R110" s="11">
        <f t="shared" si="57"/>
        <v>0</v>
      </c>
      <c r="S110" s="11">
        <f t="shared" si="57"/>
        <v>0</v>
      </c>
      <c r="T110" s="11">
        <f t="shared" si="57"/>
        <v>0</v>
      </c>
      <c r="U110" s="11">
        <f t="shared" si="57"/>
        <v>0</v>
      </c>
      <c r="V110" s="11">
        <f t="shared" si="57"/>
        <v>0</v>
      </c>
      <c r="W110" s="11">
        <f t="shared" si="57"/>
        <v>0</v>
      </c>
      <c r="X110" s="11">
        <f t="shared" si="57"/>
        <v>0</v>
      </c>
      <c r="Y110" s="11">
        <f t="shared" si="57"/>
        <v>0</v>
      </c>
      <c r="Z110" s="11">
        <f t="shared" si="57"/>
        <v>0</v>
      </c>
      <c r="AA110" s="11">
        <f t="shared" si="57"/>
        <v>0</v>
      </c>
      <c r="AB110" s="11">
        <f t="shared" si="57"/>
        <v>0</v>
      </c>
      <c r="AC110" s="11">
        <f t="shared" si="57"/>
        <v>0</v>
      </c>
      <c r="AD110" s="11">
        <f t="shared" si="57"/>
        <v>0</v>
      </c>
      <c r="AE110" s="11">
        <f t="shared" si="57"/>
        <v>0</v>
      </c>
      <c r="AF110" s="11">
        <f t="shared" si="57"/>
        <v>0</v>
      </c>
      <c r="AG110" s="11">
        <f t="shared" si="57"/>
        <v>0</v>
      </c>
      <c r="AH110" s="11">
        <f t="shared" si="57"/>
        <v>0</v>
      </c>
      <c r="AI110" s="11">
        <f t="shared" ref="AI110:BN110" si="58">SUMPRODUCT($B100:$B109,AI100:AI109)</f>
        <v>0</v>
      </c>
      <c r="AJ110" s="11">
        <f t="shared" si="58"/>
        <v>0</v>
      </c>
      <c r="AK110" s="11">
        <f t="shared" si="58"/>
        <v>0</v>
      </c>
      <c r="AL110" s="11">
        <f t="shared" si="58"/>
        <v>0</v>
      </c>
      <c r="AM110" s="11">
        <f t="shared" si="58"/>
        <v>0</v>
      </c>
      <c r="AN110" s="11">
        <f t="shared" si="58"/>
        <v>0</v>
      </c>
      <c r="AO110" s="11">
        <f t="shared" si="58"/>
        <v>0</v>
      </c>
      <c r="AP110" s="11">
        <f t="shared" si="58"/>
        <v>0</v>
      </c>
      <c r="AQ110" s="11">
        <f t="shared" si="58"/>
        <v>0</v>
      </c>
      <c r="AR110" s="11">
        <f t="shared" si="58"/>
        <v>0</v>
      </c>
      <c r="AS110" s="11">
        <f t="shared" si="58"/>
        <v>0</v>
      </c>
      <c r="AT110" s="11">
        <f t="shared" si="58"/>
        <v>0</v>
      </c>
      <c r="AU110" s="11">
        <f t="shared" si="58"/>
        <v>0</v>
      </c>
      <c r="AV110" s="11">
        <f t="shared" si="58"/>
        <v>0</v>
      </c>
      <c r="AW110" s="11">
        <f t="shared" si="58"/>
        <v>0</v>
      </c>
      <c r="AX110" s="11">
        <f t="shared" si="58"/>
        <v>0</v>
      </c>
      <c r="AY110" s="11">
        <f t="shared" si="58"/>
        <v>0</v>
      </c>
      <c r="AZ110" s="11">
        <f t="shared" si="58"/>
        <v>0</v>
      </c>
      <c r="BA110" s="11">
        <f t="shared" si="58"/>
        <v>0</v>
      </c>
      <c r="BB110" s="11">
        <f t="shared" si="58"/>
        <v>0</v>
      </c>
      <c r="BC110" s="11">
        <f t="shared" si="58"/>
        <v>0</v>
      </c>
      <c r="BD110" s="11">
        <f t="shared" si="58"/>
        <v>0</v>
      </c>
      <c r="BE110" s="11">
        <f t="shared" si="58"/>
        <v>0</v>
      </c>
      <c r="BF110" s="11">
        <f t="shared" si="58"/>
        <v>0</v>
      </c>
      <c r="BG110" s="11">
        <f t="shared" si="58"/>
        <v>0</v>
      </c>
      <c r="BH110" s="11">
        <f t="shared" si="58"/>
        <v>0</v>
      </c>
      <c r="BI110" s="11">
        <f t="shared" si="58"/>
        <v>0</v>
      </c>
      <c r="BJ110" s="11">
        <f t="shared" si="58"/>
        <v>0</v>
      </c>
      <c r="BK110" s="11">
        <f t="shared" si="58"/>
        <v>0</v>
      </c>
      <c r="BL110" s="11">
        <f t="shared" si="58"/>
        <v>0</v>
      </c>
      <c r="BM110" s="11">
        <f t="shared" si="58"/>
        <v>0</v>
      </c>
      <c r="BN110" s="11">
        <f t="shared" si="58"/>
        <v>0</v>
      </c>
      <c r="BO110" s="11">
        <f t="shared" ref="BO110:CT110" si="59">SUMPRODUCT($B100:$B109,BO100:BO109)</f>
        <v>0</v>
      </c>
      <c r="BP110" s="11">
        <f t="shared" si="59"/>
        <v>0</v>
      </c>
      <c r="BQ110" s="11">
        <f t="shared" si="59"/>
        <v>0</v>
      </c>
      <c r="BR110" s="11">
        <f t="shared" si="59"/>
        <v>0</v>
      </c>
      <c r="BS110" s="11">
        <f t="shared" si="59"/>
        <v>0</v>
      </c>
      <c r="BT110" s="11">
        <f t="shared" si="59"/>
        <v>0</v>
      </c>
      <c r="BU110" s="11">
        <f t="shared" si="59"/>
        <v>0</v>
      </c>
      <c r="BV110" s="11">
        <f t="shared" si="59"/>
        <v>0</v>
      </c>
      <c r="BW110" s="11">
        <f t="shared" si="59"/>
        <v>0</v>
      </c>
      <c r="BX110" s="11">
        <f t="shared" si="59"/>
        <v>0</v>
      </c>
      <c r="BY110" s="11">
        <f t="shared" si="59"/>
        <v>0</v>
      </c>
      <c r="BZ110" s="11">
        <f t="shared" si="59"/>
        <v>0</v>
      </c>
      <c r="CA110" s="11">
        <f t="shared" si="59"/>
        <v>0</v>
      </c>
      <c r="CB110" s="11">
        <f t="shared" si="59"/>
        <v>0</v>
      </c>
      <c r="CC110" s="11">
        <f t="shared" si="59"/>
        <v>0</v>
      </c>
      <c r="CD110" s="11">
        <f t="shared" si="59"/>
        <v>0</v>
      </c>
      <c r="CE110" s="11">
        <f t="shared" si="59"/>
        <v>0</v>
      </c>
      <c r="CF110" s="11">
        <f t="shared" si="59"/>
        <v>0</v>
      </c>
      <c r="CG110" s="11">
        <f t="shared" si="59"/>
        <v>0</v>
      </c>
      <c r="CH110" s="11">
        <f t="shared" si="59"/>
        <v>0</v>
      </c>
      <c r="CI110" s="11">
        <f t="shared" si="59"/>
        <v>0</v>
      </c>
      <c r="CJ110" s="11">
        <f t="shared" si="59"/>
        <v>0</v>
      </c>
      <c r="CK110" s="11">
        <f t="shared" si="59"/>
        <v>0</v>
      </c>
      <c r="CL110" s="11">
        <f t="shared" si="59"/>
        <v>0</v>
      </c>
      <c r="CM110" s="11">
        <f t="shared" si="59"/>
        <v>0</v>
      </c>
      <c r="CN110" s="11">
        <f t="shared" si="59"/>
        <v>0</v>
      </c>
      <c r="CO110" s="11">
        <f t="shared" si="59"/>
        <v>0</v>
      </c>
      <c r="CP110" s="11">
        <f t="shared" si="59"/>
        <v>0</v>
      </c>
      <c r="CQ110" s="11">
        <f t="shared" si="59"/>
        <v>0</v>
      </c>
      <c r="CR110" s="11">
        <f t="shared" si="59"/>
        <v>0</v>
      </c>
      <c r="CS110" s="11">
        <f t="shared" si="59"/>
        <v>0</v>
      </c>
      <c r="CT110" s="11">
        <f t="shared" si="59"/>
        <v>0</v>
      </c>
      <c r="CU110" s="11">
        <f t="shared" ref="CU110:CZ110" si="60">SUMPRODUCT($B100:$B109,CU100:CU109)</f>
        <v>0</v>
      </c>
      <c r="CV110" s="11">
        <f t="shared" si="60"/>
        <v>0</v>
      </c>
      <c r="CW110" s="11">
        <f t="shared" si="60"/>
        <v>0</v>
      </c>
      <c r="CX110" s="11">
        <f t="shared" si="60"/>
        <v>0</v>
      </c>
      <c r="CY110" s="11">
        <f t="shared" si="60"/>
        <v>0</v>
      </c>
      <c r="CZ110" s="11">
        <f t="shared" si="60"/>
        <v>0</v>
      </c>
    </row>
    <row r="111" spans="1:122">
      <c r="A111" s="13" t="s">
        <v>146</v>
      </c>
      <c r="B111" s="14">
        <f>IFERROR(VLOOKUP(A111,PRICELIST!$A$3:$D$138,4,0),"-")</f>
        <v>31.29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9">
        <f t="shared" ref="CY111:CZ114" si="61">C111+E111+G111+I111+K111+M111+O111+Q111+S111+U111+W111+Y111+AA111+AC111+AE111+AG111+AI111+AK111+AM111+AO111+AQ111+AS111+AU111+AW111+AY111+BA111+BC111+BE111+BG111+BI111+BK111+BM111+BO111+BQ111+BS111+BU111+BW111+BY111+CA111+CC111+CE111+CG111+CI111+CK111+CM111+CO111+CQ111+CS111+CU111+CW111</f>
        <v>0</v>
      </c>
      <c r="CZ111" s="19">
        <f t="shared" si="61"/>
        <v>0</v>
      </c>
    </row>
    <row r="112" spans="1:122">
      <c r="A112" s="13" t="s">
        <v>147</v>
      </c>
      <c r="B112" s="14">
        <f>IFERROR(VLOOKUP(A112,PRICELIST!$A$3:$D$138,4,0),"-")</f>
        <v>68.36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9">
        <f t="shared" si="61"/>
        <v>0</v>
      </c>
      <c r="CZ112" s="19">
        <f t="shared" si="61"/>
        <v>0</v>
      </c>
    </row>
    <row r="113" spans="1:104">
      <c r="A113" s="13" t="s">
        <v>148</v>
      </c>
      <c r="B113" s="14">
        <f>IFERROR(VLOOKUP(A113,PRICELIST!$A$3:$D$138,4,0),"-")</f>
        <v>210.72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9">
        <f t="shared" si="61"/>
        <v>0</v>
      </c>
      <c r="CZ113" s="19">
        <f t="shared" si="61"/>
        <v>0</v>
      </c>
    </row>
    <row r="114" spans="1:104">
      <c r="A114" s="13" t="s">
        <v>149</v>
      </c>
      <c r="B114" s="14">
        <f>IFERROR(VLOOKUP(A114,PRICELIST!$A$3:$D$138,4,0),"-")</f>
        <v>180.9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9">
        <f t="shared" si="61"/>
        <v>0</v>
      </c>
      <c r="CZ114" s="19">
        <f t="shared" si="61"/>
        <v>0</v>
      </c>
    </row>
    <row r="115" spans="1:104">
      <c r="A115" s="9" t="s">
        <v>145</v>
      </c>
      <c r="B115" s="10"/>
      <c r="C115" s="11">
        <f>SUMPRODUCT($B111:$B114,C111:C114)</f>
        <v>0</v>
      </c>
      <c r="D115" s="11">
        <f t="shared" ref="D115:BO115" si="62">SUMPRODUCT($B111:$B114,D111:D114)</f>
        <v>0</v>
      </c>
      <c r="E115" s="11">
        <f t="shared" si="62"/>
        <v>0</v>
      </c>
      <c r="F115" s="11">
        <f t="shared" si="62"/>
        <v>0</v>
      </c>
      <c r="G115" s="11">
        <f t="shared" si="62"/>
        <v>0</v>
      </c>
      <c r="H115" s="11">
        <f t="shared" si="62"/>
        <v>0</v>
      </c>
      <c r="I115" s="11">
        <f t="shared" si="62"/>
        <v>0</v>
      </c>
      <c r="J115" s="11">
        <f t="shared" si="62"/>
        <v>0</v>
      </c>
      <c r="K115" s="11">
        <f t="shared" si="62"/>
        <v>0</v>
      </c>
      <c r="L115" s="11">
        <f t="shared" si="62"/>
        <v>0</v>
      </c>
      <c r="M115" s="11">
        <f t="shared" si="62"/>
        <v>0</v>
      </c>
      <c r="N115" s="11">
        <f t="shared" si="62"/>
        <v>0</v>
      </c>
      <c r="O115" s="11">
        <f t="shared" si="62"/>
        <v>0</v>
      </c>
      <c r="P115" s="11">
        <f t="shared" si="62"/>
        <v>0</v>
      </c>
      <c r="Q115" s="11">
        <f t="shared" si="62"/>
        <v>0</v>
      </c>
      <c r="R115" s="11">
        <f t="shared" si="62"/>
        <v>0</v>
      </c>
      <c r="S115" s="11">
        <f t="shared" si="62"/>
        <v>0</v>
      </c>
      <c r="T115" s="11">
        <f t="shared" si="62"/>
        <v>0</v>
      </c>
      <c r="U115" s="11">
        <f t="shared" si="62"/>
        <v>0</v>
      </c>
      <c r="V115" s="11">
        <f t="shared" si="62"/>
        <v>0</v>
      </c>
      <c r="W115" s="11">
        <f t="shared" si="62"/>
        <v>0</v>
      </c>
      <c r="X115" s="11">
        <f t="shared" si="62"/>
        <v>0</v>
      </c>
      <c r="Y115" s="11">
        <f t="shared" si="62"/>
        <v>0</v>
      </c>
      <c r="Z115" s="11">
        <f t="shared" si="62"/>
        <v>0</v>
      </c>
      <c r="AA115" s="11">
        <f t="shared" si="62"/>
        <v>0</v>
      </c>
      <c r="AB115" s="11">
        <f t="shared" si="62"/>
        <v>0</v>
      </c>
      <c r="AC115" s="11">
        <f t="shared" si="62"/>
        <v>0</v>
      </c>
      <c r="AD115" s="11">
        <f t="shared" si="62"/>
        <v>0</v>
      </c>
      <c r="AE115" s="11">
        <f t="shared" si="62"/>
        <v>0</v>
      </c>
      <c r="AF115" s="11">
        <f t="shared" si="62"/>
        <v>0</v>
      </c>
      <c r="AG115" s="11">
        <f t="shared" si="62"/>
        <v>0</v>
      </c>
      <c r="AH115" s="11">
        <f t="shared" si="62"/>
        <v>0</v>
      </c>
      <c r="AI115" s="11">
        <f t="shared" si="62"/>
        <v>0</v>
      </c>
      <c r="AJ115" s="11">
        <f t="shared" si="62"/>
        <v>0</v>
      </c>
      <c r="AK115" s="11">
        <f t="shared" si="62"/>
        <v>0</v>
      </c>
      <c r="AL115" s="11">
        <f t="shared" si="62"/>
        <v>0</v>
      </c>
      <c r="AM115" s="11">
        <f t="shared" si="62"/>
        <v>0</v>
      </c>
      <c r="AN115" s="11">
        <f t="shared" si="62"/>
        <v>0</v>
      </c>
      <c r="AO115" s="11">
        <f t="shared" si="62"/>
        <v>0</v>
      </c>
      <c r="AP115" s="11">
        <f t="shared" si="62"/>
        <v>0</v>
      </c>
      <c r="AQ115" s="11">
        <f t="shared" si="62"/>
        <v>0</v>
      </c>
      <c r="AR115" s="11">
        <f t="shared" si="62"/>
        <v>0</v>
      </c>
      <c r="AS115" s="11">
        <f t="shared" si="62"/>
        <v>0</v>
      </c>
      <c r="AT115" s="11">
        <f t="shared" si="62"/>
        <v>0</v>
      </c>
      <c r="AU115" s="11">
        <f t="shared" si="62"/>
        <v>0</v>
      </c>
      <c r="AV115" s="11">
        <f t="shared" si="62"/>
        <v>0</v>
      </c>
      <c r="AW115" s="11">
        <f t="shared" si="62"/>
        <v>0</v>
      </c>
      <c r="AX115" s="11">
        <f t="shared" si="62"/>
        <v>0</v>
      </c>
      <c r="AY115" s="11">
        <f t="shared" si="62"/>
        <v>0</v>
      </c>
      <c r="AZ115" s="11">
        <f t="shared" si="62"/>
        <v>0</v>
      </c>
      <c r="BA115" s="11">
        <f t="shared" si="62"/>
        <v>0</v>
      </c>
      <c r="BB115" s="11">
        <f t="shared" si="62"/>
        <v>0</v>
      </c>
      <c r="BC115" s="11">
        <f t="shared" si="62"/>
        <v>0</v>
      </c>
      <c r="BD115" s="11">
        <f t="shared" si="62"/>
        <v>0</v>
      </c>
      <c r="BE115" s="11">
        <f t="shared" si="62"/>
        <v>0</v>
      </c>
      <c r="BF115" s="11">
        <f t="shared" si="62"/>
        <v>0</v>
      </c>
      <c r="BG115" s="11">
        <f t="shared" si="62"/>
        <v>0</v>
      </c>
      <c r="BH115" s="11">
        <f t="shared" si="62"/>
        <v>0</v>
      </c>
      <c r="BI115" s="11">
        <f t="shared" si="62"/>
        <v>0</v>
      </c>
      <c r="BJ115" s="11">
        <f t="shared" si="62"/>
        <v>0</v>
      </c>
      <c r="BK115" s="11">
        <f t="shared" si="62"/>
        <v>0</v>
      </c>
      <c r="BL115" s="11">
        <f t="shared" si="62"/>
        <v>0</v>
      </c>
      <c r="BM115" s="11">
        <f t="shared" si="62"/>
        <v>0</v>
      </c>
      <c r="BN115" s="11">
        <f t="shared" si="62"/>
        <v>0</v>
      </c>
      <c r="BO115" s="11">
        <f t="shared" si="62"/>
        <v>0</v>
      </c>
      <c r="BP115" s="11">
        <f t="shared" ref="BP115:CZ115" si="63">SUMPRODUCT($B111:$B114,BP111:BP114)</f>
        <v>0</v>
      </c>
      <c r="BQ115" s="11">
        <f t="shared" si="63"/>
        <v>0</v>
      </c>
      <c r="BR115" s="11">
        <f t="shared" si="63"/>
        <v>0</v>
      </c>
      <c r="BS115" s="11">
        <f t="shared" si="63"/>
        <v>0</v>
      </c>
      <c r="BT115" s="11">
        <f t="shared" si="63"/>
        <v>0</v>
      </c>
      <c r="BU115" s="11">
        <f t="shared" si="63"/>
        <v>0</v>
      </c>
      <c r="BV115" s="11">
        <f t="shared" si="63"/>
        <v>0</v>
      </c>
      <c r="BW115" s="11">
        <f t="shared" si="63"/>
        <v>0</v>
      </c>
      <c r="BX115" s="11">
        <f t="shared" si="63"/>
        <v>0</v>
      </c>
      <c r="BY115" s="11">
        <f t="shared" si="63"/>
        <v>0</v>
      </c>
      <c r="BZ115" s="11">
        <f t="shared" si="63"/>
        <v>0</v>
      </c>
      <c r="CA115" s="11">
        <f t="shared" si="63"/>
        <v>0</v>
      </c>
      <c r="CB115" s="11">
        <f t="shared" si="63"/>
        <v>0</v>
      </c>
      <c r="CC115" s="11">
        <f t="shared" si="63"/>
        <v>0</v>
      </c>
      <c r="CD115" s="11">
        <f t="shared" si="63"/>
        <v>0</v>
      </c>
      <c r="CE115" s="11">
        <f t="shared" si="63"/>
        <v>0</v>
      </c>
      <c r="CF115" s="11">
        <f t="shared" si="63"/>
        <v>0</v>
      </c>
      <c r="CG115" s="11">
        <f t="shared" si="63"/>
        <v>0</v>
      </c>
      <c r="CH115" s="11">
        <f t="shared" si="63"/>
        <v>0</v>
      </c>
      <c r="CI115" s="11">
        <f t="shared" si="63"/>
        <v>0</v>
      </c>
      <c r="CJ115" s="11">
        <f t="shared" si="63"/>
        <v>0</v>
      </c>
      <c r="CK115" s="11">
        <f t="shared" si="63"/>
        <v>0</v>
      </c>
      <c r="CL115" s="11">
        <f t="shared" si="63"/>
        <v>0</v>
      </c>
      <c r="CM115" s="11">
        <f t="shared" si="63"/>
        <v>0</v>
      </c>
      <c r="CN115" s="11">
        <f t="shared" si="63"/>
        <v>0</v>
      </c>
      <c r="CO115" s="11">
        <f t="shared" si="63"/>
        <v>0</v>
      </c>
      <c r="CP115" s="11">
        <f t="shared" si="63"/>
        <v>0</v>
      </c>
      <c r="CQ115" s="11">
        <f t="shared" si="63"/>
        <v>0</v>
      </c>
      <c r="CR115" s="11">
        <f t="shared" si="63"/>
        <v>0</v>
      </c>
      <c r="CS115" s="11">
        <f t="shared" si="63"/>
        <v>0</v>
      </c>
      <c r="CT115" s="11">
        <f t="shared" si="63"/>
        <v>0</v>
      </c>
      <c r="CU115" s="11">
        <f t="shared" si="63"/>
        <v>0</v>
      </c>
      <c r="CV115" s="11">
        <f t="shared" si="63"/>
        <v>0</v>
      </c>
      <c r="CW115" s="11">
        <f t="shared" si="63"/>
        <v>0</v>
      </c>
      <c r="CX115" s="11">
        <f t="shared" si="63"/>
        <v>0</v>
      </c>
      <c r="CY115" s="11">
        <f t="shared" si="63"/>
        <v>0</v>
      </c>
      <c r="CZ115" s="11">
        <f t="shared" si="63"/>
        <v>0</v>
      </c>
    </row>
    <row r="116" spans="1:104">
      <c r="A116" s="4"/>
      <c r="B116" s="14" t="str">
        <f>IFERROR(VLOOKUP(A116,PRICELIST!$A$3:$D$138,4,0),"-")</f>
        <v>-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9">
        <f t="shared" ref="CY116:CZ118" si="64">C116+E116+G116+I116+K116+M116+O116+Q116+S116+U116+W116+Y116+AA116+AC116+AE116+AG116+AI116+AK116+AM116+AO116+AQ116+AS116+AU116+AW116+AY116+BA116+BC116+BE116+BG116+BI116+BK116+BM116+BO116+BQ116+BS116+BU116+BW116+BY116+CA116+CC116+CE116+CG116+CI116+CK116+CM116+CO116+CQ116+CS116+CU116+CW116</f>
        <v>0</v>
      </c>
      <c r="CZ116" s="19">
        <f t="shared" si="64"/>
        <v>0</v>
      </c>
    </row>
    <row r="117" spans="1:104">
      <c r="A117" s="4"/>
      <c r="B117" s="14" t="str">
        <f>IFERROR(VLOOKUP(A117,PRICELIST!$A$3:$D$138,4,0),"-")</f>
        <v>-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9">
        <f t="shared" si="64"/>
        <v>0</v>
      </c>
      <c r="CZ117" s="19">
        <f t="shared" si="64"/>
        <v>0</v>
      </c>
    </row>
    <row r="118" spans="1:104">
      <c r="A118" s="4"/>
      <c r="B118" s="14" t="str">
        <f>IFERROR(VLOOKUP(A118,PRICELIST!$A$3:$D$138,4,0),"-")</f>
        <v>-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9">
        <f t="shared" si="64"/>
        <v>0</v>
      </c>
      <c r="CZ118" s="19">
        <f t="shared" si="64"/>
        <v>0</v>
      </c>
    </row>
    <row r="119" spans="1:104">
      <c r="A119" s="9"/>
      <c r="B119" s="15"/>
      <c r="C119" s="5">
        <f>SUMPRODUCT($B116:$B118,C116:C118)</f>
        <v>0</v>
      </c>
      <c r="D119" s="5">
        <f t="shared" ref="D119:BO119" si="65">SUMPRODUCT($B116:$B118,D116:D118)</f>
        <v>0</v>
      </c>
      <c r="E119" s="5">
        <f t="shared" si="65"/>
        <v>0</v>
      </c>
      <c r="F119" s="5">
        <f t="shared" si="65"/>
        <v>0</v>
      </c>
      <c r="G119" s="5">
        <f t="shared" si="65"/>
        <v>0</v>
      </c>
      <c r="H119" s="5">
        <f t="shared" si="65"/>
        <v>0</v>
      </c>
      <c r="I119" s="5">
        <f t="shared" si="65"/>
        <v>0</v>
      </c>
      <c r="J119" s="5">
        <f t="shared" si="65"/>
        <v>0</v>
      </c>
      <c r="K119" s="5">
        <f t="shared" si="65"/>
        <v>0</v>
      </c>
      <c r="L119" s="5">
        <f t="shared" si="65"/>
        <v>0</v>
      </c>
      <c r="M119" s="5">
        <f t="shared" si="65"/>
        <v>0</v>
      </c>
      <c r="N119" s="5">
        <f t="shared" si="65"/>
        <v>0</v>
      </c>
      <c r="O119" s="5">
        <f t="shared" si="65"/>
        <v>0</v>
      </c>
      <c r="P119" s="5">
        <f t="shared" si="65"/>
        <v>0</v>
      </c>
      <c r="Q119" s="5">
        <f t="shared" si="65"/>
        <v>0</v>
      </c>
      <c r="R119" s="5">
        <f t="shared" si="65"/>
        <v>0</v>
      </c>
      <c r="S119" s="5">
        <f t="shared" si="65"/>
        <v>0</v>
      </c>
      <c r="T119" s="5">
        <f t="shared" si="65"/>
        <v>0</v>
      </c>
      <c r="U119" s="5">
        <f t="shared" si="65"/>
        <v>0</v>
      </c>
      <c r="V119" s="5">
        <f t="shared" si="65"/>
        <v>0</v>
      </c>
      <c r="W119" s="5">
        <f t="shared" si="65"/>
        <v>0</v>
      </c>
      <c r="X119" s="5">
        <f t="shared" si="65"/>
        <v>0</v>
      </c>
      <c r="Y119" s="5">
        <f t="shared" si="65"/>
        <v>0</v>
      </c>
      <c r="Z119" s="5">
        <f t="shared" si="65"/>
        <v>0</v>
      </c>
      <c r="AA119" s="5">
        <f t="shared" si="65"/>
        <v>0</v>
      </c>
      <c r="AB119" s="5">
        <f t="shared" si="65"/>
        <v>0</v>
      </c>
      <c r="AC119" s="5">
        <f t="shared" si="65"/>
        <v>0</v>
      </c>
      <c r="AD119" s="5">
        <f t="shared" si="65"/>
        <v>0</v>
      </c>
      <c r="AE119" s="5">
        <f t="shared" si="65"/>
        <v>0</v>
      </c>
      <c r="AF119" s="5">
        <f t="shared" si="65"/>
        <v>0</v>
      </c>
      <c r="AG119" s="5">
        <f t="shared" si="65"/>
        <v>0</v>
      </c>
      <c r="AH119" s="5">
        <f t="shared" si="65"/>
        <v>0</v>
      </c>
      <c r="AI119" s="5">
        <f t="shared" si="65"/>
        <v>0</v>
      </c>
      <c r="AJ119" s="5">
        <f t="shared" si="65"/>
        <v>0</v>
      </c>
      <c r="AK119" s="5">
        <f t="shared" si="65"/>
        <v>0</v>
      </c>
      <c r="AL119" s="5">
        <f t="shared" si="65"/>
        <v>0</v>
      </c>
      <c r="AM119" s="5">
        <f t="shared" si="65"/>
        <v>0</v>
      </c>
      <c r="AN119" s="5">
        <f t="shared" si="65"/>
        <v>0</v>
      </c>
      <c r="AO119" s="5">
        <f t="shared" si="65"/>
        <v>0</v>
      </c>
      <c r="AP119" s="5">
        <f t="shared" si="65"/>
        <v>0</v>
      </c>
      <c r="AQ119" s="5">
        <f t="shared" si="65"/>
        <v>0</v>
      </c>
      <c r="AR119" s="5">
        <f t="shared" si="65"/>
        <v>0</v>
      </c>
      <c r="AS119" s="5">
        <f t="shared" si="65"/>
        <v>0</v>
      </c>
      <c r="AT119" s="5">
        <f t="shared" si="65"/>
        <v>0</v>
      </c>
      <c r="AU119" s="5">
        <f t="shared" si="65"/>
        <v>0</v>
      </c>
      <c r="AV119" s="5">
        <f t="shared" si="65"/>
        <v>0</v>
      </c>
      <c r="AW119" s="5">
        <f t="shared" si="65"/>
        <v>0</v>
      </c>
      <c r="AX119" s="5">
        <f t="shared" si="65"/>
        <v>0</v>
      </c>
      <c r="AY119" s="5">
        <f t="shared" si="65"/>
        <v>0</v>
      </c>
      <c r="AZ119" s="5">
        <f t="shared" si="65"/>
        <v>0</v>
      </c>
      <c r="BA119" s="5">
        <f t="shared" si="65"/>
        <v>0</v>
      </c>
      <c r="BB119" s="5">
        <f t="shared" si="65"/>
        <v>0</v>
      </c>
      <c r="BC119" s="5">
        <f t="shared" si="65"/>
        <v>0</v>
      </c>
      <c r="BD119" s="5">
        <f t="shared" si="65"/>
        <v>0</v>
      </c>
      <c r="BE119" s="5">
        <f t="shared" si="65"/>
        <v>0</v>
      </c>
      <c r="BF119" s="5">
        <f t="shared" si="65"/>
        <v>0</v>
      </c>
      <c r="BG119" s="5">
        <f t="shared" si="65"/>
        <v>0</v>
      </c>
      <c r="BH119" s="5">
        <f t="shared" si="65"/>
        <v>0</v>
      </c>
      <c r="BI119" s="5">
        <f t="shared" si="65"/>
        <v>0</v>
      </c>
      <c r="BJ119" s="5">
        <f t="shared" si="65"/>
        <v>0</v>
      </c>
      <c r="BK119" s="5">
        <f t="shared" si="65"/>
        <v>0</v>
      </c>
      <c r="BL119" s="5">
        <f t="shared" si="65"/>
        <v>0</v>
      </c>
      <c r="BM119" s="5">
        <f t="shared" si="65"/>
        <v>0</v>
      </c>
      <c r="BN119" s="5">
        <f t="shared" si="65"/>
        <v>0</v>
      </c>
      <c r="BO119" s="5">
        <f t="shared" si="65"/>
        <v>0</v>
      </c>
      <c r="BP119" s="5">
        <f t="shared" ref="BP119:CZ119" si="66">SUMPRODUCT($B116:$B118,BP116:BP118)</f>
        <v>0</v>
      </c>
      <c r="BQ119" s="5">
        <f t="shared" si="66"/>
        <v>0</v>
      </c>
      <c r="BR119" s="5">
        <f t="shared" si="66"/>
        <v>0</v>
      </c>
      <c r="BS119" s="5">
        <f t="shared" si="66"/>
        <v>0</v>
      </c>
      <c r="BT119" s="5">
        <f t="shared" si="66"/>
        <v>0</v>
      </c>
      <c r="BU119" s="5">
        <f t="shared" si="66"/>
        <v>0</v>
      </c>
      <c r="BV119" s="5">
        <f t="shared" si="66"/>
        <v>0</v>
      </c>
      <c r="BW119" s="5">
        <f t="shared" si="66"/>
        <v>0</v>
      </c>
      <c r="BX119" s="5">
        <f t="shared" si="66"/>
        <v>0</v>
      </c>
      <c r="BY119" s="5">
        <f t="shared" si="66"/>
        <v>0</v>
      </c>
      <c r="BZ119" s="5">
        <f t="shared" si="66"/>
        <v>0</v>
      </c>
      <c r="CA119" s="5">
        <f t="shared" si="66"/>
        <v>0</v>
      </c>
      <c r="CB119" s="5">
        <f t="shared" si="66"/>
        <v>0</v>
      </c>
      <c r="CC119" s="5">
        <f t="shared" si="66"/>
        <v>0</v>
      </c>
      <c r="CD119" s="5">
        <f t="shared" si="66"/>
        <v>0</v>
      </c>
      <c r="CE119" s="5">
        <f t="shared" si="66"/>
        <v>0</v>
      </c>
      <c r="CF119" s="5">
        <f t="shared" si="66"/>
        <v>0</v>
      </c>
      <c r="CG119" s="5">
        <f t="shared" si="66"/>
        <v>0</v>
      </c>
      <c r="CH119" s="5">
        <f t="shared" si="66"/>
        <v>0</v>
      </c>
      <c r="CI119" s="5">
        <f t="shared" si="66"/>
        <v>0</v>
      </c>
      <c r="CJ119" s="5">
        <f t="shared" si="66"/>
        <v>0</v>
      </c>
      <c r="CK119" s="5">
        <f t="shared" si="66"/>
        <v>0</v>
      </c>
      <c r="CL119" s="5">
        <f t="shared" si="66"/>
        <v>0</v>
      </c>
      <c r="CM119" s="5">
        <f t="shared" si="66"/>
        <v>0</v>
      </c>
      <c r="CN119" s="5">
        <f t="shared" si="66"/>
        <v>0</v>
      </c>
      <c r="CO119" s="5">
        <f t="shared" si="66"/>
        <v>0</v>
      </c>
      <c r="CP119" s="5">
        <f t="shared" si="66"/>
        <v>0</v>
      </c>
      <c r="CQ119" s="5">
        <f t="shared" si="66"/>
        <v>0</v>
      </c>
      <c r="CR119" s="5">
        <f t="shared" si="66"/>
        <v>0</v>
      </c>
      <c r="CS119" s="5">
        <f t="shared" si="66"/>
        <v>0</v>
      </c>
      <c r="CT119" s="5">
        <f t="shared" si="66"/>
        <v>0</v>
      </c>
      <c r="CU119" s="5">
        <f t="shared" si="66"/>
        <v>0</v>
      </c>
      <c r="CV119" s="5">
        <f t="shared" si="66"/>
        <v>0</v>
      </c>
      <c r="CW119" s="5">
        <f t="shared" si="66"/>
        <v>0</v>
      </c>
      <c r="CX119" s="5">
        <f t="shared" si="66"/>
        <v>0</v>
      </c>
      <c r="CY119" s="5">
        <f t="shared" si="66"/>
        <v>0</v>
      </c>
      <c r="CZ119" s="5">
        <f t="shared" si="66"/>
        <v>0</v>
      </c>
    </row>
    <row r="120" spans="1:104" ht="15.5">
      <c r="A120" s="16" t="s">
        <v>71</v>
      </c>
      <c r="B120" s="17"/>
      <c r="C120" s="6">
        <f t="shared" ref="C120:AH120" si="67">SUM(C10,C20,C24,C27,C34,C37,C40,C47,C49,C53,C59,C71,C79,C81,C88,C92,C95,C99,C110,C115,C119)/100000</f>
        <v>0</v>
      </c>
      <c r="D120" s="6">
        <f t="shared" si="67"/>
        <v>0</v>
      </c>
      <c r="E120" s="6">
        <f t="shared" si="67"/>
        <v>0</v>
      </c>
      <c r="F120" s="6">
        <f t="shared" si="67"/>
        <v>0</v>
      </c>
      <c r="G120" s="6">
        <f t="shared" si="67"/>
        <v>0</v>
      </c>
      <c r="H120" s="6">
        <f t="shared" si="67"/>
        <v>0</v>
      </c>
      <c r="I120" s="6">
        <f t="shared" si="67"/>
        <v>0</v>
      </c>
      <c r="J120" s="6">
        <f t="shared" si="67"/>
        <v>0</v>
      </c>
      <c r="K120" s="6">
        <f t="shared" si="67"/>
        <v>0</v>
      </c>
      <c r="L120" s="6">
        <f t="shared" si="67"/>
        <v>0</v>
      </c>
      <c r="M120" s="6">
        <f t="shared" si="67"/>
        <v>0</v>
      </c>
      <c r="N120" s="6">
        <f t="shared" si="67"/>
        <v>0</v>
      </c>
      <c r="O120" s="6">
        <f t="shared" si="67"/>
        <v>0</v>
      </c>
      <c r="P120" s="6">
        <f t="shared" si="67"/>
        <v>0</v>
      </c>
      <c r="Q120" s="6">
        <f t="shared" si="67"/>
        <v>0</v>
      </c>
      <c r="R120" s="6">
        <f t="shared" si="67"/>
        <v>0</v>
      </c>
      <c r="S120" s="6">
        <f t="shared" si="67"/>
        <v>0</v>
      </c>
      <c r="T120" s="6">
        <f t="shared" si="67"/>
        <v>0</v>
      </c>
      <c r="U120" s="6">
        <f t="shared" si="67"/>
        <v>0</v>
      </c>
      <c r="V120" s="6">
        <f t="shared" si="67"/>
        <v>0</v>
      </c>
      <c r="W120" s="6">
        <f t="shared" si="67"/>
        <v>0</v>
      </c>
      <c r="X120" s="6">
        <f t="shared" si="67"/>
        <v>0</v>
      </c>
      <c r="Y120" s="6">
        <f t="shared" si="67"/>
        <v>0</v>
      </c>
      <c r="Z120" s="6">
        <f t="shared" si="67"/>
        <v>0</v>
      </c>
      <c r="AA120" s="6">
        <f t="shared" si="67"/>
        <v>0</v>
      </c>
      <c r="AB120" s="6">
        <f t="shared" si="67"/>
        <v>0</v>
      </c>
      <c r="AC120" s="6">
        <f t="shared" si="67"/>
        <v>0</v>
      </c>
      <c r="AD120" s="6">
        <f t="shared" si="67"/>
        <v>0</v>
      </c>
      <c r="AE120" s="6">
        <f t="shared" si="67"/>
        <v>0</v>
      </c>
      <c r="AF120" s="6">
        <f t="shared" si="67"/>
        <v>0</v>
      </c>
      <c r="AG120" s="6">
        <f t="shared" si="67"/>
        <v>0</v>
      </c>
      <c r="AH120" s="6">
        <f t="shared" si="67"/>
        <v>0</v>
      </c>
      <c r="AI120" s="6">
        <f t="shared" ref="AI120:BN120" si="68">SUM(AI10,AI20,AI24,AI27,AI34,AI37,AI40,AI47,AI49,AI53,AI59,AI71,AI79,AI81,AI88,AI92,AI95,AI99,AI110,AI115,AI119)/100000</f>
        <v>0</v>
      </c>
      <c r="AJ120" s="6">
        <f t="shared" si="68"/>
        <v>0</v>
      </c>
      <c r="AK120" s="6">
        <f t="shared" si="68"/>
        <v>0</v>
      </c>
      <c r="AL120" s="6">
        <f t="shared" si="68"/>
        <v>0</v>
      </c>
      <c r="AM120" s="6">
        <f t="shared" si="68"/>
        <v>0</v>
      </c>
      <c r="AN120" s="6">
        <f t="shared" si="68"/>
        <v>0</v>
      </c>
      <c r="AO120" s="6">
        <f t="shared" si="68"/>
        <v>0</v>
      </c>
      <c r="AP120" s="6">
        <f t="shared" si="68"/>
        <v>0</v>
      </c>
      <c r="AQ120" s="6">
        <f t="shared" si="68"/>
        <v>0</v>
      </c>
      <c r="AR120" s="6">
        <f t="shared" si="68"/>
        <v>0</v>
      </c>
      <c r="AS120" s="6">
        <f t="shared" si="68"/>
        <v>0</v>
      </c>
      <c r="AT120" s="6">
        <f t="shared" si="68"/>
        <v>0</v>
      </c>
      <c r="AU120" s="6">
        <f t="shared" si="68"/>
        <v>0</v>
      </c>
      <c r="AV120" s="6">
        <f t="shared" si="68"/>
        <v>0</v>
      </c>
      <c r="AW120" s="6">
        <f t="shared" si="68"/>
        <v>0</v>
      </c>
      <c r="AX120" s="6">
        <f t="shared" si="68"/>
        <v>0</v>
      </c>
      <c r="AY120" s="6">
        <f t="shared" si="68"/>
        <v>0</v>
      </c>
      <c r="AZ120" s="6">
        <f t="shared" si="68"/>
        <v>0</v>
      </c>
      <c r="BA120" s="6">
        <f t="shared" si="68"/>
        <v>0</v>
      </c>
      <c r="BB120" s="6">
        <f t="shared" si="68"/>
        <v>0</v>
      </c>
      <c r="BC120" s="6">
        <f t="shared" si="68"/>
        <v>0</v>
      </c>
      <c r="BD120" s="6">
        <f t="shared" si="68"/>
        <v>0</v>
      </c>
      <c r="BE120" s="6">
        <f t="shared" si="68"/>
        <v>0</v>
      </c>
      <c r="BF120" s="6">
        <f t="shared" si="68"/>
        <v>0</v>
      </c>
      <c r="BG120" s="6">
        <f t="shared" si="68"/>
        <v>0</v>
      </c>
      <c r="BH120" s="6">
        <f t="shared" si="68"/>
        <v>0</v>
      </c>
      <c r="BI120" s="6">
        <f t="shared" si="68"/>
        <v>0</v>
      </c>
      <c r="BJ120" s="6">
        <f t="shared" si="68"/>
        <v>0</v>
      </c>
      <c r="BK120" s="6">
        <f t="shared" si="68"/>
        <v>0</v>
      </c>
      <c r="BL120" s="6">
        <f t="shared" si="68"/>
        <v>0</v>
      </c>
      <c r="BM120" s="6">
        <f t="shared" si="68"/>
        <v>0</v>
      </c>
      <c r="BN120" s="6">
        <f t="shared" si="68"/>
        <v>0</v>
      </c>
      <c r="BO120" s="6">
        <f t="shared" ref="BO120:CT120" si="69">SUM(BO10,BO20,BO24,BO27,BO34,BO37,BO40,BO47,BO49,BO53,BO59,BO71,BO79,BO81,BO88,BO92,BO95,BO99,BO110,BO115,BO119)/100000</f>
        <v>0</v>
      </c>
      <c r="BP120" s="6">
        <f t="shared" si="69"/>
        <v>0</v>
      </c>
      <c r="BQ120" s="6">
        <f t="shared" si="69"/>
        <v>0</v>
      </c>
      <c r="BR120" s="6">
        <f t="shared" si="69"/>
        <v>0</v>
      </c>
      <c r="BS120" s="6">
        <f t="shared" si="69"/>
        <v>0</v>
      </c>
      <c r="BT120" s="6">
        <f t="shared" si="69"/>
        <v>0</v>
      </c>
      <c r="BU120" s="6">
        <f t="shared" si="69"/>
        <v>0</v>
      </c>
      <c r="BV120" s="6">
        <f t="shared" si="69"/>
        <v>0</v>
      </c>
      <c r="BW120" s="6">
        <f t="shared" si="69"/>
        <v>0</v>
      </c>
      <c r="BX120" s="6">
        <f t="shared" si="69"/>
        <v>0</v>
      </c>
      <c r="BY120" s="6">
        <f t="shared" si="69"/>
        <v>0</v>
      </c>
      <c r="BZ120" s="6">
        <f t="shared" si="69"/>
        <v>0</v>
      </c>
      <c r="CA120" s="6">
        <f t="shared" si="69"/>
        <v>0</v>
      </c>
      <c r="CB120" s="6">
        <f t="shared" si="69"/>
        <v>0</v>
      </c>
      <c r="CC120" s="6">
        <f t="shared" si="69"/>
        <v>0</v>
      </c>
      <c r="CD120" s="6">
        <f t="shared" si="69"/>
        <v>0</v>
      </c>
      <c r="CE120" s="6">
        <f t="shared" si="69"/>
        <v>0</v>
      </c>
      <c r="CF120" s="6">
        <f t="shared" si="69"/>
        <v>0</v>
      </c>
      <c r="CG120" s="6">
        <f t="shared" si="69"/>
        <v>0</v>
      </c>
      <c r="CH120" s="6">
        <f t="shared" si="69"/>
        <v>0</v>
      </c>
      <c r="CI120" s="6">
        <f t="shared" si="69"/>
        <v>0</v>
      </c>
      <c r="CJ120" s="6">
        <f t="shared" si="69"/>
        <v>0</v>
      </c>
      <c r="CK120" s="6">
        <f t="shared" si="69"/>
        <v>0</v>
      </c>
      <c r="CL120" s="6">
        <f t="shared" si="69"/>
        <v>0</v>
      </c>
      <c r="CM120" s="6">
        <f t="shared" si="69"/>
        <v>0</v>
      </c>
      <c r="CN120" s="6">
        <f t="shared" si="69"/>
        <v>0</v>
      </c>
      <c r="CO120" s="6">
        <f t="shared" si="69"/>
        <v>0</v>
      </c>
      <c r="CP120" s="6">
        <f t="shared" si="69"/>
        <v>0</v>
      </c>
      <c r="CQ120" s="6">
        <f t="shared" si="69"/>
        <v>0</v>
      </c>
      <c r="CR120" s="6">
        <f t="shared" si="69"/>
        <v>0</v>
      </c>
      <c r="CS120" s="6">
        <f t="shared" si="69"/>
        <v>0</v>
      </c>
      <c r="CT120" s="6">
        <f t="shared" si="69"/>
        <v>0</v>
      </c>
      <c r="CU120" s="6">
        <f t="shared" ref="CU120:CZ120" si="70">SUM(CU10,CU20,CU24,CU27,CU34,CU37,CU40,CU47,CU49,CU53,CU59,CU71,CU79,CU81,CU88,CU92,CU95,CU99,CU110,CU115,CU119)/100000</f>
        <v>0</v>
      </c>
      <c r="CV120" s="6">
        <f t="shared" si="70"/>
        <v>0</v>
      </c>
      <c r="CW120" s="6">
        <f t="shared" si="70"/>
        <v>0</v>
      </c>
      <c r="CX120" s="6">
        <f t="shared" si="70"/>
        <v>0</v>
      </c>
      <c r="CY120" s="6">
        <f t="shared" si="70"/>
        <v>0</v>
      </c>
      <c r="CZ120" s="6">
        <f t="shared" si="70"/>
        <v>0</v>
      </c>
    </row>
  </sheetData>
  <sheetProtection formatCells="0" selectLockedCells="1" autoFilter="0"/>
  <autoFilter ref="A2:CZ110" xr:uid="{00000000-0009-0000-0000-00000A000000}"/>
  <mergeCells count="52">
    <mergeCell ref="CS1:CT1"/>
    <mergeCell ref="CU1:CV1"/>
    <mergeCell ref="CW1:CX1"/>
    <mergeCell ref="CY1:CZ1"/>
    <mergeCell ref="CG1:CH1"/>
    <mergeCell ref="CI1:CJ1"/>
    <mergeCell ref="CK1:CL1"/>
    <mergeCell ref="CM1:CN1"/>
    <mergeCell ref="CO1:CP1"/>
    <mergeCell ref="CQ1:CR1"/>
    <mergeCell ref="CE1:CF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BG1:BH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AI1:AJ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K1:L1"/>
    <mergeCell ref="A1:A2"/>
    <mergeCell ref="C1:D1"/>
    <mergeCell ref="E1:F1"/>
    <mergeCell ref="G1:H1"/>
    <mergeCell ref="I1:J1"/>
  </mergeCells>
  <pageMargins left="0.69930555555555596" right="0.69930555555555596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R12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7" sqref="B7"/>
    </sheetView>
  </sheetViews>
  <sheetFormatPr defaultColWidth="9.1796875" defaultRowHeight="14.5"/>
  <cols>
    <col min="1" max="1" width="31.54296875" style="2" customWidth="1"/>
    <col min="2" max="2" width="8.81640625" style="3" customWidth="1"/>
    <col min="3" max="3" width="10" style="3" bestFit="1" customWidth="1"/>
    <col min="4" max="41" width="9.1796875" style="3"/>
    <col min="42" max="42" width="8.54296875" style="3" customWidth="1"/>
    <col min="43" max="43" width="7.54296875" style="3" customWidth="1"/>
    <col min="44" max="44" width="8.54296875" style="3" customWidth="1"/>
    <col min="45" max="45" width="7.54296875" style="3" customWidth="1"/>
    <col min="46" max="46" width="8.54296875" style="3" customWidth="1"/>
    <col min="47" max="47" width="7.54296875" style="3" customWidth="1"/>
    <col min="48" max="48" width="8.54296875" style="3" customWidth="1"/>
    <col min="49" max="49" width="7.54296875" style="3" customWidth="1"/>
    <col min="50" max="50" width="8.54296875" style="3" customWidth="1"/>
    <col min="51" max="51" width="7.54296875" style="3" customWidth="1"/>
    <col min="52" max="52" width="8.54296875" style="3" customWidth="1"/>
    <col min="53" max="53" width="7.54296875" style="3" customWidth="1"/>
    <col min="54" max="54" width="8.54296875" style="3" customWidth="1"/>
    <col min="55" max="55" width="7.54296875" style="3" customWidth="1"/>
    <col min="56" max="56" width="8.54296875" style="3" customWidth="1"/>
    <col min="57" max="57" width="7.54296875" style="3" customWidth="1"/>
    <col min="58" max="58" width="8.54296875" style="3" customWidth="1"/>
    <col min="59" max="59" width="7.54296875" style="3" customWidth="1"/>
    <col min="60" max="60" width="8.54296875" style="3" customWidth="1"/>
    <col min="61" max="61" width="7.54296875" style="3" customWidth="1"/>
    <col min="62" max="62" width="8.54296875" style="3" customWidth="1"/>
    <col min="63" max="63" width="7.54296875" style="3" customWidth="1"/>
    <col min="64" max="64" width="8.54296875" style="3" customWidth="1"/>
    <col min="65" max="65" width="7.54296875" style="3" customWidth="1"/>
    <col min="66" max="66" width="8.54296875" style="3" customWidth="1"/>
    <col min="67" max="67" width="7.54296875" style="3" customWidth="1"/>
    <col min="68" max="68" width="8.54296875" style="3" customWidth="1"/>
    <col min="69" max="69" width="7.54296875" style="3" customWidth="1"/>
    <col min="70" max="70" width="8.54296875" style="3" customWidth="1"/>
    <col min="71" max="71" width="7.54296875" style="3" customWidth="1"/>
    <col min="72" max="72" width="8.54296875" style="3" customWidth="1"/>
    <col min="73" max="73" width="7.54296875" style="3" customWidth="1"/>
    <col min="74" max="74" width="8.54296875" style="3" customWidth="1"/>
    <col min="75" max="75" width="7.54296875" style="3" customWidth="1"/>
    <col min="76" max="76" width="8.54296875" style="3" customWidth="1"/>
    <col min="77" max="77" width="7.54296875" style="3" customWidth="1"/>
    <col min="78" max="78" width="8.54296875" style="3" customWidth="1"/>
    <col min="79" max="79" width="7.54296875" style="3" customWidth="1"/>
    <col min="80" max="80" width="8.54296875" style="3" customWidth="1"/>
    <col min="81" max="81" width="7.54296875" style="3" customWidth="1"/>
    <col min="82" max="82" width="8.54296875" style="3" customWidth="1"/>
    <col min="83" max="83" width="7.54296875" style="3" customWidth="1"/>
    <col min="84" max="84" width="8.54296875" style="3" customWidth="1"/>
    <col min="85" max="85" width="7.54296875" style="3" customWidth="1"/>
    <col min="86" max="86" width="8.54296875" style="3" customWidth="1"/>
    <col min="87" max="87" width="7.54296875" style="3" customWidth="1"/>
    <col min="88" max="88" width="8.54296875" style="3" customWidth="1"/>
    <col min="89" max="89" width="7.54296875" style="3" customWidth="1"/>
    <col min="90" max="90" width="8.54296875" style="3" customWidth="1"/>
    <col min="91" max="91" width="7.54296875" style="3" customWidth="1"/>
    <col min="92" max="92" width="8.54296875" style="3" customWidth="1"/>
    <col min="93" max="93" width="7.54296875" style="3" customWidth="1"/>
    <col min="94" max="94" width="8.54296875" style="3" customWidth="1"/>
    <col min="95" max="95" width="7.54296875" style="3" customWidth="1"/>
    <col min="96" max="96" width="8.54296875" style="3" customWidth="1"/>
    <col min="97" max="97" width="7.54296875" style="3" customWidth="1"/>
    <col min="98" max="98" width="8.54296875" style="3" customWidth="1"/>
    <col min="99" max="99" width="7.54296875" style="3" customWidth="1"/>
    <col min="100" max="100" width="8.54296875" style="3" customWidth="1"/>
    <col min="101" max="101" width="7.54296875" style="3" customWidth="1"/>
    <col min="102" max="102" width="8.54296875" style="3" customWidth="1"/>
    <col min="103" max="103" width="11.81640625" style="3" customWidth="1"/>
    <col min="104" max="104" width="12.453125" style="3" customWidth="1"/>
    <col min="105" max="107" width="9.1796875" style="2"/>
    <col min="108" max="108" width="8" style="2" customWidth="1"/>
    <col min="109" max="16384" width="9.1796875" style="2"/>
  </cols>
  <sheetData>
    <row r="1" spans="1:122" s="37" customFormat="1" ht="19.5" customHeight="1">
      <c r="A1" s="44" t="s">
        <v>0</v>
      </c>
      <c r="B1" s="12"/>
      <c r="C1" s="46" t="str">
        <f>APRIL!C1</f>
        <v>VASU PHARMA DRUGS PVT LTD</v>
      </c>
      <c r="D1" s="46"/>
      <c r="E1" s="46" t="str">
        <f>APRIL!E1</f>
        <v>PRAKASH PHARMA DISTRIBUTORS</v>
      </c>
      <c r="F1" s="46"/>
      <c r="G1" s="46" t="str">
        <f>APRIL!G1</f>
        <v>Divya Pharma</v>
      </c>
      <c r="H1" s="46"/>
      <c r="I1" s="46" t="str">
        <f>APRIL!I1</f>
        <v>KEIMED PRIVATE LIMITED</v>
      </c>
      <c r="J1" s="46"/>
      <c r="K1" s="46" t="str">
        <f>APRIL!K1</f>
        <v>SAI SRIDHAR PHARMA PVT LTD</v>
      </c>
      <c r="L1" s="46"/>
      <c r="M1" s="46" t="str">
        <f>APRIL!M1</f>
        <v>SRI VENKATARAGHAVA AGENCIES</v>
      </c>
      <c r="N1" s="46"/>
      <c r="O1" s="46" t="str">
        <f>APRIL!O1</f>
        <v>SHREEJI DIST PVT LTD</v>
      </c>
      <c r="P1" s="46"/>
      <c r="Q1" s="46" t="str">
        <f>APRIL!Q1</f>
        <v>SVS PHARMA</v>
      </c>
      <c r="R1" s="46"/>
      <c r="S1" s="46" t="str">
        <f>APRIL!S1</f>
        <v>PHARMA DISTRIBUTORS</v>
      </c>
      <c r="T1" s="46"/>
      <c r="U1" s="46" t="str">
        <f>APRIL!U1</f>
        <v>SAI PHARMA DISTRIBUTERS PVT LTD</v>
      </c>
      <c r="V1" s="46"/>
      <c r="W1" s="46" t="str">
        <f>APRIL!W1</f>
        <v>ALANKRITA AGENCIES</v>
      </c>
      <c r="X1" s="46"/>
      <c r="Y1" s="46" t="str">
        <f>APRIL!Y1</f>
        <v>JAYA SURG &amp; PHARMA PVT LTD</v>
      </c>
      <c r="Z1" s="46"/>
      <c r="AA1" s="46" t="str">
        <f>APRIL!AA1</f>
        <v>MANASA MEDICAL AGENCIES</v>
      </c>
      <c r="AB1" s="46"/>
      <c r="AC1" s="46" t="str">
        <f>APRIL!AC1</f>
        <v>KARTHICK AGENCIES</v>
      </c>
      <c r="AD1" s="46"/>
      <c r="AE1" s="46" t="str">
        <f>APRIL!AE1</f>
        <v>NIRMALA AGENCIES</v>
      </c>
      <c r="AF1" s="46"/>
      <c r="AG1" s="46" t="str">
        <f>APRIL!AG1</f>
        <v>HIMALAYA MEDICAL AGENCIES</v>
      </c>
      <c r="AH1" s="46"/>
      <c r="AI1" s="46" t="str">
        <f>APRIL!AI1</f>
        <v xml:space="preserve">Maruthi </v>
      </c>
      <c r="AJ1" s="46"/>
      <c r="AK1" s="46" t="str">
        <f>APRIL!AK1</f>
        <v>LAXMI SAI MEDICAL AGENCIES</v>
      </c>
      <c r="AL1" s="46"/>
      <c r="AM1" s="46" t="str">
        <f>APRIL!AM1</f>
        <v>Patwari Pharma</v>
      </c>
      <c r="AN1" s="46"/>
      <c r="AO1" s="46" t="str">
        <f>APRIL!AO1</f>
        <v>Vishnu &amp; Co</v>
      </c>
      <c r="AP1" s="46"/>
      <c r="AQ1" s="46" t="str">
        <f>APRIL!AQ1</f>
        <v>SUMAN AGENCIES HYD PVT LTD</v>
      </c>
      <c r="AR1" s="46"/>
      <c r="AS1" s="46" t="str">
        <f>APRIL!AS1</f>
        <v>Sri Nirmala</v>
      </c>
      <c r="AT1" s="46"/>
      <c r="AU1" s="46" t="str">
        <f>APRIL!AU1</f>
        <v>SHREE SHARADA PHARMA</v>
      </c>
      <c r="AV1" s="46"/>
      <c r="AW1" s="46" t="str">
        <f>APRIL!AW1</f>
        <v>ALLIED PHARMA</v>
      </c>
      <c r="AX1" s="46"/>
      <c r="AY1" s="46" t="str">
        <f>APRIL!AY1</f>
        <v>GOEL DISTRIBUTER</v>
      </c>
      <c r="AZ1" s="46"/>
      <c r="BA1" s="46" t="str">
        <f>APRIL!BA1</f>
        <v>KAMALESH PHARMA</v>
      </c>
      <c r="BB1" s="46"/>
      <c r="BC1" s="46" t="str">
        <f>APRIL!BC1</f>
        <v>ARVIND PHARMA DISTRIBUTER</v>
      </c>
      <c r="BD1" s="46"/>
      <c r="BE1" s="46" t="str">
        <f>APRIL!BE1</f>
        <v>GOEL PHARMA</v>
      </c>
      <c r="BF1" s="46"/>
      <c r="BG1" s="46" t="str">
        <f>APRIL!BG1</f>
        <v>KRISHNA  PHARMACEUTICALS</v>
      </c>
      <c r="BH1" s="46"/>
      <c r="BI1" s="46" t="str">
        <f>APRIL!BI1</f>
        <v>AP DRUGS</v>
      </c>
      <c r="BJ1" s="46"/>
      <c r="BK1" s="46" t="str">
        <f>APRIL!BK1</f>
        <v>MAWA PHARMACEUTICALS</v>
      </c>
      <c r="BL1" s="46"/>
      <c r="BM1" s="46" t="str">
        <f>APRIL!BM1</f>
        <v>TIRUMALA AGENCIES</v>
      </c>
      <c r="BN1" s="46"/>
      <c r="BO1" s="46" t="str">
        <f>APRIL!BO1</f>
        <v>SREE HARI MEDICALS</v>
      </c>
      <c r="BP1" s="46"/>
      <c r="BQ1" s="46" t="str">
        <f>APRIL!BQ1</f>
        <v>SREE VENKATESHWARA MEDISOLUTIONS</v>
      </c>
      <c r="BR1" s="46"/>
      <c r="BS1" s="46" t="str">
        <f>APRIL!BS1</f>
        <v>SRI BALAJI DRUGS</v>
      </c>
      <c r="BT1" s="46"/>
      <c r="BU1" s="46" t="str">
        <f>APRIL!BU1</f>
        <v>VISHNU MEDICAL HALL</v>
      </c>
      <c r="BV1" s="46"/>
      <c r="BW1" s="46" t="str">
        <f>APRIL!BW1</f>
        <v>HYDERABAD SPECIALITY DRUGS</v>
      </c>
      <c r="BX1" s="46"/>
      <c r="BY1" s="46" t="str">
        <f>APRIL!BY1</f>
        <v>LORVEN PHARMA &amp; SURGICALS (CORP)</v>
      </c>
      <c r="BZ1" s="46"/>
      <c r="CA1" s="46" t="str">
        <f>APRIL!CA1</f>
        <v>AK PHARMA</v>
      </c>
      <c r="CB1" s="46"/>
      <c r="CC1" s="46" t="str">
        <f>APRIL!CC1</f>
        <v>OPTIVAL HEALTHSOLUTIONS</v>
      </c>
      <c r="CD1" s="46"/>
      <c r="CE1" s="46" t="str">
        <f>APRIL!CE1</f>
        <v>BALAJI MEDICAL AGENCIES</v>
      </c>
      <c r="CF1" s="46"/>
      <c r="CG1" s="46" t="str">
        <f>APRIL!CG1</f>
        <v>S42</v>
      </c>
      <c r="CH1" s="46"/>
      <c r="CI1" s="46" t="str">
        <f>APRIL!CI1</f>
        <v>S43</v>
      </c>
      <c r="CJ1" s="46"/>
      <c r="CK1" s="46" t="str">
        <f>APRIL!CK1</f>
        <v>S44</v>
      </c>
      <c r="CL1" s="46"/>
      <c r="CM1" s="46" t="str">
        <f>APRIL!CM1</f>
        <v>S45</v>
      </c>
      <c r="CN1" s="46"/>
      <c r="CO1" s="46" t="str">
        <f>APRIL!CO1</f>
        <v>S46</v>
      </c>
      <c r="CP1" s="46"/>
      <c r="CQ1" s="46" t="str">
        <f>APRIL!CQ1</f>
        <v>S47</v>
      </c>
      <c r="CR1" s="46"/>
      <c r="CS1" s="46" t="str">
        <f>APRIL!CS1</f>
        <v>S48</v>
      </c>
      <c r="CT1" s="46"/>
      <c r="CU1" s="46" t="str">
        <f>APRIL!CU1</f>
        <v>S49</v>
      </c>
      <c r="CV1" s="46"/>
      <c r="CW1" s="46" t="str">
        <f>APRIL!CW1</f>
        <v>S50</v>
      </c>
      <c r="CX1" s="46"/>
      <c r="CY1" s="43" t="s">
        <v>1</v>
      </c>
      <c r="CZ1" s="43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</row>
    <row r="2" spans="1:122" ht="43.5">
      <c r="A2" s="44"/>
      <c r="B2" s="12" t="s">
        <v>2</v>
      </c>
      <c r="C2" s="7" t="s">
        <v>90</v>
      </c>
      <c r="D2" s="7" t="s">
        <v>91</v>
      </c>
      <c r="E2" s="7" t="s">
        <v>90</v>
      </c>
      <c r="F2" s="7" t="s">
        <v>91</v>
      </c>
      <c r="G2" s="7" t="s">
        <v>90</v>
      </c>
      <c r="H2" s="7" t="s">
        <v>91</v>
      </c>
      <c r="I2" s="7" t="s">
        <v>90</v>
      </c>
      <c r="J2" s="7" t="s">
        <v>91</v>
      </c>
      <c r="K2" s="7" t="s">
        <v>90</v>
      </c>
      <c r="L2" s="7" t="s">
        <v>91</v>
      </c>
      <c r="M2" s="7" t="s">
        <v>90</v>
      </c>
      <c r="N2" s="7" t="s">
        <v>91</v>
      </c>
      <c r="O2" s="7" t="s">
        <v>90</v>
      </c>
      <c r="P2" s="7" t="s">
        <v>91</v>
      </c>
      <c r="Q2" s="7" t="s">
        <v>90</v>
      </c>
      <c r="R2" s="7" t="s">
        <v>91</v>
      </c>
      <c r="S2" s="7" t="s">
        <v>90</v>
      </c>
      <c r="T2" s="7" t="s">
        <v>91</v>
      </c>
      <c r="U2" s="7" t="s">
        <v>90</v>
      </c>
      <c r="V2" s="7" t="s">
        <v>91</v>
      </c>
      <c r="W2" s="7" t="s">
        <v>90</v>
      </c>
      <c r="X2" s="7" t="s">
        <v>91</v>
      </c>
      <c r="Y2" s="7" t="s">
        <v>90</v>
      </c>
      <c r="Z2" s="7" t="s">
        <v>91</v>
      </c>
      <c r="AA2" s="7" t="s">
        <v>90</v>
      </c>
      <c r="AB2" s="7" t="s">
        <v>91</v>
      </c>
      <c r="AC2" s="7" t="s">
        <v>90</v>
      </c>
      <c r="AD2" s="7" t="s">
        <v>91</v>
      </c>
      <c r="AE2" s="7" t="s">
        <v>90</v>
      </c>
      <c r="AF2" s="7" t="s">
        <v>91</v>
      </c>
      <c r="AG2" s="7" t="s">
        <v>90</v>
      </c>
      <c r="AH2" s="7" t="s">
        <v>91</v>
      </c>
      <c r="AI2" s="7" t="s">
        <v>90</v>
      </c>
      <c r="AJ2" s="7" t="s">
        <v>91</v>
      </c>
      <c r="AK2" s="7" t="s">
        <v>90</v>
      </c>
      <c r="AL2" s="7" t="s">
        <v>91</v>
      </c>
      <c r="AM2" s="7" t="s">
        <v>90</v>
      </c>
      <c r="AN2" s="7" t="s">
        <v>91</v>
      </c>
      <c r="AO2" s="7" t="s">
        <v>90</v>
      </c>
      <c r="AP2" s="7" t="s">
        <v>91</v>
      </c>
      <c r="AQ2" s="7" t="s">
        <v>90</v>
      </c>
      <c r="AR2" s="7" t="s">
        <v>91</v>
      </c>
      <c r="AS2" s="7" t="s">
        <v>90</v>
      </c>
      <c r="AT2" s="7" t="s">
        <v>91</v>
      </c>
      <c r="AU2" s="7" t="s">
        <v>90</v>
      </c>
      <c r="AV2" s="7" t="s">
        <v>91</v>
      </c>
      <c r="AW2" s="7" t="s">
        <v>90</v>
      </c>
      <c r="AX2" s="7" t="s">
        <v>91</v>
      </c>
      <c r="AY2" s="7" t="s">
        <v>90</v>
      </c>
      <c r="AZ2" s="7" t="s">
        <v>91</v>
      </c>
      <c r="BA2" s="7" t="s">
        <v>90</v>
      </c>
      <c r="BB2" s="7" t="s">
        <v>91</v>
      </c>
      <c r="BC2" s="7" t="s">
        <v>90</v>
      </c>
      <c r="BD2" s="7" t="s">
        <v>91</v>
      </c>
      <c r="BE2" s="7" t="s">
        <v>90</v>
      </c>
      <c r="BF2" s="7" t="s">
        <v>91</v>
      </c>
      <c r="BG2" s="7" t="s">
        <v>90</v>
      </c>
      <c r="BH2" s="7" t="s">
        <v>91</v>
      </c>
      <c r="BI2" s="7" t="s">
        <v>90</v>
      </c>
      <c r="BJ2" s="7" t="s">
        <v>91</v>
      </c>
      <c r="BK2" s="7" t="s">
        <v>90</v>
      </c>
      <c r="BL2" s="7" t="s">
        <v>91</v>
      </c>
      <c r="BM2" s="7" t="s">
        <v>90</v>
      </c>
      <c r="BN2" s="7" t="s">
        <v>91</v>
      </c>
      <c r="BO2" s="7" t="s">
        <v>90</v>
      </c>
      <c r="BP2" s="7" t="s">
        <v>91</v>
      </c>
      <c r="BQ2" s="7" t="s">
        <v>90</v>
      </c>
      <c r="BR2" s="7" t="s">
        <v>91</v>
      </c>
      <c r="BS2" s="7" t="s">
        <v>90</v>
      </c>
      <c r="BT2" s="7" t="s">
        <v>91</v>
      </c>
      <c r="BU2" s="7" t="s">
        <v>90</v>
      </c>
      <c r="BV2" s="7" t="s">
        <v>91</v>
      </c>
      <c r="BW2" s="7" t="s">
        <v>90</v>
      </c>
      <c r="BX2" s="7" t="s">
        <v>91</v>
      </c>
      <c r="BY2" s="7" t="s">
        <v>90</v>
      </c>
      <c r="BZ2" s="7" t="s">
        <v>91</v>
      </c>
      <c r="CA2" s="7" t="s">
        <v>90</v>
      </c>
      <c r="CB2" s="7" t="s">
        <v>91</v>
      </c>
      <c r="CC2" s="7" t="s">
        <v>90</v>
      </c>
      <c r="CD2" s="7" t="s">
        <v>91</v>
      </c>
      <c r="CE2" s="7" t="s">
        <v>90</v>
      </c>
      <c r="CF2" s="7" t="s">
        <v>91</v>
      </c>
      <c r="CG2" s="7" t="s">
        <v>90</v>
      </c>
      <c r="CH2" s="7" t="s">
        <v>91</v>
      </c>
      <c r="CI2" s="7" t="s">
        <v>90</v>
      </c>
      <c r="CJ2" s="7" t="s">
        <v>91</v>
      </c>
      <c r="CK2" s="7" t="s">
        <v>90</v>
      </c>
      <c r="CL2" s="7" t="s">
        <v>91</v>
      </c>
      <c r="CM2" s="7" t="s">
        <v>90</v>
      </c>
      <c r="CN2" s="7" t="s">
        <v>91</v>
      </c>
      <c r="CO2" s="7" t="s">
        <v>90</v>
      </c>
      <c r="CP2" s="7" t="s">
        <v>91</v>
      </c>
      <c r="CQ2" s="7" t="s">
        <v>90</v>
      </c>
      <c r="CR2" s="7" t="s">
        <v>91</v>
      </c>
      <c r="CS2" s="7" t="s">
        <v>90</v>
      </c>
      <c r="CT2" s="7" t="s">
        <v>91</v>
      </c>
      <c r="CU2" s="7" t="s">
        <v>90</v>
      </c>
      <c r="CV2" s="7" t="s">
        <v>91</v>
      </c>
      <c r="CW2" s="7" t="s">
        <v>90</v>
      </c>
      <c r="CX2" s="7" t="s">
        <v>91</v>
      </c>
      <c r="CY2" s="7" t="s">
        <v>90</v>
      </c>
      <c r="CZ2" s="7" t="s">
        <v>91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</row>
    <row r="3" spans="1:122" ht="18" customHeight="1">
      <c r="A3" s="13" t="s">
        <v>3</v>
      </c>
      <c r="B3" s="14">
        <f>IFERROR(VLOOKUP(A3,PRICELIST!$A$3:$D$138,4,0),"-")</f>
        <v>167.79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9">
        <f>C3+E3+G3+I3+K3+M3+O3+Q3+S3+U3+W3+Y3+AA3+AC3+AE3+AG3+AI3+AK3+AM3+AO3+AQ3+AS3+AU3+AW3+AY3+BA3+BC3+BE3+BG3+BI3+BK3+BM3+BO3+BQ3+BS3+BU3+BW3+BY3+CA3+CC3+CE3+CG3+CI3+CK3+CM3+CO3+CQ3+CS3+CU3+CW3</f>
        <v>0</v>
      </c>
      <c r="CZ3" s="19">
        <f>D3+F3+H3+J3+L3+N3+P3+R3+T3+V3+X3+Z3+AB3+AD3+AF3+AH3+AJ3+AL3+AN3+AP3+AR3+AT3+AV3+AX3+AZ3+BB3+BD3+BF3+BH3+BJ3+BL3+BN3+BP3+BR3+BT3+BV3+BX3+BZ3+CB3+CD3+CF3+CH3+CJ3+CL3+CN3+CP3+CR3+CT3+CV3+CX3</f>
        <v>0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</row>
    <row r="4" spans="1:122" ht="18" customHeight="1">
      <c r="A4" s="13" t="s">
        <v>4</v>
      </c>
      <c r="B4" s="14">
        <f>IFERROR(VLOOKUP(A4,PRICELIST!$A$3:$D$138,4,0),"-")</f>
        <v>112.5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9">
        <f t="shared" ref="CY4:CZ9" si="0">C4+E4+G4+I4+K4+M4+O4+Q4+S4+U4+W4+Y4+AA4+AC4+AE4+AG4+AI4+AK4+AM4+AO4+AQ4+AS4+AU4+AW4+AY4+BA4+BC4+BE4+BG4+BI4+BK4+BM4+BO4+BQ4+BS4+BU4+BW4+BY4+CA4+CC4+CE4+CG4+CI4+CK4+CM4+CO4+CQ4+CS4+CU4+CW4</f>
        <v>0</v>
      </c>
      <c r="CZ4" s="19">
        <f t="shared" si="0"/>
        <v>0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</row>
    <row r="5" spans="1:122" ht="18" customHeight="1">
      <c r="A5" s="13" t="s">
        <v>5</v>
      </c>
      <c r="B5" s="14">
        <f>IFERROR(VLOOKUP(A5,PRICELIST!$A$3:$D$138,4,0),"-")</f>
        <v>127.87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9">
        <f t="shared" si="0"/>
        <v>0</v>
      </c>
      <c r="CZ5" s="19">
        <f t="shared" si="0"/>
        <v>0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</row>
    <row r="6" spans="1:122" ht="18" customHeight="1">
      <c r="A6" s="13" t="s">
        <v>6</v>
      </c>
      <c r="B6" s="14">
        <f>IFERROR(VLOOKUP(A6,PRICELIST!$A$3:$D$138,4,0),"-")</f>
        <v>88.7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9">
        <f t="shared" si="0"/>
        <v>0</v>
      </c>
      <c r="CZ6" s="19">
        <f t="shared" si="0"/>
        <v>0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</row>
    <row r="7" spans="1:122" ht="18" customHeight="1">
      <c r="A7" s="13" t="s">
        <v>78</v>
      </c>
      <c r="B7" s="14">
        <f>IFERROR(VLOOKUP(A7,PRICELIST!$A$3:$D$138,4,0),"-")</f>
        <v>171.64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9">
        <f t="shared" si="0"/>
        <v>0</v>
      </c>
      <c r="CZ7" s="19">
        <f t="shared" si="0"/>
        <v>0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</row>
    <row r="8" spans="1:122" ht="18" customHeight="1">
      <c r="A8" s="13" t="s">
        <v>7</v>
      </c>
      <c r="B8" s="14">
        <f>IFERROR(VLOOKUP(A8,PRICELIST!$A$3:$D$138,4,0),"-")</f>
        <v>216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9">
        <f t="shared" si="0"/>
        <v>0</v>
      </c>
      <c r="CZ8" s="19">
        <f t="shared" si="0"/>
        <v>0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</row>
    <row r="9" spans="1:122" ht="18" customHeight="1">
      <c r="A9" s="13" t="s">
        <v>8</v>
      </c>
      <c r="B9" s="14">
        <f>IFERROR(VLOOKUP(A9,PRICELIST!$A$3:$D$138,4,0),"-")</f>
        <v>163.93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9">
        <f t="shared" si="0"/>
        <v>0</v>
      </c>
      <c r="CZ9" s="19">
        <f t="shared" si="0"/>
        <v>0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</row>
    <row r="10" spans="1:122" ht="18" customHeight="1">
      <c r="A10" s="9" t="s">
        <v>9</v>
      </c>
      <c r="B10" s="10"/>
      <c r="C10" s="11">
        <f>SUMPRODUCT($B3:$B9,C3:C9)</f>
        <v>0</v>
      </c>
      <c r="D10" s="11">
        <f t="shared" ref="D10:BO10" si="1">SUMPRODUCT($B3:$B9,D3:D9)</f>
        <v>0</v>
      </c>
      <c r="E10" s="11">
        <f t="shared" si="1"/>
        <v>0</v>
      </c>
      <c r="F10" s="11">
        <f t="shared" si="1"/>
        <v>0</v>
      </c>
      <c r="G10" s="11">
        <f t="shared" si="1"/>
        <v>0</v>
      </c>
      <c r="H10" s="11">
        <f t="shared" si="1"/>
        <v>0</v>
      </c>
      <c r="I10" s="11">
        <f t="shared" si="1"/>
        <v>0</v>
      </c>
      <c r="J10" s="11">
        <f t="shared" si="1"/>
        <v>0</v>
      </c>
      <c r="K10" s="11">
        <f t="shared" si="1"/>
        <v>0</v>
      </c>
      <c r="L10" s="11">
        <f t="shared" si="1"/>
        <v>0</v>
      </c>
      <c r="M10" s="11">
        <f t="shared" si="1"/>
        <v>0</v>
      </c>
      <c r="N10" s="11">
        <f t="shared" si="1"/>
        <v>0</v>
      </c>
      <c r="O10" s="11">
        <f t="shared" si="1"/>
        <v>0</v>
      </c>
      <c r="P10" s="11">
        <f t="shared" si="1"/>
        <v>0</v>
      </c>
      <c r="Q10" s="11">
        <f t="shared" si="1"/>
        <v>0</v>
      </c>
      <c r="R10" s="11">
        <f t="shared" si="1"/>
        <v>0</v>
      </c>
      <c r="S10" s="11">
        <f t="shared" si="1"/>
        <v>0</v>
      </c>
      <c r="T10" s="11">
        <f t="shared" si="1"/>
        <v>0</v>
      </c>
      <c r="U10" s="11">
        <f t="shared" si="1"/>
        <v>0</v>
      </c>
      <c r="V10" s="11">
        <f t="shared" si="1"/>
        <v>0</v>
      </c>
      <c r="W10" s="11">
        <f t="shared" si="1"/>
        <v>0</v>
      </c>
      <c r="X10" s="11">
        <f t="shared" si="1"/>
        <v>0</v>
      </c>
      <c r="Y10" s="11">
        <f t="shared" si="1"/>
        <v>0</v>
      </c>
      <c r="Z10" s="11">
        <f t="shared" si="1"/>
        <v>0</v>
      </c>
      <c r="AA10" s="11">
        <f t="shared" si="1"/>
        <v>0</v>
      </c>
      <c r="AB10" s="11">
        <f t="shared" si="1"/>
        <v>0</v>
      </c>
      <c r="AC10" s="11">
        <f t="shared" si="1"/>
        <v>0</v>
      </c>
      <c r="AD10" s="11">
        <f t="shared" si="1"/>
        <v>0</v>
      </c>
      <c r="AE10" s="11">
        <f t="shared" si="1"/>
        <v>0</v>
      </c>
      <c r="AF10" s="11">
        <f t="shared" si="1"/>
        <v>0</v>
      </c>
      <c r="AG10" s="11">
        <f t="shared" si="1"/>
        <v>0</v>
      </c>
      <c r="AH10" s="11">
        <f t="shared" si="1"/>
        <v>0</v>
      </c>
      <c r="AI10" s="11">
        <f t="shared" si="1"/>
        <v>0</v>
      </c>
      <c r="AJ10" s="11">
        <f t="shared" si="1"/>
        <v>0</v>
      </c>
      <c r="AK10" s="11">
        <f t="shared" si="1"/>
        <v>0</v>
      </c>
      <c r="AL10" s="11">
        <f t="shared" si="1"/>
        <v>0</v>
      </c>
      <c r="AM10" s="11">
        <f t="shared" si="1"/>
        <v>0</v>
      </c>
      <c r="AN10" s="11">
        <f t="shared" si="1"/>
        <v>0</v>
      </c>
      <c r="AO10" s="11">
        <f t="shared" si="1"/>
        <v>0</v>
      </c>
      <c r="AP10" s="11">
        <f t="shared" si="1"/>
        <v>0</v>
      </c>
      <c r="AQ10" s="11">
        <f t="shared" si="1"/>
        <v>0</v>
      </c>
      <c r="AR10" s="11">
        <f t="shared" si="1"/>
        <v>0</v>
      </c>
      <c r="AS10" s="11">
        <f t="shared" si="1"/>
        <v>0</v>
      </c>
      <c r="AT10" s="11">
        <f t="shared" si="1"/>
        <v>0</v>
      </c>
      <c r="AU10" s="11">
        <f t="shared" si="1"/>
        <v>0</v>
      </c>
      <c r="AV10" s="11">
        <f t="shared" si="1"/>
        <v>0</v>
      </c>
      <c r="AW10" s="11">
        <f t="shared" si="1"/>
        <v>0</v>
      </c>
      <c r="AX10" s="11">
        <f t="shared" si="1"/>
        <v>0</v>
      </c>
      <c r="AY10" s="11">
        <f t="shared" si="1"/>
        <v>0</v>
      </c>
      <c r="AZ10" s="11">
        <f t="shared" si="1"/>
        <v>0</v>
      </c>
      <c r="BA10" s="11">
        <f t="shared" si="1"/>
        <v>0</v>
      </c>
      <c r="BB10" s="11">
        <f t="shared" si="1"/>
        <v>0</v>
      </c>
      <c r="BC10" s="11">
        <f t="shared" si="1"/>
        <v>0</v>
      </c>
      <c r="BD10" s="11">
        <f t="shared" si="1"/>
        <v>0</v>
      </c>
      <c r="BE10" s="11">
        <f t="shared" si="1"/>
        <v>0</v>
      </c>
      <c r="BF10" s="11">
        <f t="shared" si="1"/>
        <v>0</v>
      </c>
      <c r="BG10" s="11">
        <f t="shared" si="1"/>
        <v>0</v>
      </c>
      <c r="BH10" s="11">
        <f t="shared" si="1"/>
        <v>0</v>
      </c>
      <c r="BI10" s="11">
        <f t="shared" si="1"/>
        <v>0</v>
      </c>
      <c r="BJ10" s="11">
        <f t="shared" si="1"/>
        <v>0</v>
      </c>
      <c r="BK10" s="11">
        <f t="shared" si="1"/>
        <v>0</v>
      </c>
      <c r="BL10" s="11">
        <f t="shared" si="1"/>
        <v>0</v>
      </c>
      <c r="BM10" s="11">
        <f t="shared" si="1"/>
        <v>0</v>
      </c>
      <c r="BN10" s="11">
        <f t="shared" si="1"/>
        <v>0</v>
      </c>
      <c r="BO10" s="11">
        <f t="shared" si="1"/>
        <v>0</v>
      </c>
      <c r="BP10" s="11">
        <f t="shared" ref="BP10:CZ10" si="2">SUMPRODUCT($B3:$B9,BP3:BP9)</f>
        <v>0</v>
      </c>
      <c r="BQ10" s="11">
        <f t="shared" si="2"/>
        <v>0</v>
      </c>
      <c r="BR10" s="11">
        <f t="shared" si="2"/>
        <v>0</v>
      </c>
      <c r="BS10" s="11">
        <f t="shared" si="2"/>
        <v>0</v>
      </c>
      <c r="BT10" s="11">
        <f t="shared" si="2"/>
        <v>0</v>
      </c>
      <c r="BU10" s="11">
        <f t="shared" si="2"/>
        <v>0</v>
      </c>
      <c r="BV10" s="11">
        <f t="shared" si="2"/>
        <v>0</v>
      </c>
      <c r="BW10" s="11">
        <f t="shared" si="2"/>
        <v>0</v>
      </c>
      <c r="BX10" s="11">
        <f t="shared" si="2"/>
        <v>0</v>
      </c>
      <c r="BY10" s="11">
        <f t="shared" si="2"/>
        <v>0</v>
      </c>
      <c r="BZ10" s="11">
        <f t="shared" si="2"/>
        <v>0</v>
      </c>
      <c r="CA10" s="11">
        <f t="shared" si="2"/>
        <v>0</v>
      </c>
      <c r="CB10" s="11">
        <f t="shared" si="2"/>
        <v>0</v>
      </c>
      <c r="CC10" s="11">
        <f t="shared" si="2"/>
        <v>0</v>
      </c>
      <c r="CD10" s="11">
        <f t="shared" si="2"/>
        <v>0</v>
      </c>
      <c r="CE10" s="11">
        <f t="shared" si="2"/>
        <v>0</v>
      </c>
      <c r="CF10" s="11">
        <f t="shared" si="2"/>
        <v>0</v>
      </c>
      <c r="CG10" s="11">
        <f t="shared" si="2"/>
        <v>0</v>
      </c>
      <c r="CH10" s="11">
        <f t="shared" si="2"/>
        <v>0</v>
      </c>
      <c r="CI10" s="11">
        <f t="shared" si="2"/>
        <v>0</v>
      </c>
      <c r="CJ10" s="11">
        <f t="shared" si="2"/>
        <v>0</v>
      </c>
      <c r="CK10" s="11">
        <f t="shared" si="2"/>
        <v>0</v>
      </c>
      <c r="CL10" s="11">
        <f t="shared" si="2"/>
        <v>0</v>
      </c>
      <c r="CM10" s="11">
        <f t="shared" si="2"/>
        <v>0</v>
      </c>
      <c r="CN10" s="11">
        <f t="shared" si="2"/>
        <v>0</v>
      </c>
      <c r="CO10" s="11">
        <f t="shared" si="2"/>
        <v>0</v>
      </c>
      <c r="CP10" s="11">
        <f t="shared" si="2"/>
        <v>0</v>
      </c>
      <c r="CQ10" s="11">
        <f t="shared" si="2"/>
        <v>0</v>
      </c>
      <c r="CR10" s="11">
        <f t="shared" si="2"/>
        <v>0</v>
      </c>
      <c r="CS10" s="11">
        <f t="shared" si="2"/>
        <v>0</v>
      </c>
      <c r="CT10" s="11">
        <f t="shared" si="2"/>
        <v>0</v>
      </c>
      <c r="CU10" s="11">
        <f t="shared" si="2"/>
        <v>0</v>
      </c>
      <c r="CV10" s="11">
        <f t="shared" si="2"/>
        <v>0</v>
      </c>
      <c r="CW10" s="11">
        <f t="shared" si="2"/>
        <v>0</v>
      </c>
      <c r="CX10" s="11">
        <f t="shared" si="2"/>
        <v>0</v>
      </c>
      <c r="CY10" s="11">
        <f t="shared" si="2"/>
        <v>0</v>
      </c>
      <c r="CZ10" s="11">
        <f t="shared" si="2"/>
        <v>0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</row>
    <row r="11" spans="1:122" ht="18" customHeight="1">
      <c r="A11" s="4" t="s">
        <v>127</v>
      </c>
      <c r="B11" s="14">
        <f>IFERROR(VLOOKUP(A11,PRICELIST!$A$3:$D$138,4,0),"-")</f>
        <v>432.21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9">
        <f t="shared" ref="CY11:CZ19" si="3">C11+E11+G11+I11+K11+M11+O11+Q11+S11+U11+W11+Y11+AA11+AC11+AE11+AG11+AI11+AK11+AM11+AO11+AQ11+AS11+AU11+AW11+AY11+BA11+BC11+BE11+BG11+BI11+BK11+BM11+BO11+BQ11+BS11+BU11+BW11+BY11+CA11+CC11+CE11+CG11+CI11+CK11+CM11+CO11+CQ11+CS11+CU11+CW11</f>
        <v>0</v>
      </c>
      <c r="CZ11" s="19">
        <f t="shared" si="3"/>
        <v>0</v>
      </c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</row>
    <row r="12" spans="1:122" ht="18" customHeight="1">
      <c r="A12" s="4" t="s">
        <v>128</v>
      </c>
      <c r="B12" s="14">
        <f>IFERROR(VLOOKUP(A12,PRICELIST!$A$3:$D$138,4,0),"-")</f>
        <v>107.11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9">
        <f t="shared" si="3"/>
        <v>0</v>
      </c>
      <c r="CZ12" s="19">
        <f t="shared" si="3"/>
        <v>0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</row>
    <row r="13" spans="1:122" ht="18" customHeight="1">
      <c r="A13" s="4" t="s">
        <v>129</v>
      </c>
      <c r="B13" s="14">
        <f>IFERROR(VLOOKUP(A13,PRICELIST!$A$3:$D$138,4,0),"-")</f>
        <v>205.07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9">
        <f t="shared" si="3"/>
        <v>0</v>
      </c>
      <c r="CZ13" s="19">
        <f t="shared" si="3"/>
        <v>0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</row>
    <row r="14" spans="1:122" ht="18" customHeight="1">
      <c r="A14" s="4" t="s">
        <v>130</v>
      </c>
      <c r="B14" s="14">
        <f>IFERROR(VLOOKUP(A14,PRICELIST!$A$3:$D$138,4,0),"-")</f>
        <v>322.70999999999998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9">
        <f t="shared" si="3"/>
        <v>0</v>
      </c>
      <c r="CZ14" s="19">
        <f t="shared" si="3"/>
        <v>0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</row>
    <row r="15" spans="1:122" ht="18" customHeight="1">
      <c r="A15" s="4" t="s">
        <v>118</v>
      </c>
      <c r="B15" s="14">
        <f>IFERROR(VLOOKUP(A15,PRICELIST!$A$3:$D$138,4,0),"-")</f>
        <v>272.23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9">
        <f t="shared" si="3"/>
        <v>0</v>
      </c>
      <c r="CZ15" s="19">
        <f t="shared" si="3"/>
        <v>0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</row>
    <row r="16" spans="1:122" ht="18" customHeight="1">
      <c r="A16" s="4" t="s">
        <v>119</v>
      </c>
      <c r="B16" s="14">
        <f>IFERROR(VLOOKUP(A16,PRICELIST!$A$3:$D$138,4,0),"-")</f>
        <v>352.76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9">
        <f t="shared" si="3"/>
        <v>0</v>
      </c>
      <c r="CZ16" s="19">
        <f t="shared" si="3"/>
        <v>0</v>
      </c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</row>
    <row r="17" spans="1:122" ht="18" customHeight="1">
      <c r="A17" s="4" t="s">
        <v>120</v>
      </c>
      <c r="B17" s="14">
        <f>IFERROR(VLOOKUP(A17,PRICELIST!$A$3:$D$138,4,0),"-")</f>
        <v>137.57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9">
        <f t="shared" si="3"/>
        <v>0</v>
      </c>
      <c r="CZ17" s="19">
        <f t="shared" si="3"/>
        <v>0</v>
      </c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</row>
    <row r="18" spans="1:122" ht="18" customHeight="1">
      <c r="A18" s="32" t="s">
        <v>124</v>
      </c>
      <c r="B18" s="14">
        <f>IFERROR(VLOOKUP(A18,PRICELIST!$A$3:$D$138,4,0),"-")</f>
        <v>647.36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9">
        <f t="shared" si="3"/>
        <v>0</v>
      </c>
      <c r="CZ18" s="19">
        <f t="shared" si="3"/>
        <v>0</v>
      </c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</row>
    <row r="19" spans="1:122" ht="18" customHeight="1">
      <c r="A19" s="4" t="s">
        <v>79</v>
      </c>
      <c r="B19" s="14">
        <f>IFERROR(VLOOKUP(A19,PRICELIST!$A$3:$D$138,4,0),"-")</f>
        <v>110.25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9">
        <f t="shared" si="3"/>
        <v>0</v>
      </c>
      <c r="CZ19" s="19">
        <f t="shared" si="3"/>
        <v>0</v>
      </c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</row>
    <row r="20" spans="1:122" ht="18" customHeight="1">
      <c r="A20" s="33" t="s">
        <v>125</v>
      </c>
      <c r="B20" s="15"/>
      <c r="C20" s="11">
        <f t="shared" ref="C20:BN20" si="4">SUMPRODUCT($B11:$B19,C11:C19)</f>
        <v>0</v>
      </c>
      <c r="D20" s="11">
        <f t="shared" si="4"/>
        <v>0</v>
      </c>
      <c r="E20" s="11">
        <f t="shared" si="4"/>
        <v>0</v>
      </c>
      <c r="F20" s="11">
        <f t="shared" si="4"/>
        <v>0</v>
      </c>
      <c r="G20" s="11">
        <f t="shared" si="4"/>
        <v>0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0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0</v>
      </c>
      <c r="X20" s="11">
        <f t="shared" si="4"/>
        <v>0</v>
      </c>
      <c r="Y20" s="11">
        <f t="shared" si="4"/>
        <v>0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  <c r="AI20" s="11">
        <f t="shared" si="4"/>
        <v>0</v>
      </c>
      <c r="AJ20" s="11">
        <f t="shared" si="4"/>
        <v>0</v>
      </c>
      <c r="AK20" s="11">
        <f t="shared" si="4"/>
        <v>0</v>
      </c>
      <c r="AL20" s="11">
        <f t="shared" si="4"/>
        <v>0</v>
      </c>
      <c r="AM20" s="11">
        <f t="shared" si="4"/>
        <v>0</v>
      </c>
      <c r="AN20" s="11">
        <f t="shared" si="4"/>
        <v>0</v>
      </c>
      <c r="AO20" s="11">
        <f t="shared" si="4"/>
        <v>0</v>
      </c>
      <c r="AP20" s="11">
        <f t="shared" si="4"/>
        <v>0</v>
      </c>
      <c r="AQ20" s="11">
        <f t="shared" si="4"/>
        <v>0</v>
      </c>
      <c r="AR20" s="11">
        <f t="shared" si="4"/>
        <v>0</v>
      </c>
      <c r="AS20" s="11">
        <f t="shared" si="4"/>
        <v>0</v>
      </c>
      <c r="AT20" s="11">
        <f t="shared" si="4"/>
        <v>0</v>
      </c>
      <c r="AU20" s="11">
        <f t="shared" si="4"/>
        <v>0</v>
      </c>
      <c r="AV20" s="11">
        <f t="shared" si="4"/>
        <v>0</v>
      </c>
      <c r="AW20" s="11">
        <f t="shared" si="4"/>
        <v>0</v>
      </c>
      <c r="AX20" s="11">
        <f t="shared" si="4"/>
        <v>0</v>
      </c>
      <c r="AY20" s="11">
        <f t="shared" si="4"/>
        <v>0</v>
      </c>
      <c r="AZ20" s="11">
        <f t="shared" si="4"/>
        <v>0</v>
      </c>
      <c r="BA20" s="11">
        <f t="shared" si="4"/>
        <v>0</v>
      </c>
      <c r="BB20" s="11">
        <f t="shared" si="4"/>
        <v>0</v>
      </c>
      <c r="BC20" s="11">
        <f t="shared" si="4"/>
        <v>0</v>
      </c>
      <c r="BD20" s="11">
        <f t="shared" si="4"/>
        <v>0</v>
      </c>
      <c r="BE20" s="11">
        <f t="shared" si="4"/>
        <v>0</v>
      </c>
      <c r="BF20" s="11">
        <f t="shared" si="4"/>
        <v>0</v>
      </c>
      <c r="BG20" s="11">
        <f t="shared" si="4"/>
        <v>0</v>
      </c>
      <c r="BH20" s="11">
        <f t="shared" si="4"/>
        <v>0</v>
      </c>
      <c r="BI20" s="11">
        <f t="shared" si="4"/>
        <v>0</v>
      </c>
      <c r="BJ20" s="11">
        <f t="shared" si="4"/>
        <v>0</v>
      </c>
      <c r="BK20" s="11">
        <f t="shared" si="4"/>
        <v>0</v>
      </c>
      <c r="BL20" s="11">
        <f t="shared" si="4"/>
        <v>0</v>
      </c>
      <c r="BM20" s="11">
        <f t="shared" si="4"/>
        <v>0</v>
      </c>
      <c r="BN20" s="11">
        <f t="shared" si="4"/>
        <v>0</v>
      </c>
      <c r="BO20" s="11">
        <f t="shared" ref="BO20:CZ20" si="5">SUMPRODUCT($B11:$B19,BO11:BO19)</f>
        <v>0</v>
      </c>
      <c r="BP20" s="11">
        <f t="shared" si="5"/>
        <v>0</v>
      </c>
      <c r="BQ20" s="11">
        <f t="shared" si="5"/>
        <v>0</v>
      </c>
      <c r="BR20" s="11">
        <f t="shared" si="5"/>
        <v>0</v>
      </c>
      <c r="BS20" s="11">
        <f t="shared" si="5"/>
        <v>0</v>
      </c>
      <c r="BT20" s="11">
        <f t="shared" si="5"/>
        <v>0</v>
      </c>
      <c r="BU20" s="11">
        <f t="shared" si="5"/>
        <v>0</v>
      </c>
      <c r="BV20" s="11">
        <f t="shared" si="5"/>
        <v>0</v>
      </c>
      <c r="BW20" s="11">
        <f t="shared" si="5"/>
        <v>0</v>
      </c>
      <c r="BX20" s="11">
        <f t="shared" si="5"/>
        <v>0</v>
      </c>
      <c r="BY20" s="11">
        <f t="shared" si="5"/>
        <v>0</v>
      </c>
      <c r="BZ20" s="11">
        <f t="shared" si="5"/>
        <v>0</v>
      </c>
      <c r="CA20" s="11">
        <f t="shared" si="5"/>
        <v>0</v>
      </c>
      <c r="CB20" s="11">
        <f t="shared" si="5"/>
        <v>0</v>
      </c>
      <c r="CC20" s="11">
        <f t="shared" si="5"/>
        <v>0</v>
      </c>
      <c r="CD20" s="11">
        <f t="shared" si="5"/>
        <v>0</v>
      </c>
      <c r="CE20" s="11">
        <f t="shared" si="5"/>
        <v>0</v>
      </c>
      <c r="CF20" s="11">
        <f t="shared" si="5"/>
        <v>0</v>
      </c>
      <c r="CG20" s="11">
        <f t="shared" si="5"/>
        <v>0</v>
      </c>
      <c r="CH20" s="11">
        <f t="shared" si="5"/>
        <v>0</v>
      </c>
      <c r="CI20" s="11">
        <f t="shared" si="5"/>
        <v>0</v>
      </c>
      <c r="CJ20" s="11">
        <f t="shared" si="5"/>
        <v>0</v>
      </c>
      <c r="CK20" s="11">
        <f t="shared" si="5"/>
        <v>0</v>
      </c>
      <c r="CL20" s="11">
        <f t="shared" si="5"/>
        <v>0</v>
      </c>
      <c r="CM20" s="11">
        <f t="shared" si="5"/>
        <v>0</v>
      </c>
      <c r="CN20" s="11">
        <f t="shared" si="5"/>
        <v>0</v>
      </c>
      <c r="CO20" s="11">
        <f t="shared" si="5"/>
        <v>0</v>
      </c>
      <c r="CP20" s="11">
        <f t="shared" si="5"/>
        <v>0</v>
      </c>
      <c r="CQ20" s="11">
        <f t="shared" si="5"/>
        <v>0</v>
      </c>
      <c r="CR20" s="11">
        <f t="shared" si="5"/>
        <v>0</v>
      </c>
      <c r="CS20" s="11">
        <f t="shared" si="5"/>
        <v>0</v>
      </c>
      <c r="CT20" s="11">
        <f t="shared" si="5"/>
        <v>0</v>
      </c>
      <c r="CU20" s="11">
        <f t="shared" si="5"/>
        <v>0</v>
      </c>
      <c r="CV20" s="11">
        <f t="shared" si="5"/>
        <v>0</v>
      </c>
      <c r="CW20" s="11">
        <f t="shared" si="5"/>
        <v>0</v>
      </c>
      <c r="CX20" s="11">
        <f t="shared" si="5"/>
        <v>0</v>
      </c>
      <c r="CY20" s="11">
        <f t="shared" si="5"/>
        <v>0</v>
      </c>
      <c r="CZ20" s="11">
        <f t="shared" si="5"/>
        <v>0</v>
      </c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</row>
    <row r="21" spans="1:122" ht="18" customHeight="1">
      <c r="A21" s="13" t="s">
        <v>80</v>
      </c>
      <c r="B21" s="14">
        <f>IFERROR(VLOOKUP(A21,PRICELIST!$A$3:$D$138,4,0),"-")</f>
        <v>128.88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9">
        <f t="shared" ref="CY21:CZ23" si="6">C21+E21+G21+I21+K21+M21+O21+Q21+S21+U21+W21+Y21+AA21+AC21+AE21+AG21+AI21+AK21+AM21+AO21+AQ21+AS21+AU21+AW21+AY21+BA21+BC21+BE21+BG21+BI21+BK21+BM21+BO21+BQ21+BS21+BU21+BW21+BY21+CA21+CC21+CE21+CG21+CI21+CK21+CM21+CO21+CQ21+CS21+CU21+CW21</f>
        <v>0</v>
      </c>
      <c r="CZ21" s="19">
        <f t="shared" si="6"/>
        <v>0</v>
      </c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</row>
    <row r="22" spans="1:122" ht="18" customHeight="1">
      <c r="A22" s="13" t="s">
        <v>10</v>
      </c>
      <c r="B22" s="14">
        <f>IFERROR(VLOOKUP(A22,PRICELIST!$A$3:$D$138,4,0),"-")</f>
        <v>120.53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9">
        <f t="shared" si="6"/>
        <v>0</v>
      </c>
      <c r="CZ22" s="19">
        <f t="shared" si="6"/>
        <v>0</v>
      </c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</row>
    <row r="23" spans="1:122" ht="18" customHeight="1">
      <c r="A23" s="13" t="s">
        <v>11</v>
      </c>
      <c r="B23" s="14">
        <f>IFERROR(VLOOKUP(A23,PRICELIST!$A$3:$D$138,4,0),"-")</f>
        <v>144.29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9">
        <f t="shared" si="6"/>
        <v>0</v>
      </c>
      <c r="CZ23" s="19">
        <f t="shared" si="6"/>
        <v>0</v>
      </c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</row>
    <row r="24" spans="1:122" ht="18" customHeight="1">
      <c r="A24" s="9" t="s">
        <v>12</v>
      </c>
      <c r="B24" s="10"/>
      <c r="C24" s="11">
        <f>SUMPRODUCT($B21:$B23,C21:C23)</f>
        <v>0</v>
      </c>
      <c r="D24" s="11">
        <f t="shared" ref="D24:BO24" si="7">SUMPRODUCT($B21:$B23,D21:D23)</f>
        <v>0</v>
      </c>
      <c r="E24" s="11">
        <f t="shared" si="7"/>
        <v>0</v>
      </c>
      <c r="F24" s="11">
        <f t="shared" si="7"/>
        <v>0</v>
      </c>
      <c r="G24" s="11">
        <f t="shared" si="7"/>
        <v>0</v>
      </c>
      <c r="H24" s="11">
        <f t="shared" si="7"/>
        <v>0</v>
      </c>
      <c r="I24" s="11">
        <f t="shared" si="7"/>
        <v>0</v>
      </c>
      <c r="J24" s="11">
        <f t="shared" si="7"/>
        <v>0</v>
      </c>
      <c r="K24" s="11">
        <f t="shared" si="7"/>
        <v>0</v>
      </c>
      <c r="L24" s="11">
        <f t="shared" si="7"/>
        <v>0</v>
      </c>
      <c r="M24" s="11">
        <f t="shared" si="7"/>
        <v>0</v>
      </c>
      <c r="N24" s="11">
        <f t="shared" si="7"/>
        <v>0</v>
      </c>
      <c r="O24" s="11">
        <f t="shared" si="7"/>
        <v>0</v>
      </c>
      <c r="P24" s="11">
        <f t="shared" si="7"/>
        <v>0</v>
      </c>
      <c r="Q24" s="11">
        <f t="shared" si="7"/>
        <v>0</v>
      </c>
      <c r="R24" s="11">
        <f t="shared" si="7"/>
        <v>0</v>
      </c>
      <c r="S24" s="11">
        <f t="shared" si="7"/>
        <v>0</v>
      </c>
      <c r="T24" s="11">
        <f t="shared" si="7"/>
        <v>0</v>
      </c>
      <c r="U24" s="11">
        <f t="shared" si="7"/>
        <v>0</v>
      </c>
      <c r="V24" s="11">
        <f t="shared" si="7"/>
        <v>0</v>
      </c>
      <c r="W24" s="11">
        <f t="shared" si="7"/>
        <v>0</v>
      </c>
      <c r="X24" s="11">
        <f t="shared" si="7"/>
        <v>0</v>
      </c>
      <c r="Y24" s="11">
        <f t="shared" si="7"/>
        <v>0</v>
      </c>
      <c r="Z24" s="11">
        <f t="shared" si="7"/>
        <v>0</v>
      </c>
      <c r="AA24" s="11">
        <f t="shared" si="7"/>
        <v>0</v>
      </c>
      <c r="AB24" s="11">
        <f t="shared" si="7"/>
        <v>0</v>
      </c>
      <c r="AC24" s="11">
        <f t="shared" si="7"/>
        <v>0</v>
      </c>
      <c r="AD24" s="11">
        <f t="shared" si="7"/>
        <v>0</v>
      </c>
      <c r="AE24" s="11">
        <f t="shared" si="7"/>
        <v>0</v>
      </c>
      <c r="AF24" s="11">
        <f t="shared" si="7"/>
        <v>0</v>
      </c>
      <c r="AG24" s="11">
        <f t="shared" si="7"/>
        <v>0</v>
      </c>
      <c r="AH24" s="11">
        <f t="shared" si="7"/>
        <v>0</v>
      </c>
      <c r="AI24" s="11">
        <f t="shared" si="7"/>
        <v>0</v>
      </c>
      <c r="AJ24" s="11">
        <f t="shared" si="7"/>
        <v>0</v>
      </c>
      <c r="AK24" s="11">
        <f t="shared" si="7"/>
        <v>0</v>
      </c>
      <c r="AL24" s="11">
        <f t="shared" si="7"/>
        <v>0</v>
      </c>
      <c r="AM24" s="11">
        <f t="shared" si="7"/>
        <v>0</v>
      </c>
      <c r="AN24" s="11">
        <f t="shared" si="7"/>
        <v>0</v>
      </c>
      <c r="AO24" s="11">
        <f t="shared" si="7"/>
        <v>0</v>
      </c>
      <c r="AP24" s="11">
        <f t="shared" si="7"/>
        <v>0</v>
      </c>
      <c r="AQ24" s="11">
        <f t="shared" si="7"/>
        <v>0</v>
      </c>
      <c r="AR24" s="11">
        <f t="shared" si="7"/>
        <v>0</v>
      </c>
      <c r="AS24" s="11">
        <f t="shared" si="7"/>
        <v>0</v>
      </c>
      <c r="AT24" s="11">
        <f t="shared" si="7"/>
        <v>0</v>
      </c>
      <c r="AU24" s="11">
        <f t="shared" si="7"/>
        <v>0</v>
      </c>
      <c r="AV24" s="11">
        <f t="shared" si="7"/>
        <v>0</v>
      </c>
      <c r="AW24" s="11">
        <f t="shared" si="7"/>
        <v>0</v>
      </c>
      <c r="AX24" s="11">
        <f t="shared" si="7"/>
        <v>0</v>
      </c>
      <c r="AY24" s="11">
        <f t="shared" si="7"/>
        <v>0</v>
      </c>
      <c r="AZ24" s="11">
        <f t="shared" si="7"/>
        <v>0</v>
      </c>
      <c r="BA24" s="11">
        <f t="shared" si="7"/>
        <v>0</v>
      </c>
      <c r="BB24" s="11">
        <f t="shared" si="7"/>
        <v>0</v>
      </c>
      <c r="BC24" s="11">
        <f t="shared" si="7"/>
        <v>0</v>
      </c>
      <c r="BD24" s="11">
        <f t="shared" si="7"/>
        <v>0</v>
      </c>
      <c r="BE24" s="11">
        <f t="shared" si="7"/>
        <v>0</v>
      </c>
      <c r="BF24" s="11">
        <f t="shared" si="7"/>
        <v>0</v>
      </c>
      <c r="BG24" s="11">
        <f t="shared" si="7"/>
        <v>0</v>
      </c>
      <c r="BH24" s="11">
        <f t="shared" si="7"/>
        <v>0</v>
      </c>
      <c r="BI24" s="11">
        <f t="shared" si="7"/>
        <v>0</v>
      </c>
      <c r="BJ24" s="11">
        <f t="shared" si="7"/>
        <v>0</v>
      </c>
      <c r="BK24" s="11">
        <f t="shared" si="7"/>
        <v>0</v>
      </c>
      <c r="BL24" s="11">
        <f t="shared" si="7"/>
        <v>0</v>
      </c>
      <c r="BM24" s="11">
        <f t="shared" si="7"/>
        <v>0</v>
      </c>
      <c r="BN24" s="11">
        <f t="shared" si="7"/>
        <v>0</v>
      </c>
      <c r="BO24" s="11">
        <f t="shared" si="7"/>
        <v>0</v>
      </c>
      <c r="BP24" s="11">
        <f t="shared" ref="BP24:CZ24" si="8">SUMPRODUCT($B21:$B23,BP21:BP23)</f>
        <v>0</v>
      </c>
      <c r="BQ24" s="11">
        <f t="shared" si="8"/>
        <v>0</v>
      </c>
      <c r="BR24" s="11">
        <f t="shared" si="8"/>
        <v>0</v>
      </c>
      <c r="BS24" s="11">
        <f t="shared" si="8"/>
        <v>0</v>
      </c>
      <c r="BT24" s="11">
        <f t="shared" si="8"/>
        <v>0</v>
      </c>
      <c r="BU24" s="11">
        <f t="shared" si="8"/>
        <v>0</v>
      </c>
      <c r="BV24" s="11">
        <f t="shared" si="8"/>
        <v>0</v>
      </c>
      <c r="BW24" s="11">
        <f t="shared" si="8"/>
        <v>0</v>
      </c>
      <c r="BX24" s="11">
        <f t="shared" si="8"/>
        <v>0</v>
      </c>
      <c r="BY24" s="11">
        <f t="shared" si="8"/>
        <v>0</v>
      </c>
      <c r="BZ24" s="11">
        <f t="shared" si="8"/>
        <v>0</v>
      </c>
      <c r="CA24" s="11">
        <f t="shared" si="8"/>
        <v>0</v>
      </c>
      <c r="CB24" s="11">
        <f t="shared" si="8"/>
        <v>0</v>
      </c>
      <c r="CC24" s="11">
        <f t="shared" si="8"/>
        <v>0</v>
      </c>
      <c r="CD24" s="11">
        <f t="shared" si="8"/>
        <v>0</v>
      </c>
      <c r="CE24" s="11">
        <f t="shared" si="8"/>
        <v>0</v>
      </c>
      <c r="CF24" s="11">
        <f t="shared" si="8"/>
        <v>0</v>
      </c>
      <c r="CG24" s="11">
        <f t="shared" si="8"/>
        <v>0</v>
      </c>
      <c r="CH24" s="11">
        <f t="shared" si="8"/>
        <v>0</v>
      </c>
      <c r="CI24" s="11">
        <f t="shared" si="8"/>
        <v>0</v>
      </c>
      <c r="CJ24" s="11">
        <f t="shared" si="8"/>
        <v>0</v>
      </c>
      <c r="CK24" s="11">
        <f t="shared" si="8"/>
        <v>0</v>
      </c>
      <c r="CL24" s="11">
        <f t="shared" si="8"/>
        <v>0</v>
      </c>
      <c r="CM24" s="11">
        <f t="shared" si="8"/>
        <v>0</v>
      </c>
      <c r="CN24" s="11">
        <f t="shared" si="8"/>
        <v>0</v>
      </c>
      <c r="CO24" s="11">
        <f t="shared" si="8"/>
        <v>0</v>
      </c>
      <c r="CP24" s="11">
        <f t="shared" si="8"/>
        <v>0</v>
      </c>
      <c r="CQ24" s="11">
        <f t="shared" si="8"/>
        <v>0</v>
      </c>
      <c r="CR24" s="11">
        <f t="shared" si="8"/>
        <v>0</v>
      </c>
      <c r="CS24" s="11">
        <f t="shared" si="8"/>
        <v>0</v>
      </c>
      <c r="CT24" s="11">
        <f t="shared" si="8"/>
        <v>0</v>
      </c>
      <c r="CU24" s="11">
        <f t="shared" si="8"/>
        <v>0</v>
      </c>
      <c r="CV24" s="11">
        <f t="shared" si="8"/>
        <v>0</v>
      </c>
      <c r="CW24" s="11">
        <f t="shared" si="8"/>
        <v>0</v>
      </c>
      <c r="CX24" s="11">
        <f t="shared" si="8"/>
        <v>0</v>
      </c>
      <c r="CY24" s="11">
        <f t="shared" si="8"/>
        <v>0</v>
      </c>
      <c r="CZ24" s="11">
        <f t="shared" si="8"/>
        <v>0</v>
      </c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</row>
    <row r="25" spans="1:122" ht="18" customHeight="1">
      <c r="A25" s="13" t="s">
        <v>13</v>
      </c>
      <c r="B25" s="14">
        <f>IFERROR(VLOOKUP(A25,PRICELIST!$A$3:$D$138,4,0),"-")</f>
        <v>110.57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9">
        <f t="shared" ref="CY25:CZ26" si="9">C25+E25+G25+I25+K25+M25+O25+Q25+S25+U25+W25+Y25+AA25+AC25+AE25+AG25+AI25+AK25+AM25+AO25+AQ25+AS25+AU25+AW25+AY25+BA25+BC25+BE25+BG25+BI25+BK25+BM25+BO25+BQ25+BS25+BU25+BW25+BY25+CA25+CC25+CE25+CG25+CI25+CK25+CM25+CO25+CQ25+CS25+CU25+CW25</f>
        <v>0</v>
      </c>
      <c r="CZ25" s="19">
        <f t="shared" si="9"/>
        <v>0</v>
      </c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</row>
    <row r="26" spans="1:122" ht="18" customHeight="1">
      <c r="A26" s="13" t="s">
        <v>14</v>
      </c>
      <c r="B26" s="14">
        <f>IFERROR(VLOOKUP(A26,PRICELIST!$A$3:$D$138,4,0),"-")</f>
        <v>184.82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9">
        <f t="shared" si="9"/>
        <v>0</v>
      </c>
      <c r="CZ26" s="19">
        <f t="shared" si="9"/>
        <v>0</v>
      </c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</row>
    <row r="27" spans="1:122" ht="18" customHeight="1">
      <c r="A27" s="9" t="s">
        <v>15</v>
      </c>
      <c r="B27" s="10"/>
      <c r="C27" s="11">
        <f>SUMPRODUCT($B25:$B26,C25:C26)</f>
        <v>0</v>
      </c>
      <c r="D27" s="11">
        <f t="shared" ref="D27:BO27" si="10">SUMPRODUCT($B25:$B26,D25:D26)</f>
        <v>0</v>
      </c>
      <c r="E27" s="11">
        <f t="shared" si="10"/>
        <v>0</v>
      </c>
      <c r="F27" s="11">
        <f t="shared" si="10"/>
        <v>0</v>
      </c>
      <c r="G27" s="11">
        <f t="shared" si="10"/>
        <v>0</v>
      </c>
      <c r="H27" s="11">
        <f t="shared" si="10"/>
        <v>0</v>
      </c>
      <c r="I27" s="11">
        <f t="shared" si="10"/>
        <v>0</v>
      </c>
      <c r="J27" s="11">
        <f t="shared" si="10"/>
        <v>0</v>
      </c>
      <c r="K27" s="11">
        <f t="shared" si="10"/>
        <v>0</v>
      </c>
      <c r="L27" s="11">
        <f t="shared" si="10"/>
        <v>0</v>
      </c>
      <c r="M27" s="11">
        <f t="shared" si="10"/>
        <v>0</v>
      </c>
      <c r="N27" s="11">
        <f t="shared" si="10"/>
        <v>0</v>
      </c>
      <c r="O27" s="11">
        <f t="shared" si="10"/>
        <v>0</v>
      </c>
      <c r="P27" s="11">
        <f t="shared" si="10"/>
        <v>0</v>
      </c>
      <c r="Q27" s="11">
        <f t="shared" si="10"/>
        <v>0</v>
      </c>
      <c r="R27" s="11">
        <f t="shared" si="10"/>
        <v>0</v>
      </c>
      <c r="S27" s="11">
        <f t="shared" si="10"/>
        <v>0</v>
      </c>
      <c r="T27" s="11">
        <f t="shared" si="10"/>
        <v>0</v>
      </c>
      <c r="U27" s="11">
        <f t="shared" si="10"/>
        <v>0</v>
      </c>
      <c r="V27" s="11">
        <f t="shared" si="10"/>
        <v>0</v>
      </c>
      <c r="W27" s="11">
        <f t="shared" si="10"/>
        <v>0</v>
      </c>
      <c r="X27" s="11">
        <f t="shared" si="10"/>
        <v>0</v>
      </c>
      <c r="Y27" s="11">
        <f t="shared" si="10"/>
        <v>0</v>
      </c>
      <c r="Z27" s="11">
        <f t="shared" si="10"/>
        <v>0</v>
      </c>
      <c r="AA27" s="11">
        <f t="shared" si="10"/>
        <v>0</v>
      </c>
      <c r="AB27" s="11">
        <f t="shared" si="10"/>
        <v>0</v>
      </c>
      <c r="AC27" s="11">
        <f t="shared" si="10"/>
        <v>0</v>
      </c>
      <c r="AD27" s="11">
        <f t="shared" si="10"/>
        <v>0</v>
      </c>
      <c r="AE27" s="11">
        <f t="shared" si="10"/>
        <v>0</v>
      </c>
      <c r="AF27" s="11">
        <f t="shared" si="10"/>
        <v>0</v>
      </c>
      <c r="AG27" s="11">
        <f t="shared" si="10"/>
        <v>0</v>
      </c>
      <c r="AH27" s="11">
        <f t="shared" si="10"/>
        <v>0</v>
      </c>
      <c r="AI27" s="11">
        <f t="shared" si="10"/>
        <v>0</v>
      </c>
      <c r="AJ27" s="11">
        <f t="shared" si="10"/>
        <v>0</v>
      </c>
      <c r="AK27" s="11">
        <f t="shared" si="10"/>
        <v>0</v>
      </c>
      <c r="AL27" s="11">
        <f t="shared" si="10"/>
        <v>0</v>
      </c>
      <c r="AM27" s="11">
        <f t="shared" si="10"/>
        <v>0</v>
      </c>
      <c r="AN27" s="11">
        <f t="shared" si="10"/>
        <v>0</v>
      </c>
      <c r="AO27" s="11">
        <f t="shared" si="10"/>
        <v>0</v>
      </c>
      <c r="AP27" s="11">
        <f t="shared" si="10"/>
        <v>0</v>
      </c>
      <c r="AQ27" s="11">
        <f t="shared" si="10"/>
        <v>0</v>
      </c>
      <c r="AR27" s="11">
        <f t="shared" si="10"/>
        <v>0</v>
      </c>
      <c r="AS27" s="11">
        <f t="shared" si="10"/>
        <v>0</v>
      </c>
      <c r="AT27" s="11">
        <f t="shared" si="10"/>
        <v>0</v>
      </c>
      <c r="AU27" s="11">
        <f t="shared" si="10"/>
        <v>0</v>
      </c>
      <c r="AV27" s="11">
        <f t="shared" si="10"/>
        <v>0</v>
      </c>
      <c r="AW27" s="11">
        <f t="shared" si="10"/>
        <v>0</v>
      </c>
      <c r="AX27" s="11">
        <f t="shared" si="10"/>
        <v>0</v>
      </c>
      <c r="AY27" s="11">
        <f t="shared" si="10"/>
        <v>0</v>
      </c>
      <c r="AZ27" s="11">
        <f t="shared" si="10"/>
        <v>0</v>
      </c>
      <c r="BA27" s="11">
        <f t="shared" si="10"/>
        <v>0</v>
      </c>
      <c r="BB27" s="11">
        <f t="shared" si="10"/>
        <v>0</v>
      </c>
      <c r="BC27" s="11">
        <f t="shared" si="10"/>
        <v>0</v>
      </c>
      <c r="BD27" s="11">
        <f t="shared" si="10"/>
        <v>0</v>
      </c>
      <c r="BE27" s="11">
        <f t="shared" si="10"/>
        <v>0</v>
      </c>
      <c r="BF27" s="11">
        <f t="shared" si="10"/>
        <v>0</v>
      </c>
      <c r="BG27" s="11">
        <f t="shared" si="10"/>
        <v>0</v>
      </c>
      <c r="BH27" s="11">
        <f t="shared" si="10"/>
        <v>0</v>
      </c>
      <c r="BI27" s="11">
        <f t="shared" si="10"/>
        <v>0</v>
      </c>
      <c r="BJ27" s="11">
        <f t="shared" si="10"/>
        <v>0</v>
      </c>
      <c r="BK27" s="11">
        <f t="shared" si="10"/>
        <v>0</v>
      </c>
      <c r="BL27" s="11">
        <f t="shared" si="10"/>
        <v>0</v>
      </c>
      <c r="BM27" s="11">
        <f t="shared" si="10"/>
        <v>0</v>
      </c>
      <c r="BN27" s="11">
        <f t="shared" si="10"/>
        <v>0</v>
      </c>
      <c r="BO27" s="11">
        <f t="shared" si="10"/>
        <v>0</v>
      </c>
      <c r="BP27" s="11">
        <f t="shared" ref="BP27:CZ27" si="11">SUMPRODUCT($B25:$B26,BP25:BP26)</f>
        <v>0</v>
      </c>
      <c r="BQ27" s="11">
        <f t="shared" si="11"/>
        <v>0</v>
      </c>
      <c r="BR27" s="11">
        <f t="shared" si="11"/>
        <v>0</v>
      </c>
      <c r="BS27" s="11">
        <f t="shared" si="11"/>
        <v>0</v>
      </c>
      <c r="BT27" s="11">
        <f t="shared" si="11"/>
        <v>0</v>
      </c>
      <c r="BU27" s="11">
        <f t="shared" si="11"/>
        <v>0</v>
      </c>
      <c r="BV27" s="11">
        <f t="shared" si="11"/>
        <v>0</v>
      </c>
      <c r="BW27" s="11">
        <f t="shared" si="11"/>
        <v>0</v>
      </c>
      <c r="BX27" s="11">
        <f t="shared" si="11"/>
        <v>0</v>
      </c>
      <c r="BY27" s="11">
        <f t="shared" si="11"/>
        <v>0</v>
      </c>
      <c r="BZ27" s="11">
        <f t="shared" si="11"/>
        <v>0</v>
      </c>
      <c r="CA27" s="11">
        <f t="shared" si="11"/>
        <v>0</v>
      </c>
      <c r="CB27" s="11">
        <f t="shared" si="11"/>
        <v>0</v>
      </c>
      <c r="CC27" s="11">
        <f t="shared" si="11"/>
        <v>0</v>
      </c>
      <c r="CD27" s="11">
        <f t="shared" si="11"/>
        <v>0</v>
      </c>
      <c r="CE27" s="11">
        <f t="shared" si="11"/>
        <v>0</v>
      </c>
      <c r="CF27" s="11">
        <f t="shared" si="11"/>
        <v>0</v>
      </c>
      <c r="CG27" s="11">
        <f t="shared" si="11"/>
        <v>0</v>
      </c>
      <c r="CH27" s="11">
        <f t="shared" si="11"/>
        <v>0</v>
      </c>
      <c r="CI27" s="11">
        <f t="shared" si="11"/>
        <v>0</v>
      </c>
      <c r="CJ27" s="11">
        <f t="shared" si="11"/>
        <v>0</v>
      </c>
      <c r="CK27" s="11">
        <f t="shared" si="11"/>
        <v>0</v>
      </c>
      <c r="CL27" s="11">
        <f t="shared" si="11"/>
        <v>0</v>
      </c>
      <c r="CM27" s="11">
        <f t="shared" si="11"/>
        <v>0</v>
      </c>
      <c r="CN27" s="11">
        <f t="shared" si="11"/>
        <v>0</v>
      </c>
      <c r="CO27" s="11">
        <f t="shared" si="11"/>
        <v>0</v>
      </c>
      <c r="CP27" s="11">
        <f t="shared" si="11"/>
        <v>0</v>
      </c>
      <c r="CQ27" s="11">
        <f t="shared" si="11"/>
        <v>0</v>
      </c>
      <c r="CR27" s="11">
        <f t="shared" si="11"/>
        <v>0</v>
      </c>
      <c r="CS27" s="11">
        <f t="shared" si="11"/>
        <v>0</v>
      </c>
      <c r="CT27" s="11">
        <f t="shared" si="11"/>
        <v>0</v>
      </c>
      <c r="CU27" s="11">
        <f t="shared" si="11"/>
        <v>0</v>
      </c>
      <c r="CV27" s="11">
        <f t="shared" si="11"/>
        <v>0</v>
      </c>
      <c r="CW27" s="11">
        <f t="shared" si="11"/>
        <v>0</v>
      </c>
      <c r="CX27" s="11">
        <f t="shared" si="11"/>
        <v>0</v>
      </c>
      <c r="CY27" s="11">
        <f t="shared" si="11"/>
        <v>0</v>
      </c>
      <c r="CZ27" s="11">
        <f t="shared" si="11"/>
        <v>0</v>
      </c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</row>
    <row r="28" spans="1:122" ht="18" customHeight="1">
      <c r="A28" s="13" t="s">
        <v>16</v>
      </c>
      <c r="B28" s="14">
        <f>IFERROR(VLOOKUP(A28,PRICELIST!$A$3:$D$138,4,0),"-")</f>
        <v>113.79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9">
        <f t="shared" ref="CY28:CZ33" si="12">C28+E28+G28+I28+K28+M28+O28+Q28+S28+U28+W28+Y28+AA28+AC28+AE28+AG28+AI28+AK28+AM28+AO28+AQ28+AS28+AU28+AW28+AY28+BA28+BC28+BE28+BG28+BI28+BK28+BM28+BO28+BQ28+BS28+BU28+BW28+BY28+CA28+CC28+CE28+CG28+CI28+CK28+CM28+CO28+CQ28+CS28+CU28+CW28</f>
        <v>0</v>
      </c>
      <c r="CZ28" s="19">
        <f t="shared" si="12"/>
        <v>0</v>
      </c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</row>
    <row r="29" spans="1:122" ht="18" customHeight="1">
      <c r="A29" s="13" t="s">
        <v>17</v>
      </c>
      <c r="B29" s="14">
        <f>IFERROR(VLOOKUP(A29,PRICELIST!$A$3:$D$138,4,0),"-")</f>
        <v>188.04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9">
        <f t="shared" si="12"/>
        <v>0</v>
      </c>
      <c r="CZ29" s="19">
        <f t="shared" si="12"/>
        <v>0</v>
      </c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</row>
    <row r="30" spans="1:122" ht="18" customHeight="1">
      <c r="A30" s="13" t="s">
        <v>18</v>
      </c>
      <c r="B30" s="14">
        <f>IFERROR(VLOOKUP(A30,PRICELIST!$A$3:$D$138,4,0),"-")</f>
        <v>68.16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9">
        <f t="shared" si="12"/>
        <v>0</v>
      </c>
      <c r="CZ30" s="19">
        <f t="shared" si="12"/>
        <v>0</v>
      </c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</row>
    <row r="31" spans="1:122" ht="18" customHeight="1">
      <c r="A31" s="13" t="s">
        <v>19</v>
      </c>
      <c r="B31" s="14">
        <f>IFERROR(VLOOKUP(A31,PRICELIST!$A$3:$D$138,4,0),"-")</f>
        <v>101.57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9">
        <f t="shared" si="12"/>
        <v>0</v>
      </c>
      <c r="CZ31" s="19">
        <f t="shared" si="12"/>
        <v>0</v>
      </c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</row>
    <row r="32" spans="1:122" ht="18" customHeight="1">
      <c r="A32" s="13" t="s">
        <v>20</v>
      </c>
      <c r="B32" s="14">
        <f>IFERROR(VLOOKUP(A32,PRICELIST!$A$3:$D$138,4,0),"-")</f>
        <v>164.73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9">
        <f t="shared" si="12"/>
        <v>0</v>
      </c>
      <c r="CZ32" s="19">
        <f t="shared" si="12"/>
        <v>0</v>
      </c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</row>
    <row r="33" spans="1:122" ht="18" customHeight="1">
      <c r="A33" s="13" t="s">
        <v>21</v>
      </c>
      <c r="B33" s="14">
        <f>IFERROR(VLOOKUP(A33,PRICELIST!$A$3:$D$138,4,0),"-")</f>
        <v>78.099999999999994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9">
        <f t="shared" si="12"/>
        <v>0</v>
      </c>
      <c r="CZ33" s="19">
        <f t="shared" si="12"/>
        <v>0</v>
      </c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</row>
    <row r="34" spans="1:122" ht="18" customHeight="1">
      <c r="A34" s="9" t="s">
        <v>22</v>
      </c>
      <c r="B34" s="10"/>
      <c r="C34" s="11">
        <f>SUMPRODUCT($B28:$B33,C28:C33)</f>
        <v>0</v>
      </c>
      <c r="D34" s="11">
        <f t="shared" ref="D34:BO34" si="13">SUMPRODUCT($B28:$B33,D28:D33)</f>
        <v>0</v>
      </c>
      <c r="E34" s="11">
        <f t="shared" si="13"/>
        <v>0</v>
      </c>
      <c r="F34" s="11">
        <f t="shared" si="13"/>
        <v>0</v>
      </c>
      <c r="G34" s="11">
        <f t="shared" si="13"/>
        <v>0</v>
      </c>
      <c r="H34" s="11">
        <f t="shared" si="13"/>
        <v>0</v>
      </c>
      <c r="I34" s="11">
        <f t="shared" si="13"/>
        <v>0</v>
      </c>
      <c r="J34" s="11">
        <f t="shared" si="13"/>
        <v>0</v>
      </c>
      <c r="K34" s="11">
        <f t="shared" si="13"/>
        <v>0</v>
      </c>
      <c r="L34" s="11">
        <f t="shared" si="13"/>
        <v>0</v>
      </c>
      <c r="M34" s="11">
        <f t="shared" si="13"/>
        <v>0</v>
      </c>
      <c r="N34" s="11">
        <f t="shared" si="13"/>
        <v>0</v>
      </c>
      <c r="O34" s="11">
        <f t="shared" si="13"/>
        <v>0</v>
      </c>
      <c r="P34" s="11">
        <f t="shared" si="13"/>
        <v>0</v>
      </c>
      <c r="Q34" s="11">
        <f t="shared" si="13"/>
        <v>0</v>
      </c>
      <c r="R34" s="11">
        <f t="shared" si="13"/>
        <v>0</v>
      </c>
      <c r="S34" s="11">
        <f t="shared" si="13"/>
        <v>0</v>
      </c>
      <c r="T34" s="11">
        <f t="shared" si="13"/>
        <v>0</v>
      </c>
      <c r="U34" s="11">
        <f t="shared" si="13"/>
        <v>0</v>
      </c>
      <c r="V34" s="11">
        <f t="shared" si="13"/>
        <v>0</v>
      </c>
      <c r="W34" s="11">
        <f t="shared" si="13"/>
        <v>0</v>
      </c>
      <c r="X34" s="11">
        <f t="shared" si="13"/>
        <v>0</v>
      </c>
      <c r="Y34" s="11">
        <f t="shared" si="13"/>
        <v>0</v>
      </c>
      <c r="Z34" s="11">
        <f t="shared" si="13"/>
        <v>0</v>
      </c>
      <c r="AA34" s="11">
        <f t="shared" si="13"/>
        <v>0</v>
      </c>
      <c r="AB34" s="11">
        <f t="shared" si="13"/>
        <v>0</v>
      </c>
      <c r="AC34" s="11">
        <f t="shared" si="13"/>
        <v>0</v>
      </c>
      <c r="AD34" s="11">
        <f t="shared" si="13"/>
        <v>0</v>
      </c>
      <c r="AE34" s="11">
        <f t="shared" si="13"/>
        <v>0</v>
      </c>
      <c r="AF34" s="11">
        <f t="shared" si="13"/>
        <v>0</v>
      </c>
      <c r="AG34" s="11">
        <f t="shared" si="13"/>
        <v>0</v>
      </c>
      <c r="AH34" s="11">
        <f t="shared" si="13"/>
        <v>0</v>
      </c>
      <c r="AI34" s="11">
        <f t="shared" si="13"/>
        <v>0</v>
      </c>
      <c r="AJ34" s="11">
        <f t="shared" si="13"/>
        <v>0</v>
      </c>
      <c r="AK34" s="11">
        <f t="shared" si="13"/>
        <v>0</v>
      </c>
      <c r="AL34" s="11">
        <f t="shared" si="13"/>
        <v>0</v>
      </c>
      <c r="AM34" s="11">
        <f t="shared" si="13"/>
        <v>0</v>
      </c>
      <c r="AN34" s="11">
        <f t="shared" si="13"/>
        <v>0</v>
      </c>
      <c r="AO34" s="11">
        <f t="shared" si="13"/>
        <v>0</v>
      </c>
      <c r="AP34" s="11">
        <f t="shared" si="13"/>
        <v>0</v>
      </c>
      <c r="AQ34" s="11">
        <f t="shared" si="13"/>
        <v>0</v>
      </c>
      <c r="AR34" s="11">
        <f t="shared" si="13"/>
        <v>0</v>
      </c>
      <c r="AS34" s="11">
        <f t="shared" si="13"/>
        <v>0</v>
      </c>
      <c r="AT34" s="11">
        <f t="shared" si="13"/>
        <v>0</v>
      </c>
      <c r="AU34" s="11">
        <f t="shared" si="13"/>
        <v>0</v>
      </c>
      <c r="AV34" s="11">
        <f t="shared" si="13"/>
        <v>0</v>
      </c>
      <c r="AW34" s="11">
        <f t="shared" si="13"/>
        <v>0</v>
      </c>
      <c r="AX34" s="11">
        <f t="shared" si="13"/>
        <v>0</v>
      </c>
      <c r="AY34" s="11">
        <f t="shared" si="13"/>
        <v>0</v>
      </c>
      <c r="AZ34" s="11">
        <f t="shared" si="13"/>
        <v>0</v>
      </c>
      <c r="BA34" s="11">
        <f t="shared" si="13"/>
        <v>0</v>
      </c>
      <c r="BB34" s="11">
        <f t="shared" si="13"/>
        <v>0</v>
      </c>
      <c r="BC34" s="11">
        <f t="shared" si="13"/>
        <v>0</v>
      </c>
      <c r="BD34" s="11">
        <f t="shared" si="13"/>
        <v>0</v>
      </c>
      <c r="BE34" s="11">
        <f t="shared" si="13"/>
        <v>0</v>
      </c>
      <c r="BF34" s="11">
        <f t="shared" si="13"/>
        <v>0</v>
      </c>
      <c r="BG34" s="11">
        <f t="shared" si="13"/>
        <v>0</v>
      </c>
      <c r="BH34" s="11">
        <f t="shared" si="13"/>
        <v>0</v>
      </c>
      <c r="BI34" s="11">
        <f t="shared" si="13"/>
        <v>0</v>
      </c>
      <c r="BJ34" s="11">
        <f t="shared" si="13"/>
        <v>0</v>
      </c>
      <c r="BK34" s="11">
        <f t="shared" si="13"/>
        <v>0</v>
      </c>
      <c r="BL34" s="11">
        <f t="shared" si="13"/>
        <v>0</v>
      </c>
      <c r="BM34" s="11">
        <f t="shared" si="13"/>
        <v>0</v>
      </c>
      <c r="BN34" s="11">
        <f t="shared" si="13"/>
        <v>0</v>
      </c>
      <c r="BO34" s="11">
        <f t="shared" si="13"/>
        <v>0</v>
      </c>
      <c r="BP34" s="11">
        <f t="shared" ref="BP34:CZ34" si="14">SUMPRODUCT($B28:$B33,BP28:BP33)</f>
        <v>0</v>
      </c>
      <c r="BQ34" s="11">
        <f t="shared" si="14"/>
        <v>0</v>
      </c>
      <c r="BR34" s="11">
        <f t="shared" si="14"/>
        <v>0</v>
      </c>
      <c r="BS34" s="11">
        <f t="shared" si="14"/>
        <v>0</v>
      </c>
      <c r="BT34" s="11">
        <f t="shared" si="14"/>
        <v>0</v>
      </c>
      <c r="BU34" s="11">
        <f t="shared" si="14"/>
        <v>0</v>
      </c>
      <c r="BV34" s="11">
        <f t="shared" si="14"/>
        <v>0</v>
      </c>
      <c r="BW34" s="11">
        <f t="shared" si="14"/>
        <v>0</v>
      </c>
      <c r="BX34" s="11">
        <f t="shared" si="14"/>
        <v>0</v>
      </c>
      <c r="BY34" s="11">
        <f t="shared" si="14"/>
        <v>0</v>
      </c>
      <c r="BZ34" s="11">
        <f t="shared" si="14"/>
        <v>0</v>
      </c>
      <c r="CA34" s="11">
        <f t="shared" si="14"/>
        <v>0</v>
      </c>
      <c r="CB34" s="11">
        <f t="shared" si="14"/>
        <v>0</v>
      </c>
      <c r="CC34" s="11">
        <f t="shared" si="14"/>
        <v>0</v>
      </c>
      <c r="CD34" s="11">
        <f t="shared" si="14"/>
        <v>0</v>
      </c>
      <c r="CE34" s="11">
        <f t="shared" si="14"/>
        <v>0</v>
      </c>
      <c r="CF34" s="11">
        <f t="shared" si="14"/>
        <v>0</v>
      </c>
      <c r="CG34" s="11">
        <f t="shared" si="14"/>
        <v>0</v>
      </c>
      <c r="CH34" s="11">
        <f t="shared" si="14"/>
        <v>0</v>
      </c>
      <c r="CI34" s="11">
        <f t="shared" si="14"/>
        <v>0</v>
      </c>
      <c r="CJ34" s="11">
        <f t="shared" si="14"/>
        <v>0</v>
      </c>
      <c r="CK34" s="11">
        <f t="shared" si="14"/>
        <v>0</v>
      </c>
      <c r="CL34" s="11">
        <f t="shared" si="14"/>
        <v>0</v>
      </c>
      <c r="CM34" s="11">
        <f t="shared" si="14"/>
        <v>0</v>
      </c>
      <c r="CN34" s="11">
        <f t="shared" si="14"/>
        <v>0</v>
      </c>
      <c r="CO34" s="11">
        <f t="shared" si="14"/>
        <v>0</v>
      </c>
      <c r="CP34" s="11">
        <f t="shared" si="14"/>
        <v>0</v>
      </c>
      <c r="CQ34" s="11">
        <f t="shared" si="14"/>
        <v>0</v>
      </c>
      <c r="CR34" s="11">
        <f t="shared" si="14"/>
        <v>0</v>
      </c>
      <c r="CS34" s="11">
        <f t="shared" si="14"/>
        <v>0</v>
      </c>
      <c r="CT34" s="11">
        <f t="shared" si="14"/>
        <v>0</v>
      </c>
      <c r="CU34" s="11">
        <f t="shared" si="14"/>
        <v>0</v>
      </c>
      <c r="CV34" s="11">
        <f t="shared" si="14"/>
        <v>0</v>
      </c>
      <c r="CW34" s="11">
        <f t="shared" si="14"/>
        <v>0</v>
      </c>
      <c r="CX34" s="11">
        <f t="shared" si="14"/>
        <v>0</v>
      </c>
      <c r="CY34" s="11">
        <f t="shared" si="14"/>
        <v>0</v>
      </c>
      <c r="CZ34" s="11">
        <f t="shared" si="14"/>
        <v>0</v>
      </c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</row>
    <row r="35" spans="1:122" ht="18" customHeight="1">
      <c r="A35" s="13" t="s">
        <v>23</v>
      </c>
      <c r="B35" s="14">
        <f>IFERROR(VLOOKUP(A35,PRICELIST!$A$3:$D$138,4,0),"-")</f>
        <v>60.11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9">
        <f t="shared" ref="CY35:CZ36" si="15">C35+E35+G35+I35+K35+M35+O35+Q35+S35+U35+W35+Y35+AA35+AC35+AE35+AG35+AI35+AK35+AM35+AO35+AQ35+AS35+AU35+AW35+AY35+BA35+BC35+BE35+BG35+BI35+BK35+BM35+BO35+BQ35+BS35+BU35+BW35+BY35+CA35+CC35+CE35+CG35+CI35+CK35+CM35+CO35+CQ35+CS35+CU35+CW35</f>
        <v>0</v>
      </c>
      <c r="CZ35" s="19">
        <f t="shared" si="15"/>
        <v>0</v>
      </c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</row>
    <row r="36" spans="1:122" ht="18" customHeight="1">
      <c r="A36" s="13" t="s">
        <v>24</v>
      </c>
      <c r="B36" s="14">
        <f>IFERROR(VLOOKUP(A36,PRICELIST!$A$3:$D$138,4,0),"-")</f>
        <v>91.2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9">
        <f t="shared" si="15"/>
        <v>0</v>
      </c>
      <c r="CZ36" s="19">
        <f t="shared" si="15"/>
        <v>0</v>
      </c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</row>
    <row r="37" spans="1:122" ht="18" customHeight="1">
      <c r="A37" s="9" t="s">
        <v>25</v>
      </c>
      <c r="B37" s="10"/>
      <c r="C37" s="11">
        <f>SUMPRODUCT($B35:$B36,C35:C36)</f>
        <v>0</v>
      </c>
      <c r="D37" s="11">
        <f t="shared" ref="D37:BO37" si="16">SUMPRODUCT($B35:$B36,D35:D36)</f>
        <v>0</v>
      </c>
      <c r="E37" s="11">
        <f t="shared" si="16"/>
        <v>0</v>
      </c>
      <c r="F37" s="11">
        <f t="shared" si="16"/>
        <v>0</v>
      </c>
      <c r="G37" s="11">
        <f t="shared" si="16"/>
        <v>0</v>
      </c>
      <c r="H37" s="11">
        <f t="shared" si="16"/>
        <v>0</v>
      </c>
      <c r="I37" s="11">
        <f t="shared" si="16"/>
        <v>0</v>
      </c>
      <c r="J37" s="11">
        <f t="shared" si="16"/>
        <v>0</v>
      </c>
      <c r="K37" s="11">
        <f t="shared" si="16"/>
        <v>0</v>
      </c>
      <c r="L37" s="11">
        <f t="shared" si="16"/>
        <v>0</v>
      </c>
      <c r="M37" s="11">
        <f t="shared" si="16"/>
        <v>0</v>
      </c>
      <c r="N37" s="11">
        <f t="shared" si="16"/>
        <v>0</v>
      </c>
      <c r="O37" s="11">
        <f t="shared" si="16"/>
        <v>0</v>
      </c>
      <c r="P37" s="11">
        <f t="shared" si="16"/>
        <v>0</v>
      </c>
      <c r="Q37" s="11">
        <f t="shared" si="16"/>
        <v>0</v>
      </c>
      <c r="R37" s="11">
        <f t="shared" si="16"/>
        <v>0</v>
      </c>
      <c r="S37" s="11">
        <f t="shared" si="16"/>
        <v>0</v>
      </c>
      <c r="T37" s="11">
        <f t="shared" si="16"/>
        <v>0</v>
      </c>
      <c r="U37" s="11">
        <f t="shared" si="16"/>
        <v>0</v>
      </c>
      <c r="V37" s="11">
        <f t="shared" si="16"/>
        <v>0</v>
      </c>
      <c r="W37" s="11">
        <f t="shared" si="16"/>
        <v>0</v>
      </c>
      <c r="X37" s="11">
        <f t="shared" si="16"/>
        <v>0</v>
      </c>
      <c r="Y37" s="11">
        <f t="shared" si="16"/>
        <v>0</v>
      </c>
      <c r="Z37" s="11">
        <f t="shared" si="16"/>
        <v>0</v>
      </c>
      <c r="AA37" s="11">
        <f t="shared" si="16"/>
        <v>0</v>
      </c>
      <c r="AB37" s="11">
        <f t="shared" si="16"/>
        <v>0</v>
      </c>
      <c r="AC37" s="11">
        <f t="shared" si="16"/>
        <v>0</v>
      </c>
      <c r="AD37" s="11">
        <f t="shared" si="16"/>
        <v>0</v>
      </c>
      <c r="AE37" s="11">
        <f t="shared" si="16"/>
        <v>0</v>
      </c>
      <c r="AF37" s="11">
        <f t="shared" si="16"/>
        <v>0</v>
      </c>
      <c r="AG37" s="11">
        <f t="shared" si="16"/>
        <v>0</v>
      </c>
      <c r="AH37" s="11">
        <f t="shared" si="16"/>
        <v>0</v>
      </c>
      <c r="AI37" s="11">
        <f t="shared" si="16"/>
        <v>0</v>
      </c>
      <c r="AJ37" s="11">
        <f t="shared" si="16"/>
        <v>0</v>
      </c>
      <c r="AK37" s="11">
        <f t="shared" si="16"/>
        <v>0</v>
      </c>
      <c r="AL37" s="11">
        <f t="shared" si="16"/>
        <v>0</v>
      </c>
      <c r="AM37" s="11">
        <f t="shared" si="16"/>
        <v>0</v>
      </c>
      <c r="AN37" s="11">
        <f t="shared" si="16"/>
        <v>0</v>
      </c>
      <c r="AO37" s="11">
        <f t="shared" si="16"/>
        <v>0</v>
      </c>
      <c r="AP37" s="11">
        <f t="shared" si="16"/>
        <v>0</v>
      </c>
      <c r="AQ37" s="11">
        <f t="shared" si="16"/>
        <v>0</v>
      </c>
      <c r="AR37" s="11">
        <f t="shared" si="16"/>
        <v>0</v>
      </c>
      <c r="AS37" s="11">
        <f t="shared" si="16"/>
        <v>0</v>
      </c>
      <c r="AT37" s="11">
        <f t="shared" si="16"/>
        <v>0</v>
      </c>
      <c r="AU37" s="11">
        <f t="shared" si="16"/>
        <v>0</v>
      </c>
      <c r="AV37" s="11">
        <f t="shared" si="16"/>
        <v>0</v>
      </c>
      <c r="AW37" s="11">
        <f t="shared" si="16"/>
        <v>0</v>
      </c>
      <c r="AX37" s="11">
        <f t="shared" si="16"/>
        <v>0</v>
      </c>
      <c r="AY37" s="11">
        <f t="shared" si="16"/>
        <v>0</v>
      </c>
      <c r="AZ37" s="11">
        <f t="shared" si="16"/>
        <v>0</v>
      </c>
      <c r="BA37" s="11">
        <f t="shared" si="16"/>
        <v>0</v>
      </c>
      <c r="BB37" s="11">
        <f t="shared" si="16"/>
        <v>0</v>
      </c>
      <c r="BC37" s="11">
        <f t="shared" si="16"/>
        <v>0</v>
      </c>
      <c r="BD37" s="11">
        <f t="shared" si="16"/>
        <v>0</v>
      </c>
      <c r="BE37" s="11">
        <f t="shared" si="16"/>
        <v>0</v>
      </c>
      <c r="BF37" s="11">
        <f t="shared" si="16"/>
        <v>0</v>
      </c>
      <c r="BG37" s="11">
        <f t="shared" si="16"/>
        <v>0</v>
      </c>
      <c r="BH37" s="11">
        <f t="shared" si="16"/>
        <v>0</v>
      </c>
      <c r="BI37" s="11">
        <f t="shared" si="16"/>
        <v>0</v>
      </c>
      <c r="BJ37" s="11">
        <f t="shared" si="16"/>
        <v>0</v>
      </c>
      <c r="BK37" s="11">
        <f t="shared" si="16"/>
        <v>0</v>
      </c>
      <c r="BL37" s="11">
        <f t="shared" si="16"/>
        <v>0</v>
      </c>
      <c r="BM37" s="11">
        <f t="shared" si="16"/>
        <v>0</v>
      </c>
      <c r="BN37" s="11">
        <f t="shared" si="16"/>
        <v>0</v>
      </c>
      <c r="BO37" s="11">
        <f t="shared" si="16"/>
        <v>0</v>
      </c>
      <c r="BP37" s="11">
        <f t="shared" ref="BP37:CZ37" si="17">SUMPRODUCT($B35:$B36,BP35:BP36)</f>
        <v>0</v>
      </c>
      <c r="BQ37" s="11">
        <f t="shared" si="17"/>
        <v>0</v>
      </c>
      <c r="BR37" s="11">
        <f t="shared" si="17"/>
        <v>0</v>
      </c>
      <c r="BS37" s="11">
        <f t="shared" si="17"/>
        <v>0</v>
      </c>
      <c r="BT37" s="11">
        <f t="shared" si="17"/>
        <v>0</v>
      </c>
      <c r="BU37" s="11">
        <f t="shared" si="17"/>
        <v>0</v>
      </c>
      <c r="BV37" s="11">
        <f t="shared" si="17"/>
        <v>0</v>
      </c>
      <c r="BW37" s="11">
        <f t="shared" si="17"/>
        <v>0</v>
      </c>
      <c r="BX37" s="11">
        <f t="shared" si="17"/>
        <v>0</v>
      </c>
      <c r="BY37" s="11">
        <f t="shared" si="17"/>
        <v>0</v>
      </c>
      <c r="BZ37" s="11">
        <f t="shared" si="17"/>
        <v>0</v>
      </c>
      <c r="CA37" s="11">
        <f t="shared" si="17"/>
        <v>0</v>
      </c>
      <c r="CB37" s="11">
        <f t="shared" si="17"/>
        <v>0</v>
      </c>
      <c r="CC37" s="11">
        <f t="shared" si="17"/>
        <v>0</v>
      </c>
      <c r="CD37" s="11">
        <f t="shared" si="17"/>
        <v>0</v>
      </c>
      <c r="CE37" s="11">
        <f t="shared" si="17"/>
        <v>0</v>
      </c>
      <c r="CF37" s="11">
        <f t="shared" si="17"/>
        <v>0</v>
      </c>
      <c r="CG37" s="11">
        <f t="shared" si="17"/>
        <v>0</v>
      </c>
      <c r="CH37" s="11">
        <f t="shared" si="17"/>
        <v>0</v>
      </c>
      <c r="CI37" s="11">
        <f t="shared" si="17"/>
        <v>0</v>
      </c>
      <c r="CJ37" s="11">
        <f t="shared" si="17"/>
        <v>0</v>
      </c>
      <c r="CK37" s="11">
        <f t="shared" si="17"/>
        <v>0</v>
      </c>
      <c r="CL37" s="11">
        <f t="shared" si="17"/>
        <v>0</v>
      </c>
      <c r="CM37" s="11">
        <f t="shared" si="17"/>
        <v>0</v>
      </c>
      <c r="CN37" s="11">
        <f t="shared" si="17"/>
        <v>0</v>
      </c>
      <c r="CO37" s="11">
        <f t="shared" si="17"/>
        <v>0</v>
      </c>
      <c r="CP37" s="11">
        <f t="shared" si="17"/>
        <v>0</v>
      </c>
      <c r="CQ37" s="11">
        <f t="shared" si="17"/>
        <v>0</v>
      </c>
      <c r="CR37" s="11">
        <f t="shared" si="17"/>
        <v>0</v>
      </c>
      <c r="CS37" s="11">
        <f t="shared" si="17"/>
        <v>0</v>
      </c>
      <c r="CT37" s="11">
        <f t="shared" si="17"/>
        <v>0</v>
      </c>
      <c r="CU37" s="11">
        <f t="shared" si="17"/>
        <v>0</v>
      </c>
      <c r="CV37" s="11">
        <f t="shared" si="17"/>
        <v>0</v>
      </c>
      <c r="CW37" s="11">
        <f t="shared" si="17"/>
        <v>0</v>
      </c>
      <c r="CX37" s="11">
        <f t="shared" si="17"/>
        <v>0</v>
      </c>
      <c r="CY37" s="11">
        <f t="shared" si="17"/>
        <v>0</v>
      </c>
      <c r="CZ37" s="11">
        <f t="shared" si="17"/>
        <v>0</v>
      </c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</row>
    <row r="38" spans="1:122" ht="18" customHeight="1">
      <c r="A38" s="13" t="s">
        <v>26</v>
      </c>
      <c r="B38" s="14">
        <f>IFERROR(VLOOKUP(A38,PRICELIST!$A$3:$D$138,4,0),"-")</f>
        <v>159.75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9">
        <f t="shared" ref="CY38:CZ39" si="18">C38+E38+G38+I38+K38+M38+O38+Q38+S38+U38+W38+Y38+AA38+AC38+AE38+AG38+AI38+AK38+AM38+AO38+AQ38+AS38+AU38+AW38+AY38+BA38+BC38+BE38+BG38+BI38+BK38+BM38+BO38+BQ38+BS38+BU38+BW38+BY38+CA38+CC38+CE38+CG38+CI38+CK38+CM38+CO38+CQ38+CS38+CU38+CW38</f>
        <v>0</v>
      </c>
      <c r="CZ38" s="19">
        <f t="shared" si="18"/>
        <v>0</v>
      </c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</row>
    <row r="39" spans="1:122" ht="18" customHeight="1">
      <c r="A39" s="13" t="s">
        <v>27</v>
      </c>
      <c r="B39" s="14">
        <f>IFERROR(VLOOKUP(A39,PRICELIST!$A$3:$D$138,4,0),"-")</f>
        <v>83.59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9">
        <f t="shared" si="18"/>
        <v>0</v>
      </c>
      <c r="CZ39" s="19">
        <f t="shared" si="18"/>
        <v>0</v>
      </c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</row>
    <row r="40" spans="1:122" ht="18" customHeight="1">
      <c r="A40" s="9" t="s">
        <v>28</v>
      </c>
      <c r="B40" s="10"/>
      <c r="C40" s="11">
        <f>SUMPRODUCT($B38:$B39,C38:C39)</f>
        <v>0</v>
      </c>
      <c r="D40" s="11">
        <f t="shared" ref="D40:BO40" si="19">SUMPRODUCT($B38:$B39,D38:D39)</f>
        <v>0</v>
      </c>
      <c r="E40" s="11">
        <f t="shared" si="19"/>
        <v>0</v>
      </c>
      <c r="F40" s="11">
        <f t="shared" si="19"/>
        <v>0</v>
      </c>
      <c r="G40" s="11">
        <f t="shared" si="19"/>
        <v>0</v>
      </c>
      <c r="H40" s="11">
        <f t="shared" si="19"/>
        <v>0</v>
      </c>
      <c r="I40" s="11">
        <f t="shared" si="19"/>
        <v>0</v>
      </c>
      <c r="J40" s="11">
        <f t="shared" si="19"/>
        <v>0</v>
      </c>
      <c r="K40" s="11">
        <f t="shared" si="19"/>
        <v>0</v>
      </c>
      <c r="L40" s="11">
        <f t="shared" si="19"/>
        <v>0</v>
      </c>
      <c r="M40" s="11">
        <f t="shared" si="19"/>
        <v>0</v>
      </c>
      <c r="N40" s="11">
        <f t="shared" si="19"/>
        <v>0</v>
      </c>
      <c r="O40" s="11">
        <f t="shared" si="19"/>
        <v>0</v>
      </c>
      <c r="P40" s="11">
        <f t="shared" si="19"/>
        <v>0</v>
      </c>
      <c r="Q40" s="11">
        <f t="shared" si="19"/>
        <v>0</v>
      </c>
      <c r="R40" s="11">
        <f t="shared" si="19"/>
        <v>0</v>
      </c>
      <c r="S40" s="11">
        <f t="shared" si="19"/>
        <v>0</v>
      </c>
      <c r="T40" s="11">
        <f t="shared" si="19"/>
        <v>0</v>
      </c>
      <c r="U40" s="11">
        <f t="shared" si="19"/>
        <v>0</v>
      </c>
      <c r="V40" s="11">
        <f t="shared" si="19"/>
        <v>0</v>
      </c>
      <c r="W40" s="11">
        <f t="shared" si="19"/>
        <v>0</v>
      </c>
      <c r="X40" s="11">
        <f t="shared" si="19"/>
        <v>0</v>
      </c>
      <c r="Y40" s="11">
        <f t="shared" si="19"/>
        <v>0</v>
      </c>
      <c r="Z40" s="11">
        <f t="shared" si="19"/>
        <v>0</v>
      </c>
      <c r="AA40" s="11">
        <f t="shared" si="19"/>
        <v>0</v>
      </c>
      <c r="AB40" s="11">
        <f t="shared" si="19"/>
        <v>0</v>
      </c>
      <c r="AC40" s="11">
        <f t="shared" si="19"/>
        <v>0</v>
      </c>
      <c r="AD40" s="11">
        <f t="shared" si="19"/>
        <v>0</v>
      </c>
      <c r="AE40" s="11">
        <f t="shared" si="19"/>
        <v>0</v>
      </c>
      <c r="AF40" s="11">
        <f t="shared" si="19"/>
        <v>0</v>
      </c>
      <c r="AG40" s="11">
        <f t="shared" si="19"/>
        <v>0</v>
      </c>
      <c r="AH40" s="11">
        <f t="shared" si="19"/>
        <v>0</v>
      </c>
      <c r="AI40" s="11">
        <f t="shared" si="19"/>
        <v>0</v>
      </c>
      <c r="AJ40" s="11">
        <f t="shared" si="19"/>
        <v>0</v>
      </c>
      <c r="AK40" s="11">
        <f t="shared" si="19"/>
        <v>0</v>
      </c>
      <c r="AL40" s="11">
        <f t="shared" si="19"/>
        <v>0</v>
      </c>
      <c r="AM40" s="11">
        <f t="shared" si="19"/>
        <v>0</v>
      </c>
      <c r="AN40" s="11">
        <f t="shared" si="19"/>
        <v>0</v>
      </c>
      <c r="AO40" s="11">
        <f t="shared" si="19"/>
        <v>0</v>
      </c>
      <c r="AP40" s="11">
        <f t="shared" si="19"/>
        <v>0</v>
      </c>
      <c r="AQ40" s="11">
        <f t="shared" si="19"/>
        <v>0</v>
      </c>
      <c r="AR40" s="11">
        <f t="shared" si="19"/>
        <v>0</v>
      </c>
      <c r="AS40" s="11">
        <f t="shared" si="19"/>
        <v>0</v>
      </c>
      <c r="AT40" s="11">
        <f t="shared" si="19"/>
        <v>0</v>
      </c>
      <c r="AU40" s="11">
        <f t="shared" si="19"/>
        <v>0</v>
      </c>
      <c r="AV40" s="11">
        <f t="shared" si="19"/>
        <v>0</v>
      </c>
      <c r="AW40" s="11">
        <f t="shared" si="19"/>
        <v>0</v>
      </c>
      <c r="AX40" s="11">
        <f t="shared" si="19"/>
        <v>0</v>
      </c>
      <c r="AY40" s="11">
        <f t="shared" si="19"/>
        <v>0</v>
      </c>
      <c r="AZ40" s="11">
        <f t="shared" si="19"/>
        <v>0</v>
      </c>
      <c r="BA40" s="11">
        <f t="shared" si="19"/>
        <v>0</v>
      </c>
      <c r="BB40" s="11">
        <f t="shared" si="19"/>
        <v>0</v>
      </c>
      <c r="BC40" s="11">
        <f t="shared" si="19"/>
        <v>0</v>
      </c>
      <c r="BD40" s="11">
        <f t="shared" si="19"/>
        <v>0</v>
      </c>
      <c r="BE40" s="11">
        <f t="shared" si="19"/>
        <v>0</v>
      </c>
      <c r="BF40" s="11">
        <f t="shared" si="19"/>
        <v>0</v>
      </c>
      <c r="BG40" s="11">
        <f t="shared" si="19"/>
        <v>0</v>
      </c>
      <c r="BH40" s="11">
        <f t="shared" si="19"/>
        <v>0</v>
      </c>
      <c r="BI40" s="11">
        <f t="shared" si="19"/>
        <v>0</v>
      </c>
      <c r="BJ40" s="11">
        <f t="shared" si="19"/>
        <v>0</v>
      </c>
      <c r="BK40" s="11">
        <f t="shared" si="19"/>
        <v>0</v>
      </c>
      <c r="BL40" s="11">
        <f t="shared" si="19"/>
        <v>0</v>
      </c>
      <c r="BM40" s="11">
        <f t="shared" si="19"/>
        <v>0</v>
      </c>
      <c r="BN40" s="11">
        <f t="shared" si="19"/>
        <v>0</v>
      </c>
      <c r="BO40" s="11">
        <f t="shared" si="19"/>
        <v>0</v>
      </c>
      <c r="BP40" s="11">
        <f t="shared" ref="BP40:CZ40" si="20">SUMPRODUCT($B38:$B39,BP38:BP39)</f>
        <v>0</v>
      </c>
      <c r="BQ40" s="11">
        <f t="shared" si="20"/>
        <v>0</v>
      </c>
      <c r="BR40" s="11">
        <f t="shared" si="20"/>
        <v>0</v>
      </c>
      <c r="BS40" s="11">
        <f t="shared" si="20"/>
        <v>0</v>
      </c>
      <c r="BT40" s="11">
        <f t="shared" si="20"/>
        <v>0</v>
      </c>
      <c r="BU40" s="11">
        <f t="shared" si="20"/>
        <v>0</v>
      </c>
      <c r="BV40" s="11">
        <f t="shared" si="20"/>
        <v>0</v>
      </c>
      <c r="BW40" s="11">
        <f t="shared" si="20"/>
        <v>0</v>
      </c>
      <c r="BX40" s="11">
        <f t="shared" si="20"/>
        <v>0</v>
      </c>
      <c r="BY40" s="11">
        <f t="shared" si="20"/>
        <v>0</v>
      </c>
      <c r="BZ40" s="11">
        <f t="shared" si="20"/>
        <v>0</v>
      </c>
      <c r="CA40" s="11">
        <f t="shared" si="20"/>
        <v>0</v>
      </c>
      <c r="CB40" s="11">
        <f t="shared" si="20"/>
        <v>0</v>
      </c>
      <c r="CC40" s="11">
        <f t="shared" si="20"/>
        <v>0</v>
      </c>
      <c r="CD40" s="11">
        <f t="shared" si="20"/>
        <v>0</v>
      </c>
      <c r="CE40" s="11">
        <f t="shared" si="20"/>
        <v>0</v>
      </c>
      <c r="CF40" s="11">
        <f t="shared" si="20"/>
        <v>0</v>
      </c>
      <c r="CG40" s="11">
        <f t="shared" si="20"/>
        <v>0</v>
      </c>
      <c r="CH40" s="11">
        <f t="shared" si="20"/>
        <v>0</v>
      </c>
      <c r="CI40" s="11">
        <f t="shared" si="20"/>
        <v>0</v>
      </c>
      <c r="CJ40" s="11">
        <f t="shared" si="20"/>
        <v>0</v>
      </c>
      <c r="CK40" s="11">
        <f t="shared" si="20"/>
        <v>0</v>
      </c>
      <c r="CL40" s="11">
        <f t="shared" si="20"/>
        <v>0</v>
      </c>
      <c r="CM40" s="11">
        <f t="shared" si="20"/>
        <v>0</v>
      </c>
      <c r="CN40" s="11">
        <f t="shared" si="20"/>
        <v>0</v>
      </c>
      <c r="CO40" s="11">
        <f t="shared" si="20"/>
        <v>0</v>
      </c>
      <c r="CP40" s="11">
        <f t="shared" si="20"/>
        <v>0</v>
      </c>
      <c r="CQ40" s="11">
        <f t="shared" si="20"/>
        <v>0</v>
      </c>
      <c r="CR40" s="11">
        <f t="shared" si="20"/>
        <v>0</v>
      </c>
      <c r="CS40" s="11">
        <f t="shared" si="20"/>
        <v>0</v>
      </c>
      <c r="CT40" s="11">
        <f t="shared" si="20"/>
        <v>0</v>
      </c>
      <c r="CU40" s="11">
        <f t="shared" si="20"/>
        <v>0</v>
      </c>
      <c r="CV40" s="11">
        <f t="shared" si="20"/>
        <v>0</v>
      </c>
      <c r="CW40" s="11">
        <f t="shared" si="20"/>
        <v>0</v>
      </c>
      <c r="CX40" s="11">
        <f t="shared" si="20"/>
        <v>0</v>
      </c>
      <c r="CY40" s="11">
        <f t="shared" si="20"/>
        <v>0</v>
      </c>
      <c r="CZ40" s="11">
        <f t="shared" si="20"/>
        <v>0</v>
      </c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</row>
    <row r="41" spans="1:122" ht="18" customHeight="1">
      <c r="A41" s="13" t="s">
        <v>29</v>
      </c>
      <c r="B41" s="14">
        <f>IFERROR(VLOOKUP(A41,PRICELIST!$A$3:$D$138,4,0),"-")</f>
        <v>78.790000000000006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9">
        <f t="shared" ref="CY41:CZ46" si="21">C41+E41+G41+I41+K41+M41+O41+Q41+S41+U41+W41+Y41+AA41+AC41+AE41+AG41+AI41+AK41+AM41+AO41+AQ41+AS41+AU41+AW41+AY41+BA41+BC41+BE41+BG41+BI41+BK41+BM41+BO41+BQ41+BS41+BU41+BW41+BY41+CA41+CC41+CE41+CG41+CI41+CK41+CM41+CO41+CQ41+CS41+CU41+CW41</f>
        <v>0</v>
      </c>
      <c r="CZ41" s="19">
        <f t="shared" si="21"/>
        <v>0</v>
      </c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</row>
    <row r="42" spans="1:122" ht="18" customHeight="1">
      <c r="A42" s="13" t="s">
        <v>30</v>
      </c>
      <c r="B42" s="14">
        <f>IFERROR(VLOOKUP(A42,PRICELIST!$A$3:$D$138,4,0),"-")</f>
        <v>142.29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9">
        <f t="shared" si="21"/>
        <v>0</v>
      </c>
      <c r="CZ42" s="19">
        <f t="shared" si="21"/>
        <v>0</v>
      </c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</row>
    <row r="43" spans="1:122" ht="18" customHeight="1">
      <c r="A43" s="13" t="s">
        <v>31</v>
      </c>
      <c r="B43" s="14">
        <f>IFERROR(VLOOKUP(A43,PRICELIST!$A$3:$D$138,4,0),"-")</f>
        <v>35.36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9">
        <f t="shared" si="21"/>
        <v>0</v>
      </c>
      <c r="CZ43" s="19">
        <f t="shared" si="21"/>
        <v>0</v>
      </c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</row>
    <row r="44" spans="1:122" ht="18" customHeight="1">
      <c r="A44" s="13" t="s">
        <v>32</v>
      </c>
      <c r="B44" s="14">
        <f>IFERROR(VLOOKUP(A44,PRICELIST!$A$3:$D$138,4,0),"-")</f>
        <v>175.18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9">
        <f t="shared" si="21"/>
        <v>0</v>
      </c>
      <c r="CZ44" s="19">
        <f t="shared" si="21"/>
        <v>0</v>
      </c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</row>
    <row r="45" spans="1:122" ht="18" customHeight="1">
      <c r="A45" s="13" t="s">
        <v>33</v>
      </c>
      <c r="B45" s="14">
        <f>IFERROR(VLOOKUP(A45,PRICELIST!$A$3:$D$138,4,0),"-")</f>
        <v>42.72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9">
        <f t="shared" si="21"/>
        <v>0</v>
      </c>
      <c r="CZ45" s="19">
        <f t="shared" si="21"/>
        <v>0</v>
      </c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</row>
    <row r="46" spans="1:122" ht="18" customHeight="1">
      <c r="A46" s="13" t="s">
        <v>34</v>
      </c>
      <c r="B46" s="14">
        <f>IFERROR(VLOOKUP(A46,PRICELIST!$A$3:$D$138,4,0),"-")</f>
        <v>84.28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9">
        <f t="shared" si="21"/>
        <v>0</v>
      </c>
      <c r="CZ46" s="19">
        <f t="shared" si="21"/>
        <v>0</v>
      </c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</row>
    <row r="47" spans="1:122" ht="18" customHeight="1">
      <c r="A47" s="9" t="s">
        <v>35</v>
      </c>
      <c r="B47" s="10"/>
      <c r="C47" s="11">
        <f>SUMPRODUCT($B41:$B46,C41:C46)</f>
        <v>0</v>
      </c>
      <c r="D47" s="11">
        <f t="shared" ref="D47:BO47" si="22">SUMPRODUCT($B41:$B46,D41:D46)</f>
        <v>0</v>
      </c>
      <c r="E47" s="11">
        <f t="shared" si="22"/>
        <v>0</v>
      </c>
      <c r="F47" s="11">
        <f t="shared" si="22"/>
        <v>0</v>
      </c>
      <c r="G47" s="11">
        <f t="shared" si="22"/>
        <v>0</v>
      </c>
      <c r="H47" s="11">
        <f t="shared" si="22"/>
        <v>0</v>
      </c>
      <c r="I47" s="11">
        <f t="shared" si="22"/>
        <v>0</v>
      </c>
      <c r="J47" s="11">
        <f t="shared" si="22"/>
        <v>0</v>
      </c>
      <c r="K47" s="11">
        <f t="shared" si="22"/>
        <v>0</v>
      </c>
      <c r="L47" s="11">
        <f t="shared" si="22"/>
        <v>0</v>
      </c>
      <c r="M47" s="11">
        <f t="shared" si="22"/>
        <v>0</v>
      </c>
      <c r="N47" s="11">
        <f t="shared" si="22"/>
        <v>0</v>
      </c>
      <c r="O47" s="11">
        <f t="shared" si="22"/>
        <v>0</v>
      </c>
      <c r="P47" s="11">
        <f t="shared" si="22"/>
        <v>0</v>
      </c>
      <c r="Q47" s="11">
        <f t="shared" si="22"/>
        <v>0</v>
      </c>
      <c r="R47" s="11">
        <f t="shared" si="22"/>
        <v>0</v>
      </c>
      <c r="S47" s="11">
        <f t="shared" si="22"/>
        <v>0</v>
      </c>
      <c r="T47" s="11">
        <f t="shared" si="22"/>
        <v>0</v>
      </c>
      <c r="U47" s="11">
        <f t="shared" si="22"/>
        <v>0</v>
      </c>
      <c r="V47" s="11">
        <f t="shared" si="22"/>
        <v>0</v>
      </c>
      <c r="W47" s="11">
        <f t="shared" si="22"/>
        <v>0</v>
      </c>
      <c r="X47" s="11">
        <f t="shared" si="22"/>
        <v>0</v>
      </c>
      <c r="Y47" s="11">
        <f t="shared" si="22"/>
        <v>0</v>
      </c>
      <c r="Z47" s="11">
        <f t="shared" si="22"/>
        <v>0</v>
      </c>
      <c r="AA47" s="11">
        <f t="shared" si="22"/>
        <v>0</v>
      </c>
      <c r="AB47" s="11">
        <f t="shared" si="22"/>
        <v>0</v>
      </c>
      <c r="AC47" s="11">
        <f t="shared" si="22"/>
        <v>0</v>
      </c>
      <c r="AD47" s="11">
        <f t="shared" si="22"/>
        <v>0</v>
      </c>
      <c r="AE47" s="11">
        <f t="shared" si="22"/>
        <v>0</v>
      </c>
      <c r="AF47" s="11">
        <f t="shared" si="22"/>
        <v>0</v>
      </c>
      <c r="AG47" s="11">
        <f t="shared" si="22"/>
        <v>0</v>
      </c>
      <c r="AH47" s="11">
        <f t="shared" si="22"/>
        <v>0</v>
      </c>
      <c r="AI47" s="11">
        <f t="shared" si="22"/>
        <v>0</v>
      </c>
      <c r="AJ47" s="11">
        <f t="shared" si="22"/>
        <v>0</v>
      </c>
      <c r="AK47" s="11">
        <f t="shared" si="22"/>
        <v>0</v>
      </c>
      <c r="AL47" s="11">
        <f t="shared" si="22"/>
        <v>0</v>
      </c>
      <c r="AM47" s="11">
        <f t="shared" si="22"/>
        <v>0</v>
      </c>
      <c r="AN47" s="11">
        <f t="shared" si="22"/>
        <v>0</v>
      </c>
      <c r="AO47" s="11">
        <f t="shared" si="22"/>
        <v>0</v>
      </c>
      <c r="AP47" s="11">
        <f t="shared" si="22"/>
        <v>0</v>
      </c>
      <c r="AQ47" s="11">
        <f t="shared" si="22"/>
        <v>0</v>
      </c>
      <c r="AR47" s="11">
        <f t="shared" si="22"/>
        <v>0</v>
      </c>
      <c r="AS47" s="11">
        <f t="shared" si="22"/>
        <v>0</v>
      </c>
      <c r="AT47" s="11">
        <f t="shared" si="22"/>
        <v>0</v>
      </c>
      <c r="AU47" s="11">
        <f t="shared" si="22"/>
        <v>0</v>
      </c>
      <c r="AV47" s="11">
        <f t="shared" si="22"/>
        <v>0</v>
      </c>
      <c r="AW47" s="11">
        <f t="shared" si="22"/>
        <v>0</v>
      </c>
      <c r="AX47" s="11">
        <f t="shared" si="22"/>
        <v>0</v>
      </c>
      <c r="AY47" s="11">
        <f t="shared" si="22"/>
        <v>0</v>
      </c>
      <c r="AZ47" s="11">
        <f t="shared" si="22"/>
        <v>0</v>
      </c>
      <c r="BA47" s="11">
        <f t="shared" si="22"/>
        <v>0</v>
      </c>
      <c r="BB47" s="11">
        <f t="shared" si="22"/>
        <v>0</v>
      </c>
      <c r="BC47" s="11">
        <f t="shared" si="22"/>
        <v>0</v>
      </c>
      <c r="BD47" s="11">
        <f t="shared" si="22"/>
        <v>0</v>
      </c>
      <c r="BE47" s="11">
        <f t="shared" si="22"/>
        <v>0</v>
      </c>
      <c r="BF47" s="11">
        <f t="shared" si="22"/>
        <v>0</v>
      </c>
      <c r="BG47" s="11">
        <f t="shared" si="22"/>
        <v>0</v>
      </c>
      <c r="BH47" s="11">
        <f t="shared" si="22"/>
        <v>0</v>
      </c>
      <c r="BI47" s="11">
        <f t="shared" si="22"/>
        <v>0</v>
      </c>
      <c r="BJ47" s="11">
        <f t="shared" si="22"/>
        <v>0</v>
      </c>
      <c r="BK47" s="11">
        <f t="shared" si="22"/>
        <v>0</v>
      </c>
      <c r="BL47" s="11">
        <f t="shared" si="22"/>
        <v>0</v>
      </c>
      <c r="BM47" s="11">
        <f t="shared" si="22"/>
        <v>0</v>
      </c>
      <c r="BN47" s="11">
        <f t="shared" si="22"/>
        <v>0</v>
      </c>
      <c r="BO47" s="11">
        <f t="shared" si="22"/>
        <v>0</v>
      </c>
      <c r="BP47" s="11">
        <f t="shared" ref="BP47:CZ47" si="23">SUMPRODUCT($B41:$B46,BP41:BP46)</f>
        <v>0</v>
      </c>
      <c r="BQ47" s="11">
        <f t="shared" si="23"/>
        <v>0</v>
      </c>
      <c r="BR47" s="11">
        <f t="shared" si="23"/>
        <v>0</v>
      </c>
      <c r="BS47" s="11">
        <f t="shared" si="23"/>
        <v>0</v>
      </c>
      <c r="BT47" s="11">
        <f t="shared" si="23"/>
        <v>0</v>
      </c>
      <c r="BU47" s="11">
        <f t="shared" si="23"/>
        <v>0</v>
      </c>
      <c r="BV47" s="11">
        <f t="shared" si="23"/>
        <v>0</v>
      </c>
      <c r="BW47" s="11">
        <f t="shared" si="23"/>
        <v>0</v>
      </c>
      <c r="BX47" s="11">
        <f t="shared" si="23"/>
        <v>0</v>
      </c>
      <c r="BY47" s="11">
        <f t="shared" si="23"/>
        <v>0</v>
      </c>
      <c r="BZ47" s="11">
        <f t="shared" si="23"/>
        <v>0</v>
      </c>
      <c r="CA47" s="11">
        <f t="shared" si="23"/>
        <v>0</v>
      </c>
      <c r="CB47" s="11">
        <f t="shared" si="23"/>
        <v>0</v>
      </c>
      <c r="CC47" s="11">
        <f t="shared" si="23"/>
        <v>0</v>
      </c>
      <c r="CD47" s="11">
        <f t="shared" si="23"/>
        <v>0</v>
      </c>
      <c r="CE47" s="11">
        <f t="shared" si="23"/>
        <v>0</v>
      </c>
      <c r="CF47" s="11">
        <f t="shared" si="23"/>
        <v>0</v>
      </c>
      <c r="CG47" s="11">
        <f t="shared" si="23"/>
        <v>0</v>
      </c>
      <c r="CH47" s="11">
        <f t="shared" si="23"/>
        <v>0</v>
      </c>
      <c r="CI47" s="11">
        <f t="shared" si="23"/>
        <v>0</v>
      </c>
      <c r="CJ47" s="11">
        <f t="shared" si="23"/>
        <v>0</v>
      </c>
      <c r="CK47" s="11">
        <f t="shared" si="23"/>
        <v>0</v>
      </c>
      <c r="CL47" s="11">
        <f t="shared" si="23"/>
        <v>0</v>
      </c>
      <c r="CM47" s="11">
        <f t="shared" si="23"/>
        <v>0</v>
      </c>
      <c r="CN47" s="11">
        <f t="shared" si="23"/>
        <v>0</v>
      </c>
      <c r="CO47" s="11">
        <f t="shared" si="23"/>
        <v>0</v>
      </c>
      <c r="CP47" s="11">
        <f t="shared" si="23"/>
        <v>0</v>
      </c>
      <c r="CQ47" s="11">
        <f t="shared" si="23"/>
        <v>0</v>
      </c>
      <c r="CR47" s="11">
        <f t="shared" si="23"/>
        <v>0</v>
      </c>
      <c r="CS47" s="11">
        <f t="shared" si="23"/>
        <v>0</v>
      </c>
      <c r="CT47" s="11">
        <f t="shared" si="23"/>
        <v>0</v>
      </c>
      <c r="CU47" s="11">
        <f t="shared" si="23"/>
        <v>0</v>
      </c>
      <c r="CV47" s="11">
        <f t="shared" si="23"/>
        <v>0</v>
      </c>
      <c r="CW47" s="11">
        <f t="shared" si="23"/>
        <v>0</v>
      </c>
      <c r="CX47" s="11">
        <f t="shared" si="23"/>
        <v>0</v>
      </c>
      <c r="CY47" s="11">
        <f t="shared" si="23"/>
        <v>0</v>
      </c>
      <c r="CZ47" s="11">
        <f t="shared" si="23"/>
        <v>0</v>
      </c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</row>
    <row r="48" spans="1:122" ht="18" customHeight="1">
      <c r="A48" s="4" t="s">
        <v>81</v>
      </c>
      <c r="B48" s="14">
        <f>IFERROR(VLOOKUP(A48,PRICELIST!$A$3:$D$138,4,0),"-")</f>
        <v>201.26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9">
        <f t="shared" ref="CY48:CZ48" si="24">C48+E48+G48+I48+K48+M48+O48+Q48+S48+U48+W48+Y48+AA48+AC48+AE48+AG48+AI48+AK48+AM48+AO48+AQ48+AS48+AU48+AW48+AY48+BA48+BC48+BE48+BG48+BI48+BK48+BM48+BO48+BQ48+BS48+BU48+BW48+BY48+CA48+CC48+CE48+CG48+CI48+CK48+CM48+CO48+CQ48+CS48+CU48+CW48</f>
        <v>0</v>
      </c>
      <c r="CZ48" s="19">
        <f t="shared" si="24"/>
        <v>0</v>
      </c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</row>
    <row r="49" spans="1:122" ht="18" customHeight="1">
      <c r="A49" s="9" t="s">
        <v>77</v>
      </c>
      <c r="B49" s="15"/>
      <c r="C49" s="11">
        <f>SUMPRODUCT($B48*C48)</f>
        <v>0</v>
      </c>
      <c r="D49" s="11">
        <f t="shared" ref="D49:BO49" si="25">SUMPRODUCT($B48*D48)</f>
        <v>0</v>
      </c>
      <c r="E49" s="11">
        <f t="shared" si="25"/>
        <v>0</v>
      </c>
      <c r="F49" s="11">
        <f t="shared" si="25"/>
        <v>0</v>
      </c>
      <c r="G49" s="11">
        <f t="shared" si="25"/>
        <v>0</v>
      </c>
      <c r="H49" s="11">
        <f t="shared" si="25"/>
        <v>0</v>
      </c>
      <c r="I49" s="11">
        <f t="shared" si="25"/>
        <v>0</v>
      </c>
      <c r="J49" s="11">
        <f t="shared" si="25"/>
        <v>0</v>
      </c>
      <c r="K49" s="11">
        <f t="shared" si="25"/>
        <v>0</v>
      </c>
      <c r="L49" s="11">
        <f t="shared" si="25"/>
        <v>0</v>
      </c>
      <c r="M49" s="11">
        <f t="shared" si="25"/>
        <v>0</v>
      </c>
      <c r="N49" s="11">
        <f t="shared" si="25"/>
        <v>0</v>
      </c>
      <c r="O49" s="11">
        <f t="shared" si="25"/>
        <v>0</v>
      </c>
      <c r="P49" s="11">
        <f t="shared" si="25"/>
        <v>0</v>
      </c>
      <c r="Q49" s="11">
        <f t="shared" si="25"/>
        <v>0</v>
      </c>
      <c r="R49" s="11">
        <f t="shared" si="25"/>
        <v>0</v>
      </c>
      <c r="S49" s="11">
        <f t="shared" si="25"/>
        <v>0</v>
      </c>
      <c r="T49" s="11">
        <f t="shared" si="25"/>
        <v>0</v>
      </c>
      <c r="U49" s="11">
        <f t="shared" si="25"/>
        <v>0</v>
      </c>
      <c r="V49" s="11">
        <f t="shared" si="25"/>
        <v>0</v>
      </c>
      <c r="W49" s="11">
        <f t="shared" si="25"/>
        <v>0</v>
      </c>
      <c r="X49" s="11">
        <f t="shared" si="25"/>
        <v>0</v>
      </c>
      <c r="Y49" s="11">
        <f t="shared" si="25"/>
        <v>0</v>
      </c>
      <c r="Z49" s="11">
        <f t="shared" si="25"/>
        <v>0</v>
      </c>
      <c r="AA49" s="11">
        <f t="shared" si="25"/>
        <v>0</v>
      </c>
      <c r="AB49" s="11">
        <f t="shared" si="25"/>
        <v>0</v>
      </c>
      <c r="AC49" s="11">
        <f t="shared" si="25"/>
        <v>0</v>
      </c>
      <c r="AD49" s="11">
        <f t="shared" si="25"/>
        <v>0</v>
      </c>
      <c r="AE49" s="11">
        <f t="shared" si="25"/>
        <v>0</v>
      </c>
      <c r="AF49" s="11">
        <f t="shared" si="25"/>
        <v>0</v>
      </c>
      <c r="AG49" s="11">
        <f t="shared" si="25"/>
        <v>0</v>
      </c>
      <c r="AH49" s="11">
        <f t="shared" si="25"/>
        <v>0</v>
      </c>
      <c r="AI49" s="11">
        <f t="shared" si="25"/>
        <v>0</v>
      </c>
      <c r="AJ49" s="11">
        <f t="shared" si="25"/>
        <v>0</v>
      </c>
      <c r="AK49" s="11">
        <f t="shared" si="25"/>
        <v>0</v>
      </c>
      <c r="AL49" s="11">
        <f t="shared" si="25"/>
        <v>0</v>
      </c>
      <c r="AM49" s="11">
        <f t="shared" si="25"/>
        <v>0</v>
      </c>
      <c r="AN49" s="11">
        <f t="shared" si="25"/>
        <v>0</v>
      </c>
      <c r="AO49" s="11">
        <f t="shared" si="25"/>
        <v>0</v>
      </c>
      <c r="AP49" s="11">
        <f t="shared" si="25"/>
        <v>0</v>
      </c>
      <c r="AQ49" s="11">
        <f t="shared" si="25"/>
        <v>0</v>
      </c>
      <c r="AR49" s="11">
        <f t="shared" si="25"/>
        <v>0</v>
      </c>
      <c r="AS49" s="11">
        <f t="shared" si="25"/>
        <v>0</v>
      </c>
      <c r="AT49" s="11">
        <f t="shared" si="25"/>
        <v>0</v>
      </c>
      <c r="AU49" s="11">
        <f t="shared" si="25"/>
        <v>0</v>
      </c>
      <c r="AV49" s="11">
        <f t="shared" si="25"/>
        <v>0</v>
      </c>
      <c r="AW49" s="11">
        <f t="shared" si="25"/>
        <v>0</v>
      </c>
      <c r="AX49" s="11">
        <f t="shared" si="25"/>
        <v>0</v>
      </c>
      <c r="AY49" s="11">
        <f t="shared" si="25"/>
        <v>0</v>
      </c>
      <c r="AZ49" s="11">
        <f t="shared" si="25"/>
        <v>0</v>
      </c>
      <c r="BA49" s="11">
        <f t="shared" si="25"/>
        <v>0</v>
      </c>
      <c r="BB49" s="11">
        <f t="shared" si="25"/>
        <v>0</v>
      </c>
      <c r="BC49" s="11">
        <f t="shared" si="25"/>
        <v>0</v>
      </c>
      <c r="BD49" s="11">
        <f t="shared" si="25"/>
        <v>0</v>
      </c>
      <c r="BE49" s="11">
        <f t="shared" si="25"/>
        <v>0</v>
      </c>
      <c r="BF49" s="11">
        <f t="shared" si="25"/>
        <v>0</v>
      </c>
      <c r="BG49" s="11">
        <f t="shared" si="25"/>
        <v>0</v>
      </c>
      <c r="BH49" s="11">
        <f t="shared" si="25"/>
        <v>0</v>
      </c>
      <c r="BI49" s="11">
        <f t="shared" si="25"/>
        <v>0</v>
      </c>
      <c r="BJ49" s="11">
        <f t="shared" si="25"/>
        <v>0</v>
      </c>
      <c r="BK49" s="11">
        <f t="shared" si="25"/>
        <v>0</v>
      </c>
      <c r="BL49" s="11">
        <f t="shared" si="25"/>
        <v>0</v>
      </c>
      <c r="BM49" s="11">
        <f t="shared" si="25"/>
        <v>0</v>
      </c>
      <c r="BN49" s="11">
        <f t="shared" si="25"/>
        <v>0</v>
      </c>
      <c r="BO49" s="11">
        <f t="shared" si="25"/>
        <v>0</v>
      </c>
      <c r="BP49" s="11">
        <f t="shared" ref="BP49:CZ49" si="26">SUMPRODUCT($B48*BP48)</f>
        <v>0</v>
      </c>
      <c r="BQ49" s="11">
        <f t="shared" si="26"/>
        <v>0</v>
      </c>
      <c r="BR49" s="11">
        <f t="shared" si="26"/>
        <v>0</v>
      </c>
      <c r="BS49" s="11">
        <f t="shared" si="26"/>
        <v>0</v>
      </c>
      <c r="BT49" s="11">
        <f t="shared" si="26"/>
        <v>0</v>
      </c>
      <c r="BU49" s="11">
        <f t="shared" si="26"/>
        <v>0</v>
      </c>
      <c r="BV49" s="11">
        <f t="shared" si="26"/>
        <v>0</v>
      </c>
      <c r="BW49" s="11">
        <f t="shared" si="26"/>
        <v>0</v>
      </c>
      <c r="BX49" s="11">
        <f t="shared" si="26"/>
        <v>0</v>
      </c>
      <c r="BY49" s="11">
        <f t="shared" si="26"/>
        <v>0</v>
      </c>
      <c r="BZ49" s="11">
        <f t="shared" si="26"/>
        <v>0</v>
      </c>
      <c r="CA49" s="11">
        <f t="shared" si="26"/>
        <v>0</v>
      </c>
      <c r="CB49" s="11">
        <f t="shared" si="26"/>
        <v>0</v>
      </c>
      <c r="CC49" s="11">
        <f t="shared" si="26"/>
        <v>0</v>
      </c>
      <c r="CD49" s="11">
        <f t="shared" si="26"/>
        <v>0</v>
      </c>
      <c r="CE49" s="11">
        <f t="shared" si="26"/>
        <v>0</v>
      </c>
      <c r="CF49" s="11">
        <f t="shared" si="26"/>
        <v>0</v>
      </c>
      <c r="CG49" s="11">
        <f t="shared" si="26"/>
        <v>0</v>
      </c>
      <c r="CH49" s="11">
        <f t="shared" si="26"/>
        <v>0</v>
      </c>
      <c r="CI49" s="11">
        <f t="shared" si="26"/>
        <v>0</v>
      </c>
      <c r="CJ49" s="11">
        <f t="shared" si="26"/>
        <v>0</v>
      </c>
      <c r="CK49" s="11">
        <f t="shared" si="26"/>
        <v>0</v>
      </c>
      <c r="CL49" s="11">
        <f t="shared" si="26"/>
        <v>0</v>
      </c>
      <c r="CM49" s="11">
        <f t="shared" si="26"/>
        <v>0</v>
      </c>
      <c r="CN49" s="11">
        <f t="shared" si="26"/>
        <v>0</v>
      </c>
      <c r="CO49" s="11">
        <f t="shared" si="26"/>
        <v>0</v>
      </c>
      <c r="CP49" s="11">
        <f t="shared" si="26"/>
        <v>0</v>
      </c>
      <c r="CQ49" s="11">
        <f t="shared" si="26"/>
        <v>0</v>
      </c>
      <c r="CR49" s="11">
        <f t="shared" si="26"/>
        <v>0</v>
      </c>
      <c r="CS49" s="11">
        <f t="shared" si="26"/>
        <v>0</v>
      </c>
      <c r="CT49" s="11">
        <f t="shared" si="26"/>
        <v>0</v>
      </c>
      <c r="CU49" s="11">
        <f t="shared" si="26"/>
        <v>0</v>
      </c>
      <c r="CV49" s="11">
        <f t="shared" si="26"/>
        <v>0</v>
      </c>
      <c r="CW49" s="11">
        <f t="shared" si="26"/>
        <v>0</v>
      </c>
      <c r="CX49" s="11">
        <f t="shared" si="26"/>
        <v>0</v>
      </c>
      <c r="CY49" s="11">
        <f t="shared" si="26"/>
        <v>0</v>
      </c>
      <c r="CZ49" s="11">
        <f t="shared" si="26"/>
        <v>0</v>
      </c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</row>
    <row r="50" spans="1:122" ht="18" customHeight="1">
      <c r="A50" s="4" t="s">
        <v>82</v>
      </c>
      <c r="B50" s="14">
        <f>IFERROR(VLOOKUP(A50,PRICELIST!$A$3:$D$138,4,0),"-")</f>
        <v>170.19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9">
        <f t="shared" ref="CY50:CZ52" si="27">C50+E50+G50+I50+K50+M50+O50+Q50+S50+U50+W50+Y50+AA50+AC50+AE50+AG50+AI50+AK50+AM50+AO50+AQ50+AS50+AU50+AW50+AY50+BA50+BC50+BE50+BG50+BI50+BK50+BM50+BO50+BQ50+BS50+BU50+BW50+BY50+CA50+CC50+CE50+CG50+CI50+CK50+CM50+CO50+CQ50+CS50+CU50+CW50</f>
        <v>0</v>
      </c>
      <c r="CZ50" s="19">
        <f t="shared" si="27"/>
        <v>0</v>
      </c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</row>
    <row r="51" spans="1:122" ht="18" customHeight="1">
      <c r="A51" s="4" t="s">
        <v>83</v>
      </c>
      <c r="B51" s="14">
        <f>IFERROR(VLOOKUP(A51,PRICELIST!$A$3:$D$138,4,0),"-")</f>
        <v>209.89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9">
        <f t="shared" si="27"/>
        <v>0</v>
      </c>
      <c r="CZ51" s="19">
        <f t="shared" si="27"/>
        <v>0</v>
      </c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</row>
    <row r="52" spans="1:122" ht="18" customHeight="1">
      <c r="A52" s="4" t="s">
        <v>84</v>
      </c>
      <c r="B52" s="14">
        <f>IFERROR(VLOOKUP(A52,PRICELIST!$A$3:$D$138,4,0),"-")</f>
        <v>302.79000000000002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9">
        <f t="shared" si="27"/>
        <v>0</v>
      </c>
      <c r="CZ52" s="19">
        <f t="shared" si="27"/>
        <v>0</v>
      </c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</row>
    <row r="53" spans="1:122" ht="18" customHeight="1">
      <c r="A53" s="9" t="s">
        <v>89</v>
      </c>
      <c r="B53" s="15"/>
      <c r="C53" s="11">
        <f>SUMPRODUCT($B50:$B52,C50:C52)</f>
        <v>0</v>
      </c>
      <c r="D53" s="11">
        <f t="shared" ref="D53:BO53" si="28">SUMPRODUCT($B50:$B52,D50:D52)</f>
        <v>0</v>
      </c>
      <c r="E53" s="11">
        <f t="shared" si="28"/>
        <v>0</v>
      </c>
      <c r="F53" s="11">
        <f t="shared" si="28"/>
        <v>0</v>
      </c>
      <c r="G53" s="11">
        <f t="shared" si="28"/>
        <v>0</v>
      </c>
      <c r="H53" s="11">
        <f t="shared" si="28"/>
        <v>0</v>
      </c>
      <c r="I53" s="11">
        <f t="shared" si="28"/>
        <v>0</v>
      </c>
      <c r="J53" s="11">
        <f t="shared" si="28"/>
        <v>0</v>
      </c>
      <c r="K53" s="11">
        <f t="shared" si="28"/>
        <v>0</v>
      </c>
      <c r="L53" s="11">
        <f t="shared" si="28"/>
        <v>0</v>
      </c>
      <c r="M53" s="11">
        <f t="shared" si="28"/>
        <v>0</v>
      </c>
      <c r="N53" s="11">
        <f t="shared" si="28"/>
        <v>0</v>
      </c>
      <c r="O53" s="11">
        <f t="shared" si="28"/>
        <v>0</v>
      </c>
      <c r="P53" s="11">
        <f t="shared" si="28"/>
        <v>0</v>
      </c>
      <c r="Q53" s="11">
        <f t="shared" si="28"/>
        <v>0</v>
      </c>
      <c r="R53" s="11">
        <f t="shared" si="28"/>
        <v>0</v>
      </c>
      <c r="S53" s="11">
        <f t="shared" si="28"/>
        <v>0</v>
      </c>
      <c r="T53" s="11">
        <f t="shared" si="28"/>
        <v>0</v>
      </c>
      <c r="U53" s="11">
        <f t="shared" si="28"/>
        <v>0</v>
      </c>
      <c r="V53" s="11">
        <f t="shared" si="28"/>
        <v>0</v>
      </c>
      <c r="W53" s="11">
        <f t="shared" si="28"/>
        <v>0</v>
      </c>
      <c r="X53" s="11">
        <f t="shared" si="28"/>
        <v>0</v>
      </c>
      <c r="Y53" s="11">
        <f t="shared" si="28"/>
        <v>0</v>
      </c>
      <c r="Z53" s="11">
        <f t="shared" si="28"/>
        <v>0</v>
      </c>
      <c r="AA53" s="11">
        <f t="shared" si="28"/>
        <v>0</v>
      </c>
      <c r="AB53" s="11">
        <f t="shared" si="28"/>
        <v>0</v>
      </c>
      <c r="AC53" s="11">
        <f t="shared" si="28"/>
        <v>0</v>
      </c>
      <c r="AD53" s="11">
        <f t="shared" si="28"/>
        <v>0</v>
      </c>
      <c r="AE53" s="11">
        <f t="shared" si="28"/>
        <v>0</v>
      </c>
      <c r="AF53" s="11">
        <f t="shared" si="28"/>
        <v>0</v>
      </c>
      <c r="AG53" s="11">
        <f t="shared" si="28"/>
        <v>0</v>
      </c>
      <c r="AH53" s="11">
        <f t="shared" si="28"/>
        <v>0</v>
      </c>
      <c r="AI53" s="11">
        <f t="shared" si="28"/>
        <v>0</v>
      </c>
      <c r="AJ53" s="11">
        <f t="shared" si="28"/>
        <v>0</v>
      </c>
      <c r="AK53" s="11">
        <f t="shared" si="28"/>
        <v>0</v>
      </c>
      <c r="AL53" s="11">
        <f t="shared" si="28"/>
        <v>0</v>
      </c>
      <c r="AM53" s="11">
        <f t="shared" si="28"/>
        <v>0</v>
      </c>
      <c r="AN53" s="11">
        <f t="shared" si="28"/>
        <v>0</v>
      </c>
      <c r="AO53" s="11">
        <f t="shared" si="28"/>
        <v>0</v>
      </c>
      <c r="AP53" s="11">
        <f t="shared" si="28"/>
        <v>0</v>
      </c>
      <c r="AQ53" s="11">
        <f t="shared" si="28"/>
        <v>0</v>
      </c>
      <c r="AR53" s="11">
        <f t="shared" si="28"/>
        <v>0</v>
      </c>
      <c r="AS53" s="11">
        <f t="shared" si="28"/>
        <v>0</v>
      </c>
      <c r="AT53" s="11">
        <f t="shared" si="28"/>
        <v>0</v>
      </c>
      <c r="AU53" s="11">
        <f t="shared" si="28"/>
        <v>0</v>
      </c>
      <c r="AV53" s="11">
        <f t="shared" si="28"/>
        <v>0</v>
      </c>
      <c r="AW53" s="11">
        <f t="shared" si="28"/>
        <v>0</v>
      </c>
      <c r="AX53" s="11">
        <f t="shared" si="28"/>
        <v>0</v>
      </c>
      <c r="AY53" s="11">
        <f t="shared" si="28"/>
        <v>0</v>
      </c>
      <c r="AZ53" s="11">
        <f t="shared" si="28"/>
        <v>0</v>
      </c>
      <c r="BA53" s="11">
        <f t="shared" si="28"/>
        <v>0</v>
      </c>
      <c r="BB53" s="11">
        <f t="shared" si="28"/>
        <v>0</v>
      </c>
      <c r="BC53" s="11">
        <f t="shared" si="28"/>
        <v>0</v>
      </c>
      <c r="BD53" s="11">
        <f t="shared" si="28"/>
        <v>0</v>
      </c>
      <c r="BE53" s="11">
        <f t="shared" si="28"/>
        <v>0</v>
      </c>
      <c r="BF53" s="11">
        <f t="shared" si="28"/>
        <v>0</v>
      </c>
      <c r="BG53" s="11">
        <f t="shared" si="28"/>
        <v>0</v>
      </c>
      <c r="BH53" s="11">
        <f t="shared" si="28"/>
        <v>0</v>
      </c>
      <c r="BI53" s="11">
        <f t="shared" si="28"/>
        <v>0</v>
      </c>
      <c r="BJ53" s="11">
        <f t="shared" si="28"/>
        <v>0</v>
      </c>
      <c r="BK53" s="11">
        <f t="shared" si="28"/>
        <v>0</v>
      </c>
      <c r="BL53" s="11">
        <f t="shared" si="28"/>
        <v>0</v>
      </c>
      <c r="BM53" s="11">
        <f t="shared" si="28"/>
        <v>0</v>
      </c>
      <c r="BN53" s="11">
        <f t="shared" si="28"/>
        <v>0</v>
      </c>
      <c r="BO53" s="11">
        <f t="shared" si="28"/>
        <v>0</v>
      </c>
      <c r="BP53" s="11">
        <f t="shared" ref="BP53:CZ53" si="29">SUMPRODUCT($B50:$B52,BP50:BP52)</f>
        <v>0</v>
      </c>
      <c r="BQ53" s="11">
        <f t="shared" si="29"/>
        <v>0</v>
      </c>
      <c r="BR53" s="11">
        <f t="shared" si="29"/>
        <v>0</v>
      </c>
      <c r="BS53" s="11">
        <f t="shared" si="29"/>
        <v>0</v>
      </c>
      <c r="BT53" s="11">
        <f t="shared" si="29"/>
        <v>0</v>
      </c>
      <c r="BU53" s="11">
        <f t="shared" si="29"/>
        <v>0</v>
      </c>
      <c r="BV53" s="11">
        <f t="shared" si="29"/>
        <v>0</v>
      </c>
      <c r="BW53" s="11">
        <f t="shared" si="29"/>
        <v>0</v>
      </c>
      <c r="BX53" s="11">
        <f t="shared" si="29"/>
        <v>0</v>
      </c>
      <c r="BY53" s="11">
        <f t="shared" si="29"/>
        <v>0</v>
      </c>
      <c r="BZ53" s="11">
        <f t="shared" si="29"/>
        <v>0</v>
      </c>
      <c r="CA53" s="11">
        <f t="shared" si="29"/>
        <v>0</v>
      </c>
      <c r="CB53" s="11">
        <f t="shared" si="29"/>
        <v>0</v>
      </c>
      <c r="CC53" s="11">
        <f t="shared" si="29"/>
        <v>0</v>
      </c>
      <c r="CD53" s="11">
        <f t="shared" si="29"/>
        <v>0</v>
      </c>
      <c r="CE53" s="11">
        <f t="shared" si="29"/>
        <v>0</v>
      </c>
      <c r="CF53" s="11">
        <f t="shared" si="29"/>
        <v>0</v>
      </c>
      <c r="CG53" s="11">
        <f t="shared" si="29"/>
        <v>0</v>
      </c>
      <c r="CH53" s="11">
        <f t="shared" si="29"/>
        <v>0</v>
      </c>
      <c r="CI53" s="11">
        <f t="shared" si="29"/>
        <v>0</v>
      </c>
      <c r="CJ53" s="11">
        <f t="shared" si="29"/>
        <v>0</v>
      </c>
      <c r="CK53" s="11">
        <f t="shared" si="29"/>
        <v>0</v>
      </c>
      <c r="CL53" s="11">
        <f t="shared" si="29"/>
        <v>0</v>
      </c>
      <c r="CM53" s="11">
        <f t="shared" si="29"/>
        <v>0</v>
      </c>
      <c r="CN53" s="11">
        <f t="shared" si="29"/>
        <v>0</v>
      </c>
      <c r="CO53" s="11">
        <f t="shared" si="29"/>
        <v>0</v>
      </c>
      <c r="CP53" s="11">
        <f t="shared" si="29"/>
        <v>0</v>
      </c>
      <c r="CQ53" s="11">
        <f t="shared" si="29"/>
        <v>0</v>
      </c>
      <c r="CR53" s="11">
        <f t="shared" si="29"/>
        <v>0</v>
      </c>
      <c r="CS53" s="11">
        <f t="shared" si="29"/>
        <v>0</v>
      </c>
      <c r="CT53" s="11">
        <f t="shared" si="29"/>
        <v>0</v>
      </c>
      <c r="CU53" s="11">
        <f t="shared" si="29"/>
        <v>0</v>
      </c>
      <c r="CV53" s="11">
        <f t="shared" si="29"/>
        <v>0</v>
      </c>
      <c r="CW53" s="11">
        <f t="shared" si="29"/>
        <v>0</v>
      </c>
      <c r="CX53" s="11">
        <f t="shared" si="29"/>
        <v>0</v>
      </c>
      <c r="CY53" s="11">
        <f t="shared" si="29"/>
        <v>0</v>
      </c>
      <c r="CZ53" s="11">
        <f t="shared" si="29"/>
        <v>0</v>
      </c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</row>
    <row r="54" spans="1:122" ht="18" customHeight="1">
      <c r="A54" s="13" t="s">
        <v>36</v>
      </c>
      <c r="B54" s="14">
        <f>IFERROR(VLOOKUP(A54,PRICELIST!$A$3:$D$138,4,0),"-")</f>
        <v>508.18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9">
        <f t="shared" ref="CY54:CZ58" si="30">C54+E54+G54+I54+K54+M54+O54+Q54+S54+U54+W54+Y54+AA54+AC54+AE54+AG54+AI54+AK54+AM54+AO54+AQ54+AS54+AU54+AW54+AY54+BA54+BC54+BE54+BG54+BI54+BK54+BM54+BO54+BQ54+BS54+BU54+BW54+BY54+CA54+CC54+CE54+CG54+CI54+CK54+CM54+CO54+CQ54+CS54+CU54+CW54</f>
        <v>0</v>
      </c>
      <c r="CZ54" s="19">
        <f t="shared" si="30"/>
        <v>0</v>
      </c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</row>
    <row r="55" spans="1:122" ht="18" customHeight="1">
      <c r="A55" s="13" t="s">
        <v>37</v>
      </c>
      <c r="B55" s="14">
        <f>IFERROR(VLOOKUP(A55,PRICELIST!$A$3:$D$138,4,0),"-")</f>
        <v>115.71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9">
        <f t="shared" si="30"/>
        <v>0</v>
      </c>
      <c r="CZ55" s="19">
        <f t="shared" si="30"/>
        <v>0</v>
      </c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</row>
    <row r="56" spans="1:122" ht="18" customHeight="1">
      <c r="A56" s="13" t="s">
        <v>38</v>
      </c>
      <c r="B56" s="14">
        <f>IFERROR(VLOOKUP(A56,PRICELIST!$A$3:$D$138,4,0),"-")</f>
        <v>207.64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9">
        <f t="shared" si="30"/>
        <v>0</v>
      </c>
      <c r="CZ56" s="19">
        <f t="shared" si="30"/>
        <v>0</v>
      </c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</row>
    <row r="57" spans="1:122" ht="18" customHeight="1">
      <c r="A57" s="13" t="s">
        <v>39</v>
      </c>
      <c r="B57" s="14">
        <f>IFERROR(VLOOKUP(A57,PRICELIST!$A$3:$D$138,4,0),"-")</f>
        <v>576.96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9">
        <f t="shared" si="30"/>
        <v>0</v>
      </c>
      <c r="CZ57" s="19">
        <f t="shared" si="30"/>
        <v>0</v>
      </c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</row>
    <row r="58" spans="1:122" ht="18" customHeight="1">
      <c r="A58" s="13" t="s">
        <v>40</v>
      </c>
      <c r="B58" s="14">
        <f>IFERROR(VLOOKUP(A58,PRICELIST!$A$3:$D$138,4,0),"-")</f>
        <v>635.30999999999995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9">
        <f t="shared" si="30"/>
        <v>0</v>
      </c>
      <c r="CZ58" s="19">
        <f t="shared" si="30"/>
        <v>0</v>
      </c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</row>
    <row r="59" spans="1:122" ht="18" customHeight="1">
      <c r="A59" s="9" t="s">
        <v>41</v>
      </c>
      <c r="B59" s="10"/>
      <c r="C59" s="11">
        <f>SUMPRODUCT($B54:$B58,C54:C58)</f>
        <v>0</v>
      </c>
      <c r="D59" s="11">
        <f t="shared" ref="D59:BO59" si="31">SUMPRODUCT($B54:$B58,D54:D58)</f>
        <v>0</v>
      </c>
      <c r="E59" s="11">
        <f t="shared" si="31"/>
        <v>0</v>
      </c>
      <c r="F59" s="11">
        <f t="shared" si="31"/>
        <v>0</v>
      </c>
      <c r="G59" s="11">
        <f t="shared" si="31"/>
        <v>0</v>
      </c>
      <c r="H59" s="11">
        <f t="shared" si="31"/>
        <v>0</v>
      </c>
      <c r="I59" s="11">
        <f t="shared" si="31"/>
        <v>0</v>
      </c>
      <c r="J59" s="11">
        <f t="shared" si="31"/>
        <v>0</v>
      </c>
      <c r="K59" s="11">
        <f t="shared" si="31"/>
        <v>0</v>
      </c>
      <c r="L59" s="11">
        <f t="shared" si="31"/>
        <v>0</v>
      </c>
      <c r="M59" s="11">
        <f t="shared" si="31"/>
        <v>0</v>
      </c>
      <c r="N59" s="11">
        <f t="shared" si="31"/>
        <v>0</v>
      </c>
      <c r="O59" s="11">
        <f t="shared" si="31"/>
        <v>0</v>
      </c>
      <c r="P59" s="11">
        <f t="shared" si="31"/>
        <v>0</v>
      </c>
      <c r="Q59" s="11">
        <f t="shared" si="31"/>
        <v>0</v>
      </c>
      <c r="R59" s="11">
        <f t="shared" si="31"/>
        <v>0</v>
      </c>
      <c r="S59" s="11">
        <f t="shared" si="31"/>
        <v>0</v>
      </c>
      <c r="T59" s="11">
        <f t="shared" si="31"/>
        <v>0</v>
      </c>
      <c r="U59" s="11">
        <f t="shared" si="31"/>
        <v>0</v>
      </c>
      <c r="V59" s="11">
        <f t="shared" si="31"/>
        <v>0</v>
      </c>
      <c r="W59" s="11">
        <f t="shared" si="31"/>
        <v>0</v>
      </c>
      <c r="X59" s="11">
        <f t="shared" si="31"/>
        <v>0</v>
      </c>
      <c r="Y59" s="11">
        <f t="shared" si="31"/>
        <v>0</v>
      </c>
      <c r="Z59" s="11">
        <f t="shared" si="31"/>
        <v>0</v>
      </c>
      <c r="AA59" s="11">
        <f t="shared" si="31"/>
        <v>0</v>
      </c>
      <c r="AB59" s="11">
        <f t="shared" si="31"/>
        <v>0</v>
      </c>
      <c r="AC59" s="11">
        <f t="shared" si="31"/>
        <v>0</v>
      </c>
      <c r="AD59" s="11">
        <f t="shared" si="31"/>
        <v>0</v>
      </c>
      <c r="AE59" s="11">
        <f t="shared" si="31"/>
        <v>0</v>
      </c>
      <c r="AF59" s="11">
        <f t="shared" si="31"/>
        <v>0</v>
      </c>
      <c r="AG59" s="11">
        <f t="shared" si="31"/>
        <v>0</v>
      </c>
      <c r="AH59" s="11">
        <f t="shared" si="31"/>
        <v>0</v>
      </c>
      <c r="AI59" s="11">
        <f t="shared" si="31"/>
        <v>0</v>
      </c>
      <c r="AJ59" s="11">
        <f t="shared" si="31"/>
        <v>0</v>
      </c>
      <c r="AK59" s="11">
        <f t="shared" si="31"/>
        <v>0</v>
      </c>
      <c r="AL59" s="11">
        <f t="shared" si="31"/>
        <v>0</v>
      </c>
      <c r="AM59" s="11">
        <f t="shared" si="31"/>
        <v>0</v>
      </c>
      <c r="AN59" s="11">
        <f t="shared" si="31"/>
        <v>0</v>
      </c>
      <c r="AO59" s="11">
        <f t="shared" si="31"/>
        <v>0</v>
      </c>
      <c r="AP59" s="11">
        <f t="shared" si="31"/>
        <v>0</v>
      </c>
      <c r="AQ59" s="11">
        <f t="shared" si="31"/>
        <v>0</v>
      </c>
      <c r="AR59" s="11">
        <f t="shared" si="31"/>
        <v>0</v>
      </c>
      <c r="AS59" s="11">
        <f t="shared" si="31"/>
        <v>0</v>
      </c>
      <c r="AT59" s="11">
        <f t="shared" si="31"/>
        <v>0</v>
      </c>
      <c r="AU59" s="11">
        <f t="shared" si="31"/>
        <v>0</v>
      </c>
      <c r="AV59" s="11">
        <f t="shared" si="31"/>
        <v>0</v>
      </c>
      <c r="AW59" s="11">
        <f t="shared" si="31"/>
        <v>0</v>
      </c>
      <c r="AX59" s="11">
        <f t="shared" si="31"/>
        <v>0</v>
      </c>
      <c r="AY59" s="11">
        <f t="shared" si="31"/>
        <v>0</v>
      </c>
      <c r="AZ59" s="11">
        <f t="shared" si="31"/>
        <v>0</v>
      </c>
      <c r="BA59" s="11">
        <f t="shared" si="31"/>
        <v>0</v>
      </c>
      <c r="BB59" s="11">
        <f t="shared" si="31"/>
        <v>0</v>
      </c>
      <c r="BC59" s="11">
        <f t="shared" si="31"/>
        <v>0</v>
      </c>
      <c r="BD59" s="11">
        <f t="shared" si="31"/>
        <v>0</v>
      </c>
      <c r="BE59" s="11">
        <f t="shared" si="31"/>
        <v>0</v>
      </c>
      <c r="BF59" s="11">
        <f t="shared" si="31"/>
        <v>0</v>
      </c>
      <c r="BG59" s="11">
        <f t="shared" si="31"/>
        <v>0</v>
      </c>
      <c r="BH59" s="11">
        <f t="shared" si="31"/>
        <v>0</v>
      </c>
      <c r="BI59" s="11">
        <f t="shared" si="31"/>
        <v>0</v>
      </c>
      <c r="BJ59" s="11">
        <f t="shared" si="31"/>
        <v>0</v>
      </c>
      <c r="BK59" s="11">
        <f t="shared" si="31"/>
        <v>0</v>
      </c>
      <c r="BL59" s="11">
        <f t="shared" si="31"/>
        <v>0</v>
      </c>
      <c r="BM59" s="11">
        <f t="shared" si="31"/>
        <v>0</v>
      </c>
      <c r="BN59" s="11">
        <f t="shared" si="31"/>
        <v>0</v>
      </c>
      <c r="BO59" s="11">
        <f t="shared" si="31"/>
        <v>0</v>
      </c>
      <c r="BP59" s="11">
        <f t="shared" ref="BP59:CZ59" si="32">SUMPRODUCT($B54:$B58,BP54:BP58)</f>
        <v>0</v>
      </c>
      <c r="BQ59" s="11">
        <f t="shared" si="32"/>
        <v>0</v>
      </c>
      <c r="BR59" s="11">
        <f t="shared" si="32"/>
        <v>0</v>
      </c>
      <c r="BS59" s="11">
        <f t="shared" si="32"/>
        <v>0</v>
      </c>
      <c r="BT59" s="11">
        <f t="shared" si="32"/>
        <v>0</v>
      </c>
      <c r="BU59" s="11">
        <f t="shared" si="32"/>
        <v>0</v>
      </c>
      <c r="BV59" s="11">
        <f t="shared" si="32"/>
        <v>0</v>
      </c>
      <c r="BW59" s="11">
        <f t="shared" si="32"/>
        <v>0</v>
      </c>
      <c r="BX59" s="11">
        <f t="shared" si="32"/>
        <v>0</v>
      </c>
      <c r="BY59" s="11">
        <f t="shared" si="32"/>
        <v>0</v>
      </c>
      <c r="BZ59" s="11">
        <f t="shared" si="32"/>
        <v>0</v>
      </c>
      <c r="CA59" s="11">
        <f t="shared" si="32"/>
        <v>0</v>
      </c>
      <c r="CB59" s="11">
        <f t="shared" si="32"/>
        <v>0</v>
      </c>
      <c r="CC59" s="11">
        <f t="shared" si="32"/>
        <v>0</v>
      </c>
      <c r="CD59" s="11">
        <f t="shared" si="32"/>
        <v>0</v>
      </c>
      <c r="CE59" s="11">
        <f t="shared" si="32"/>
        <v>0</v>
      </c>
      <c r="CF59" s="11">
        <f t="shared" si="32"/>
        <v>0</v>
      </c>
      <c r="CG59" s="11">
        <f t="shared" si="32"/>
        <v>0</v>
      </c>
      <c r="CH59" s="11">
        <f t="shared" si="32"/>
        <v>0</v>
      </c>
      <c r="CI59" s="11">
        <f t="shared" si="32"/>
        <v>0</v>
      </c>
      <c r="CJ59" s="11">
        <f t="shared" si="32"/>
        <v>0</v>
      </c>
      <c r="CK59" s="11">
        <f t="shared" si="32"/>
        <v>0</v>
      </c>
      <c r="CL59" s="11">
        <f t="shared" si="32"/>
        <v>0</v>
      </c>
      <c r="CM59" s="11">
        <f t="shared" si="32"/>
        <v>0</v>
      </c>
      <c r="CN59" s="11">
        <f t="shared" si="32"/>
        <v>0</v>
      </c>
      <c r="CO59" s="11">
        <f t="shared" si="32"/>
        <v>0</v>
      </c>
      <c r="CP59" s="11">
        <f t="shared" si="32"/>
        <v>0</v>
      </c>
      <c r="CQ59" s="11">
        <f t="shared" si="32"/>
        <v>0</v>
      </c>
      <c r="CR59" s="11">
        <f t="shared" si="32"/>
        <v>0</v>
      </c>
      <c r="CS59" s="11">
        <f t="shared" si="32"/>
        <v>0</v>
      </c>
      <c r="CT59" s="11">
        <f t="shared" si="32"/>
        <v>0</v>
      </c>
      <c r="CU59" s="11">
        <f t="shared" si="32"/>
        <v>0</v>
      </c>
      <c r="CV59" s="11">
        <f t="shared" si="32"/>
        <v>0</v>
      </c>
      <c r="CW59" s="11">
        <f t="shared" si="32"/>
        <v>0</v>
      </c>
      <c r="CX59" s="11">
        <f t="shared" si="32"/>
        <v>0</v>
      </c>
      <c r="CY59" s="11">
        <f t="shared" si="32"/>
        <v>0</v>
      </c>
      <c r="CZ59" s="11">
        <f t="shared" si="32"/>
        <v>0</v>
      </c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</row>
    <row r="60" spans="1:122" ht="18" customHeight="1">
      <c r="A60" s="13" t="s">
        <v>133</v>
      </c>
      <c r="B60" s="14">
        <f>IFERROR(VLOOKUP(A60,PRICELIST!$A$3:$D$138,4,0),"-")</f>
        <v>23.41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9">
        <f t="shared" ref="CY60:CZ70" si="33">C60+E60+G60+I60+K60+M60+O60+Q60+S60+U60+W60+Y60+AA60+AC60+AE60+AG60+AI60+AK60+AM60+AO60+AQ60+AS60+AU60+AW60+AY60+BA60+BC60+BE60+BG60+BI60+BK60+BM60+BO60+BQ60+BS60+BU60+BW60+BY60+CA60+CC60+CE60+CG60+CI60+CK60+CM60+CO60+CQ60+CS60+CU60+CW60</f>
        <v>0</v>
      </c>
      <c r="CZ60" s="19">
        <f t="shared" si="33"/>
        <v>0</v>
      </c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</row>
    <row r="61" spans="1:122" ht="18" customHeight="1">
      <c r="A61" s="13" t="s">
        <v>42</v>
      </c>
      <c r="B61" s="14">
        <f>IFERROR(VLOOKUP(A61,PRICELIST!$A$3:$D$138,4,0),"-")</f>
        <v>23.57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9">
        <f t="shared" si="33"/>
        <v>0</v>
      </c>
      <c r="CZ61" s="19">
        <f t="shared" si="33"/>
        <v>0</v>
      </c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</row>
    <row r="62" spans="1:122" ht="18" customHeight="1">
      <c r="A62" s="13" t="s">
        <v>43</v>
      </c>
      <c r="B62" s="14">
        <f>IFERROR(VLOOKUP(A62,PRICELIST!$A$3:$D$138,4,0),"-")</f>
        <v>66.7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9">
        <f t="shared" si="33"/>
        <v>0</v>
      </c>
      <c r="CZ62" s="19">
        <f t="shared" si="33"/>
        <v>0</v>
      </c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</row>
    <row r="63" spans="1:122" ht="18" customHeight="1">
      <c r="A63" s="13" t="s">
        <v>44</v>
      </c>
      <c r="B63" s="14">
        <f>IFERROR(VLOOKUP(A63,PRICELIST!$A$3:$D$138,4,0),"-")</f>
        <v>67.819999999999993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9">
        <f t="shared" si="33"/>
        <v>0</v>
      </c>
      <c r="CZ63" s="19">
        <f t="shared" si="33"/>
        <v>0</v>
      </c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</row>
    <row r="64" spans="1:122" ht="18" customHeight="1">
      <c r="A64" s="13" t="s">
        <v>45</v>
      </c>
      <c r="B64" s="14">
        <f>IFERROR(VLOOKUP(A64,PRICELIST!$A$3:$D$138,4,0),"-")</f>
        <v>9.58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9">
        <f t="shared" si="33"/>
        <v>0</v>
      </c>
      <c r="CZ64" s="19">
        <f t="shared" si="33"/>
        <v>0</v>
      </c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</row>
    <row r="65" spans="1:122" ht="18" customHeight="1">
      <c r="A65" s="13" t="s">
        <v>46</v>
      </c>
      <c r="B65" s="14">
        <f>IFERROR(VLOOKUP(A65,PRICELIST!$A$3:$D$138,4,0),"-")</f>
        <v>23.41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9">
        <f t="shared" si="33"/>
        <v>0</v>
      </c>
      <c r="CZ65" s="19">
        <f t="shared" si="33"/>
        <v>0</v>
      </c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</row>
    <row r="66" spans="1:122" ht="18" customHeight="1">
      <c r="A66" s="13" t="s">
        <v>47</v>
      </c>
      <c r="B66" s="14">
        <f>IFERROR(VLOOKUP(A66,PRICELIST!$A$3:$D$138,4,0),"-")</f>
        <v>23.57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9">
        <f t="shared" si="33"/>
        <v>0</v>
      </c>
      <c r="CZ66" s="19">
        <f t="shared" si="33"/>
        <v>0</v>
      </c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</row>
    <row r="67" spans="1:122" ht="18" customHeight="1">
      <c r="A67" s="13" t="s">
        <v>49</v>
      </c>
      <c r="B67" s="14">
        <f>IFERROR(VLOOKUP(A67,PRICELIST!$A$3:$D$138,4,0),"-")</f>
        <v>132.43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9">
        <f t="shared" si="33"/>
        <v>0</v>
      </c>
      <c r="CZ67" s="19">
        <f t="shared" si="33"/>
        <v>0</v>
      </c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</row>
    <row r="68" spans="1:122" ht="18" customHeight="1">
      <c r="A68" s="13" t="s">
        <v>50</v>
      </c>
      <c r="B68" s="14">
        <f>IFERROR(VLOOKUP(A68,PRICELIST!$A$3:$D$138,4,0),"-")</f>
        <v>94.7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9">
        <f t="shared" si="33"/>
        <v>0</v>
      </c>
      <c r="CZ68" s="19">
        <f t="shared" si="33"/>
        <v>0</v>
      </c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</row>
    <row r="69" spans="1:122" ht="18" customHeight="1">
      <c r="A69" s="13" t="s">
        <v>51</v>
      </c>
      <c r="B69" s="14">
        <f>IFERROR(VLOOKUP(A69,PRICELIST!$A$3:$D$138,4,0),"-")</f>
        <v>58.82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9">
        <f t="shared" si="33"/>
        <v>0</v>
      </c>
      <c r="CZ69" s="19">
        <f t="shared" si="33"/>
        <v>0</v>
      </c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</row>
    <row r="70" spans="1:122" ht="18" customHeight="1">
      <c r="A70" s="13" t="s">
        <v>52</v>
      </c>
      <c r="B70" s="14">
        <f>IFERROR(VLOOKUP(A70,PRICELIST!$A$3:$D$138,4,0),"-")</f>
        <v>61.39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9">
        <f t="shared" si="33"/>
        <v>0</v>
      </c>
      <c r="CZ70" s="19">
        <f t="shared" si="33"/>
        <v>0</v>
      </c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</row>
    <row r="71" spans="1:122" ht="18" customHeight="1">
      <c r="A71" s="9" t="s">
        <v>48</v>
      </c>
      <c r="B71" s="10"/>
      <c r="C71" s="11">
        <f t="shared" ref="C71:AH71" si="34">SUMPRODUCT($B60:$B70,C60:C70)</f>
        <v>0</v>
      </c>
      <c r="D71" s="11">
        <f t="shared" si="34"/>
        <v>0</v>
      </c>
      <c r="E71" s="11">
        <f t="shared" si="34"/>
        <v>0</v>
      </c>
      <c r="F71" s="11">
        <f t="shared" si="34"/>
        <v>0</v>
      </c>
      <c r="G71" s="11">
        <f t="shared" si="34"/>
        <v>0</v>
      </c>
      <c r="H71" s="11">
        <f t="shared" si="34"/>
        <v>0</v>
      </c>
      <c r="I71" s="11">
        <f t="shared" si="34"/>
        <v>0</v>
      </c>
      <c r="J71" s="11">
        <f t="shared" si="34"/>
        <v>0</v>
      </c>
      <c r="K71" s="11">
        <f t="shared" si="34"/>
        <v>0</v>
      </c>
      <c r="L71" s="11">
        <f t="shared" si="34"/>
        <v>0</v>
      </c>
      <c r="M71" s="11">
        <f t="shared" si="34"/>
        <v>0</v>
      </c>
      <c r="N71" s="11">
        <f t="shared" si="34"/>
        <v>0</v>
      </c>
      <c r="O71" s="11">
        <f t="shared" si="34"/>
        <v>0</v>
      </c>
      <c r="P71" s="11">
        <f t="shared" si="34"/>
        <v>0</v>
      </c>
      <c r="Q71" s="11">
        <f t="shared" si="34"/>
        <v>0</v>
      </c>
      <c r="R71" s="11">
        <f t="shared" si="34"/>
        <v>0</v>
      </c>
      <c r="S71" s="11">
        <f t="shared" si="34"/>
        <v>0</v>
      </c>
      <c r="T71" s="11">
        <f t="shared" si="34"/>
        <v>0</v>
      </c>
      <c r="U71" s="11">
        <f t="shared" si="34"/>
        <v>0</v>
      </c>
      <c r="V71" s="11">
        <f t="shared" si="34"/>
        <v>0</v>
      </c>
      <c r="W71" s="11">
        <f t="shared" si="34"/>
        <v>0</v>
      </c>
      <c r="X71" s="11">
        <f t="shared" si="34"/>
        <v>0</v>
      </c>
      <c r="Y71" s="11">
        <f t="shared" si="34"/>
        <v>0</v>
      </c>
      <c r="Z71" s="11">
        <f t="shared" si="34"/>
        <v>0</v>
      </c>
      <c r="AA71" s="11">
        <f t="shared" si="34"/>
        <v>0</v>
      </c>
      <c r="AB71" s="11">
        <f t="shared" si="34"/>
        <v>0</v>
      </c>
      <c r="AC71" s="11">
        <f t="shared" si="34"/>
        <v>0</v>
      </c>
      <c r="AD71" s="11">
        <f t="shared" si="34"/>
        <v>0</v>
      </c>
      <c r="AE71" s="11">
        <f t="shared" si="34"/>
        <v>0</v>
      </c>
      <c r="AF71" s="11">
        <f t="shared" si="34"/>
        <v>0</v>
      </c>
      <c r="AG71" s="11">
        <f t="shared" si="34"/>
        <v>0</v>
      </c>
      <c r="AH71" s="11">
        <f t="shared" si="34"/>
        <v>0</v>
      </c>
      <c r="AI71" s="11">
        <f t="shared" ref="AI71:BN71" si="35">SUMPRODUCT($B60:$B70,AI60:AI70)</f>
        <v>0</v>
      </c>
      <c r="AJ71" s="11">
        <f t="shared" si="35"/>
        <v>0</v>
      </c>
      <c r="AK71" s="11">
        <f t="shared" si="35"/>
        <v>0</v>
      </c>
      <c r="AL71" s="11">
        <f t="shared" si="35"/>
        <v>0</v>
      </c>
      <c r="AM71" s="11">
        <f t="shared" si="35"/>
        <v>0</v>
      </c>
      <c r="AN71" s="11">
        <f t="shared" si="35"/>
        <v>0</v>
      </c>
      <c r="AO71" s="11">
        <f t="shared" si="35"/>
        <v>0</v>
      </c>
      <c r="AP71" s="11">
        <f t="shared" si="35"/>
        <v>0</v>
      </c>
      <c r="AQ71" s="11">
        <f t="shared" si="35"/>
        <v>0</v>
      </c>
      <c r="AR71" s="11">
        <f t="shared" si="35"/>
        <v>0</v>
      </c>
      <c r="AS71" s="11">
        <f t="shared" si="35"/>
        <v>0</v>
      </c>
      <c r="AT71" s="11">
        <f t="shared" si="35"/>
        <v>0</v>
      </c>
      <c r="AU71" s="11">
        <f t="shared" si="35"/>
        <v>0</v>
      </c>
      <c r="AV71" s="11">
        <f t="shared" si="35"/>
        <v>0</v>
      </c>
      <c r="AW71" s="11">
        <f t="shared" si="35"/>
        <v>0</v>
      </c>
      <c r="AX71" s="11">
        <f t="shared" si="35"/>
        <v>0</v>
      </c>
      <c r="AY71" s="11">
        <f t="shared" si="35"/>
        <v>0</v>
      </c>
      <c r="AZ71" s="11">
        <f t="shared" si="35"/>
        <v>0</v>
      </c>
      <c r="BA71" s="11">
        <f t="shared" si="35"/>
        <v>0</v>
      </c>
      <c r="BB71" s="11">
        <f t="shared" si="35"/>
        <v>0</v>
      </c>
      <c r="BC71" s="11">
        <f t="shared" si="35"/>
        <v>0</v>
      </c>
      <c r="BD71" s="11">
        <f t="shared" si="35"/>
        <v>0</v>
      </c>
      <c r="BE71" s="11">
        <f t="shared" si="35"/>
        <v>0</v>
      </c>
      <c r="BF71" s="11">
        <f t="shared" si="35"/>
        <v>0</v>
      </c>
      <c r="BG71" s="11">
        <f t="shared" si="35"/>
        <v>0</v>
      </c>
      <c r="BH71" s="11">
        <f t="shared" si="35"/>
        <v>0</v>
      </c>
      <c r="BI71" s="11">
        <f t="shared" si="35"/>
        <v>0</v>
      </c>
      <c r="BJ71" s="11">
        <f t="shared" si="35"/>
        <v>0</v>
      </c>
      <c r="BK71" s="11">
        <f t="shared" si="35"/>
        <v>0</v>
      </c>
      <c r="BL71" s="11">
        <f t="shared" si="35"/>
        <v>0</v>
      </c>
      <c r="BM71" s="11">
        <f t="shared" si="35"/>
        <v>0</v>
      </c>
      <c r="BN71" s="11">
        <f t="shared" si="35"/>
        <v>0</v>
      </c>
      <c r="BO71" s="11">
        <f t="shared" ref="BO71:CT71" si="36">SUMPRODUCT($B60:$B70,BO60:BO70)</f>
        <v>0</v>
      </c>
      <c r="BP71" s="11">
        <f t="shared" si="36"/>
        <v>0</v>
      </c>
      <c r="BQ71" s="11">
        <f t="shared" si="36"/>
        <v>0</v>
      </c>
      <c r="BR71" s="11">
        <f t="shared" si="36"/>
        <v>0</v>
      </c>
      <c r="BS71" s="11">
        <f t="shared" si="36"/>
        <v>0</v>
      </c>
      <c r="BT71" s="11">
        <f t="shared" si="36"/>
        <v>0</v>
      </c>
      <c r="BU71" s="11">
        <f t="shared" si="36"/>
        <v>0</v>
      </c>
      <c r="BV71" s="11">
        <f t="shared" si="36"/>
        <v>0</v>
      </c>
      <c r="BW71" s="11">
        <f t="shared" si="36"/>
        <v>0</v>
      </c>
      <c r="BX71" s="11">
        <f t="shared" si="36"/>
        <v>0</v>
      </c>
      <c r="BY71" s="11">
        <f t="shared" si="36"/>
        <v>0</v>
      </c>
      <c r="BZ71" s="11">
        <f t="shared" si="36"/>
        <v>0</v>
      </c>
      <c r="CA71" s="11">
        <f t="shared" si="36"/>
        <v>0</v>
      </c>
      <c r="CB71" s="11">
        <f t="shared" si="36"/>
        <v>0</v>
      </c>
      <c r="CC71" s="11">
        <f t="shared" si="36"/>
        <v>0</v>
      </c>
      <c r="CD71" s="11">
        <f t="shared" si="36"/>
        <v>0</v>
      </c>
      <c r="CE71" s="11">
        <f t="shared" si="36"/>
        <v>0</v>
      </c>
      <c r="CF71" s="11">
        <f t="shared" si="36"/>
        <v>0</v>
      </c>
      <c r="CG71" s="11">
        <f t="shared" si="36"/>
        <v>0</v>
      </c>
      <c r="CH71" s="11">
        <f t="shared" si="36"/>
        <v>0</v>
      </c>
      <c r="CI71" s="11">
        <f t="shared" si="36"/>
        <v>0</v>
      </c>
      <c r="CJ71" s="11">
        <f t="shared" si="36"/>
        <v>0</v>
      </c>
      <c r="CK71" s="11">
        <f t="shared" si="36"/>
        <v>0</v>
      </c>
      <c r="CL71" s="11">
        <f t="shared" si="36"/>
        <v>0</v>
      </c>
      <c r="CM71" s="11">
        <f t="shared" si="36"/>
        <v>0</v>
      </c>
      <c r="CN71" s="11">
        <f t="shared" si="36"/>
        <v>0</v>
      </c>
      <c r="CO71" s="11">
        <f t="shared" si="36"/>
        <v>0</v>
      </c>
      <c r="CP71" s="11">
        <f t="shared" si="36"/>
        <v>0</v>
      </c>
      <c r="CQ71" s="11">
        <f t="shared" si="36"/>
        <v>0</v>
      </c>
      <c r="CR71" s="11">
        <f t="shared" si="36"/>
        <v>0</v>
      </c>
      <c r="CS71" s="11">
        <f t="shared" si="36"/>
        <v>0</v>
      </c>
      <c r="CT71" s="11">
        <f t="shared" si="36"/>
        <v>0</v>
      </c>
      <c r="CU71" s="11">
        <f t="shared" ref="CU71:CZ71" si="37">SUMPRODUCT($B60:$B70,CU60:CU70)</f>
        <v>0</v>
      </c>
      <c r="CV71" s="11">
        <f t="shared" si="37"/>
        <v>0</v>
      </c>
      <c r="CW71" s="11">
        <f t="shared" si="37"/>
        <v>0</v>
      </c>
      <c r="CX71" s="11">
        <f t="shared" si="37"/>
        <v>0</v>
      </c>
      <c r="CY71" s="11">
        <f t="shared" si="37"/>
        <v>0</v>
      </c>
      <c r="CZ71" s="11">
        <f t="shared" si="37"/>
        <v>0</v>
      </c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</row>
    <row r="72" spans="1:122" ht="18" customHeight="1">
      <c r="A72" s="13" t="s">
        <v>85</v>
      </c>
      <c r="B72" s="14">
        <f>IFERROR(VLOOKUP(A72,PRICELIST!$A$3:$D$138,4,0),"-")</f>
        <v>165.86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9">
        <f t="shared" ref="CY72:CZ78" si="38">C72+E72+G72+I72+K72+M72+O72+Q72+S72+U72+W72+Y72+AA72+AC72+AE72+AG72+AI72+AK72+AM72+AO72+AQ72+AS72+AU72+AW72+AY72+BA72+BC72+BE72+BG72+BI72+BK72+BM72+BO72+BQ72+BS72+BU72+BW72+BY72+CA72+CC72+CE72+CG72+CI72+CK72+CM72+CO72+CQ72+CS72+CU72+CW72</f>
        <v>0</v>
      </c>
      <c r="CZ72" s="19">
        <f t="shared" si="38"/>
        <v>0</v>
      </c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</row>
    <row r="73" spans="1:122" ht="18" customHeight="1">
      <c r="A73" s="13" t="s">
        <v>53</v>
      </c>
      <c r="B73" s="14">
        <f>IFERROR(VLOOKUP(A73,PRICELIST!$A$3:$D$138,4,0),"-")</f>
        <v>82.93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9">
        <f t="shared" si="38"/>
        <v>0</v>
      </c>
      <c r="CZ73" s="19">
        <f t="shared" si="38"/>
        <v>0</v>
      </c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</row>
    <row r="74" spans="1:122" ht="18" customHeight="1">
      <c r="A74" s="13" t="s">
        <v>54</v>
      </c>
      <c r="B74" s="14">
        <f>IFERROR(VLOOKUP(A74,PRICELIST!$A$3:$D$138,4,0),"-")</f>
        <v>96.43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9">
        <f t="shared" si="38"/>
        <v>0</v>
      </c>
      <c r="CZ74" s="19">
        <f t="shared" si="38"/>
        <v>0</v>
      </c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</row>
    <row r="75" spans="1:122" ht="18" customHeight="1">
      <c r="A75" s="13" t="s">
        <v>55</v>
      </c>
      <c r="B75" s="14">
        <f>IFERROR(VLOOKUP(A75,PRICELIST!$A$3:$D$138,4,0),"-")</f>
        <v>47.57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9">
        <f t="shared" si="38"/>
        <v>0</v>
      </c>
      <c r="CZ75" s="19">
        <f t="shared" si="38"/>
        <v>0</v>
      </c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</row>
    <row r="76" spans="1:122" ht="18" customHeight="1">
      <c r="A76" s="13" t="s">
        <v>132</v>
      </c>
      <c r="B76" s="14">
        <f>IFERROR(VLOOKUP(A76,PRICELIST!$A$3:$D$138,4,0),"-")</f>
        <v>128.57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9">
        <f t="shared" si="38"/>
        <v>0</v>
      </c>
      <c r="CZ76" s="19">
        <f t="shared" si="38"/>
        <v>0</v>
      </c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</row>
    <row r="77" spans="1:122" ht="18" customHeight="1">
      <c r="A77" s="13" t="s">
        <v>86</v>
      </c>
      <c r="B77" s="14">
        <f>IFERROR(VLOOKUP(A77,PRICELIST!$A$3:$D$138,4,0),"-")</f>
        <v>130.5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9">
        <f t="shared" si="38"/>
        <v>0</v>
      </c>
      <c r="CZ77" s="19">
        <f t="shared" si="38"/>
        <v>0</v>
      </c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</row>
    <row r="78" spans="1:122" ht="18" customHeight="1">
      <c r="A78" s="26" t="s">
        <v>121</v>
      </c>
      <c r="B78" s="14">
        <f>IFERROR(VLOOKUP(A78,PRICELIST!$A$3:$D$138,4,0),"-")</f>
        <v>146.88999999999999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9">
        <f t="shared" si="38"/>
        <v>0</v>
      </c>
      <c r="CZ78" s="19">
        <f t="shared" si="38"/>
        <v>0</v>
      </c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</row>
    <row r="79" spans="1:122" ht="18" customHeight="1">
      <c r="A79" s="9" t="s">
        <v>56</v>
      </c>
      <c r="B79" s="10"/>
      <c r="C79" s="11">
        <f>SUMPRODUCT($B72:$B78,C72:C78)</f>
        <v>0</v>
      </c>
      <c r="D79" s="11">
        <f t="shared" ref="D79:BO79" si="39">SUMPRODUCT($B72:$B78,D72:D78)</f>
        <v>0</v>
      </c>
      <c r="E79" s="11">
        <f t="shared" si="39"/>
        <v>0</v>
      </c>
      <c r="F79" s="11">
        <f t="shared" si="39"/>
        <v>0</v>
      </c>
      <c r="G79" s="11">
        <f t="shared" si="39"/>
        <v>0</v>
      </c>
      <c r="H79" s="11">
        <f t="shared" si="39"/>
        <v>0</v>
      </c>
      <c r="I79" s="11">
        <f t="shared" si="39"/>
        <v>0</v>
      </c>
      <c r="J79" s="11">
        <f t="shared" si="39"/>
        <v>0</v>
      </c>
      <c r="K79" s="11">
        <f t="shared" si="39"/>
        <v>0</v>
      </c>
      <c r="L79" s="11">
        <f t="shared" si="39"/>
        <v>0</v>
      </c>
      <c r="M79" s="11">
        <f t="shared" si="39"/>
        <v>0</v>
      </c>
      <c r="N79" s="11">
        <f t="shared" si="39"/>
        <v>0</v>
      </c>
      <c r="O79" s="11">
        <f t="shared" si="39"/>
        <v>0</v>
      </c>
      <c r="P79" s="11">
        <f t="shared" si="39"/>
        <v>0</v>
      </c>
      <c r="Q79" s="11">
        <f t="shared" si="39"/>
        <v>0</v>
      </c>
      <c r="R79" s="11">
        <f t="shared" si="39"/>
        <v>0</v>
      </c>
      <c r="S79" s="11">
        <f t="shared" si="39"/>
        <v>0</v>
      </c>
      <c r="T79" s="11">
        <f t="shared" si="39"/>
        <v>0</v>
      </c>
      <c r="U79" s="11">
        <f t="shared" si="39"/>
        <v>0</v>
      </c>
      <c r="V79" s="11">
        <f t="shared" si="39"/>
        <v>0</v>
      </c>
      <c r="W79" s="11">
        <f t="shared" si="39"/>
        <v>0</v>
      </c>
      <c r="X79" s="11">
        <f t="shared" si="39"/>
        <v>0</v>
      </c>
      <c r="Y79" s="11">
        <f t="shared" si="39"/>
        <v>0</v>
      </c>
      <c r="Z79" s="11">
        <f t="shared" si="39"/>
        <v>0</v>
      </c>
      <c r="AA79" s="11">
        <f t="shared" si="39"/>
        <v>0</v>
      </c>
      <c r="AB79" s="11">
        <f t="shared" si="39"/>
        <v>0</v>
      </c>
      <c r="AC79" s="11">
        <f t="shared" si="39"/>
        <v>0</v>
      </c>
      <c r="AD79" s="11">
        <f t="shared" si="39"/>
        <v>0</v>
      </c>
      <c r="AE79" s="11">
        <f t="shared" si="39"/>
        <v>0</v>
      </c>
      <c r="AF79" s="11">
        <f t="shared" si="39"/>
        <v>0</v>
      </c>
      <c r="AG79" s="11">
        <f t="shared" si="39"/>
        <v>0</v>
      </c>
      <c r="AH79" s="11">
        <f t="shared" si="39"/>
        <v>0</v>
      </c>
      <c r="AI79" s="11">
        <f t="shared" si="39"/>
        <v>0</v>
      </c>
      <c r="AJ79" s="11">
        <f t="shared" si="39"/>
        <v>0</v>
      </c>
      <c r="AK79" s="11">
        <f t="shared" si="39"/>
        <v>0</v>
      </c>
      <c r="AL79" s="11">
        <f t="shared" si="39"/>
        <v>0</v>
      </c>
      <c r="AM79" s="11">
        <f t="shared" si="39"/>
        <v>0</v>
      </c>
      <c r="AN79" s="11">
        <f t="shared" si="39"/>
        <v>0</v>
      </c>
      <c r="AO79" s="11">
        <f t="shared" si="39"/>
        <v>0</v>
      </c>
      <c r="AP79" s="11">
        <f t="shared" si="39"/>
        <v>0</v>
      </c>
      <c r="AQ79" s="11">
        <f t="shared" si="39"/>
        <v>0</v>
      </c>
      <c r="AR79" s="11">
        <f t="shared" si="39"/>
        <v>0</v>
      </c>
      <c r="AS79" s="11">
        <f t="shared" si="39"/>
        <v>0</v>
      </c>
      <c r="AT79" s="11">
        <f t="shared" si="39"/>
        <v>0</v>
      </c>
      <c r="AU79" s="11">
        <f t="shared" si="39"/>
        <v>0</v>
      </c>
      <c r="AV79" s="11">
        <f t="shared" si="39"/>
        <v>0</v>
      </c>
      <c r="AW79" s="11">
        <f t="shared" si="39"/>
        <v>0</v>
      </c>
      <c r="AX79" s="11">
        <f t="shared" si="39"/>
        <v>0</v>
      </c>
      <c r="AY79" s="11">
        <f t="shared" si="39"/>
        <v>0</v>
      </c>
      <c r="AZ79" s="11">
        <f t="shared" si="39"/>
        <v>0</v>
      </c>
      <c r="BA79" s="11">
        <f t="shared" si="39"/>
        <v>0</v>
      </c>
      <c r="BB79" s="11">
        <f t="shared" si="39"/>
        <v>0</v>
      </c>
      <c r="BC79" s="11">
        <f t="shared" si="39"/>
        <v>0</v>
      </c>
      <c r="BD79" s="11">
        <f t="shared" si="39"/>
        <v>0</v>
      </c>
      <c r="BE79" s="11">
        <f t="shared" si="39"/>
        <v>0</v>
      </c>
      <c r="BF79" s="11">
        <f t="shared" si="39"/>
        <v>0</v>
      </c>
      <c r="BG79" s="11">
        <f t="shared" si="39"/>
        <v>0</v>
      </c>
      <c r="BH79" s="11">
        <f t="shared" si="39"/>
        <v>0</v>
      </c>
      <c r="BI79" s="11">
        <f t="shared" si="39"/>
        <v>0</v>
      </c>
      <c r="BJ79" s="11">
        <f t="shared" si="39"/>
        <v>0</v>
      </c>
      <c r="BK79" s="11">
        <f t="shared" si="39"/>
        <v>0</v>
      </c>
      <c r="BL79" s="11">
        <f t="shared" si="39"/>
        <v>0</v>
      </c>
      <c r="BM79" s="11">
        <f t="shared" si="39"/>
        <v>0</v>
      </c>
      <c r="BN79" s="11">
        <f t="shared" si="39"/>
        <v>0</v>
      </c>
      <c r="BO79" s="11">
        <f t="shared" si="39"/>
        <v>0</v>
      </c>
      <c r="BP79" s="11">
        <f t="shared" ref="BP79:CZ79" si="40">SUMPRODUCT($B72:$B78,BP72:BP78)</f>
        <v>0</v>
      </c>
      <c r="BQ79" s="11">
        <f t="shared" si="40"/>
        <v>0</v>
      </c>
      <c r="BR79" s="11">
        <f t="shared" si="40"/>
        <v>0</v>
      </c>
      <c r="BS79" s="11">
        <f t="shared" si="40"/>
        <v>0</v>
      </c>
      <c r="BT79" s="11">
        <f t="shared" si="40"/>
        <v>0</v>
      </c>
      <c r="BU79" s="11">
        <f t="shared" si="40"/>
        <v>0</v>
      </c>
      <c r="BV79" s="11">
        <f t="shared" si="40"/>
        <v>0</v>
      </c>
      <c r="BW79" s="11">
        <f t="shared" si="40"/>
        <v>0</v>
      </c>
      <c r="BX79" s="11">
        <f t="shared" si="40"/>
        <v>0</v>
      </c>
      <c r="BY79" s="11">
        <f t="shared" si="40"/>
        <v>0</v>
      </c>
      <c r="BZ79" s="11">
        <f t="shared" si="40"/>
        <v>0</v>
      </c>
      <c r="CA79" s="11">
        <f t="shared" si="40"/>
        <v>0</v>
      </c>
      <c r="CB79" s="11">
        <f t="shared" si="40"/>
        <v>0</v>
      </c>
      <c r="CC79" s="11">
        <f t="shared" si="40"/>
        <v>0</v>
      </c>
      <c r="CD79" s="11">
        <f t="shared" si="40"/>
        <v>0</v>
      </c>
      <c r="CE79" s="11">
        <f t="shared" si="40"/>
        <v>0</v>
      </c>
      <c r="CF79" s="11">
        <f t="shared" si="40"/>
        <v>0</v>
      </c>
      <c r="CG79" s="11">
        <f t="shared" si="40"/>
        <v>0</v>
      </c>
      <c r="CH79" s="11">
        <f t="shared" si="40"/>
        <v>0</v>
      </c>
      <c r="CI79" s="11">
        <f t="shared" si="40"/>
        <v>0</v>
      </c>
      <c r="CJ79" s="11">
        <f t="shared" si="40"/>
        <v>0</v>
      </c>
      <c r="CK79" s="11">
        <f t="shared" si="40"/>
        <v>0</v>
      </c>
      <c r="CL79" s="11">
        <f t="shared" si="40"/>
        <v>0</v>
      </c>
      <c r="CM79" s="11">
        <f t="shared" si="40"/>
        <v>0</v>
      </c>
      <c r="CN79" s="11">
        <f t="shared" si="40"/>
        <v>0</v>
      </c>
      <c r="CO79" s="11">
        <f t="shared" si="40"/>
        <v>0</v>
      </c>
      <c r="CP79" s="11">
        <f t="shared" si="40"/>
        <v>0</v>
      </c>
      <c r="CQ79" s="11">
        <f t="shared" si="40"/>
        <v>0</v>
      </c>
      <c r="CR79" s="11">
        <f t="shared" si="40"/>
        <v>0</v>
      </c>
      <c r="CS79" s="11">
        <f t="shared" si="40"/>
        <v>0</v>
      </c>
      <c r="CT79" s="11">
        <f t="shared" si="40"/>
        <v>0</v>
      </c>
      <c r="CU79" s="11">
        <f t="shared" si="40"/>
        <v>0</v>
      </c>
      <c r="CV79" s="11">
        <f t="shared" si="40"/>
        <v>0</v>
      </c>
      <c r="CW79" s="11">
        <f t="shared" si="40"/>
        <v>0</v>
      </c>
      <c r="CX79" s="11">
        <f t="shared" si="40"/>
        <v>0</v>
      </c>
      <c r="CY79" s="11">
        <f t="shared" si="40"/>
        <v>0</v>
      </c>
      <c r="CZ79" s="11">
        <f t="shared" si="40"/>
        <v>0</v>
      </c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</row>
    <row r="80" spans="1:122" ht="18" customHeight="1">
      <c r="A80" s="13" t="s">
        <v>57</v>
      </c>
      <c r="B80" s="14">
        <f>IFERROR(VLOOKUP(A80,PRICELIST!$A$3:$D$138,4,0),"-")</f>
        <v>78.75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9">
        <f>C80+E80+G80+I80+K80+M80+O80+Q80+S80+U80+W80+Y80+AA80+AC80+AE80+AG80+AI80+AK80+AM80+AO80+AQ80+AS80+AU80+AW80+AY80+BA80+BC80+BE80+BG80+BI80+BK80+BM80+BO80+BQ80+BS80+BU80+BW80+BY80+CA80+CC80+CE80+CG80+CI80+CK80+CM80+CO80+CQ80+CS80+CU80+CW80</f>
        <v>0</v>
      </c>
      <c r="CZ80" s="19">
        <f>D80+F80+H80+J80+L80+N80+P80+R80+T80+V80+X80+Z80+AB80+AD80+AF80+AH80+AJ80+AL80+AN80+AP80+AR80+AT80+AV80+AX80+AZ80+BB80+BD80+BF80+BH80+BJ80+BL80+BN80+BP80+BR80+BT80+BV80+BX80+BZ80+CB80+CD80+CF80+CH80+CJ80+CL80+CN80+CP80+CR80+CT80+CV80+CX80</f>
        <v>0</v>
      </c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</row>
    <row r="81" spans="1:122" ht="18" customHeight="1">
      <c r="A81" s="9" t="s">
        <v>58</v>
      </c>
      <c r="B81" s="10"/>
      <c r="C81" s="11">
        <f>SUMPRODUCT($B80*C80)</f>
        <v>0</v>
      </c>
      <c r="D81" s="11">
        <f t="shared" ref="D81:BO81" si="41">SUMPRODUCT($B80*D80)</f>
        <v>0</v>
      </c>
      <c r="E81" s="11">
        <f t="shared" si="41"/>
        <v>0</v>
      </c>
      <c r="F81" s="11">
        <f t="shared" si="41"/>
        <v>0</v>
      </c>
      <c r="G81" s="11">
        <f t="shared" si="41"/>
        <v>0</v>
      </c>
      <c r="H81" s="11">
        <f t="shared" si="41"/>
        <v>0</v>
      </c>
      <c r="I81" s="11">
        <f t="shared" si="41"/>
        <v>0</v>
      </c>
      <c r="J81" s="11">
        <f t="shared" si="41"/>
        <v>0</v>
      </c>
      <c r="K81" s="11">
        <f t="shared" si="41"/>
        <v>0</v>
      </c>
      <c r="L81" s="11">
        <f t="shared" si="41"/>
        <v>0</v>
      </c>
      <c r="M81" s="11">
        <f t="shared" si="41"/>
        <v>0</v>
      </c>
      <c r="N81" s="11">
        <f t="shared" si="41"/>
        <v>0</v>
      </c>
      <c r="O81" s="11">
        <f t="shared" si="41"/>
        <v>0</v>
      </c>
      <c r="P81" s="11">
        <f t="shared" si="41"/>
        <v>0</v>
      </c>
      <c r="Q81" s="11">
        <f t="shared" si="41"/>
        <v>0</v>
      </c>
      <c r="R81" s="11">
        <f t="shared" si="41"/>
        <v>0</v>
      </c>
      <c r="S81" s="11">
        <f t="shared" si="41"/>
        <v>0</v>
      </c>
      <c r="T81" s="11">
        <f t="shared" si="41"/>
        <v>0</v>
      </c>
      <c r="U81" s="11">
        <f t="shared" si="41"/>
        <v>0</v>
      </c>
      <c r="V81" s="11">
        <f t="shared" si="41"/>
        <v>0</v>
      </c>
      <c r="W81" s="11">
        <f t="shared" si="41"/>
        <v>0</v>
      </c>
      <c r="X81" s="11">
        <f t="shared" si="41"/>
        <v>0</v>
      </c>
      <c r="Y81" s="11">
        <f t="shared" si="41"/>
        <v>0</v>
      </c>
      <c r="Z81" s="11">
        <f t="shared" si="41"/>
        <v>0</v>
      </c>
      <c r="AA81" s="11">
        <f t="shared" si="41"/>
        <v>0</v>
      </c>
      <c r="AB81" s="11">
        <f t="shared" si="41"/>
        <v>0</v>
      </c>
      <c r="AC81" s="11">
        <f t="shared" si="41"/>
        <v>0</v>
      </c>
      <c r="AD81" s="11">
        <f t="shared" si="41"/>
        <v>0</v>
      </c>
      <c r="AE81" s="11">
        <f t="shared" si="41"/>
        <v>0</v>
      </c>
      <c r="AF81" s="11">
        <f t="shared" si="41"/>
        <v>0</v>
      </c>
      <c r="AG81" s="11">
        <f t="shared" si="41"/>
        <v>0</v>
      </c>
      <c r="AH81" s="11">
        <f t="shared" si="41"/>
        <v>0</v>
      </c>
      <c r="AI81" s="11">
        <f t="shared" si="41"/>
        <v>0</v>
      </c>
      <c r="AJ81" s="11">
        <f t="shared" si="41"/>
        <v>0</v>
      </c>
      <c r="AK81" s="11">
        <f t="shared" si="41"/>
        <v>0</v>
      </c>
      <c r="AL81" s="11">
        <f t="shared" si="41"/>
        <v>0</v>
      </c>
      <c r="AM81" s="11">
        <f t="shared" si="41"/>
        <v>0</v>
      </c>
      <c r="AN81" s="11">
        <f t="shared" si="41"/>
        <v>0</v>
      </c>
      <c r="AO81" s="11">
        <f t="shared" si="41"/>
        <v>0</v>
      </c>
      <c r="AP81" s="11">
        <f t="shared" si="41"/>
        <v>0</v>
      </c>
      <c r="AQ81" s="11">
        <f t="shared" si="41"/>
        <v>0</v>
      </c>
      <c r="AR81" s="11">
        <f t="shared" si="41"/>
        <v>0</v>
      </c>
      <c r="AS81" s="11">
        <f t="shared" si="41"/>
        <v>0</v>
      </c>
      <c r="AT81" s="11">
        <f t="shared" si="41"/>
        <v>0</v>
      </c>
      <c r="AU81" s="11">
        <f t="shared" si="41"/>
        <v>0</v>
      </c>
      <c r="AV81" s="11">
        <f t="shared" si="41"/>
        <v>0</v>
      </c>
      <c r="AW81" s="11">
        <f t="shared" si="41"/>
        <v>0</v>
      </c>
      <c r="AX81" s="11">
        <f t="shared" si="41"/>
        <v>0</v>
      </c>
      <c r="AY81" s="11">
        <f t="shared" si="41"/>
        <v>0</v>
      </c>
      <c r="AZ81" s="11">
        <f t="shared" si="41"/>
        <v>0</v>
      </c>
      <c r="BA81" s="11">
        <f t="shared" si="41"/>
        <v>0</v>
      </c>
      <c r="BB81" s="11">
        <f t="shared" si="41"/>
        <v>0</v>
      </c>
      <c r="BC81" s="11">
        <f t="shared" si="41"/>
        <v>0</v>
      </c>
      <c r="BD81" s="11">
        <f t="shared" si="41"/>
        <v>0</v>
      </c>
      <c r="BE81" s="11">
        <f t="shared" si="41"/>
        <v>0</v>
      </c>
      <c r="BF81" s="11">
        <f t="shared" si="41"/>
        <v>0</v>
      </c>
      <c r="BG81" s="11">
        <f t="shared" si="41"/>
        <v>0</v>
      </c>
      <c r="BH81" s="11">
        <f t="shared" si="41"/>
        <v>0</v>
      </c>
      <c r="BI81" s="11">
        <f t="shared" si="41"/>
        <v>0</v>
      </c>
      <c r="BJ81" s="11">
        <f t="shared" si="41"/>
        <v>0</v>
      </c>
      <c r="BK81" s="11">
        <f t="shared" si="41"/>
        <v>0</v>
      </c>
      <c r="BL81" s="11">
        <f t="shared" si="41"/>
        <v>0</v>
      </c>
      <c r="BM81" s="11">
        <f t="shared" si="41"/>
        <v>0</v>
      </c>
      <c r="BN81" s="11">
        <f t="shared" si="41"/>
        <v>0</v>
      </c>
      <c r="BO81" s="11">
        <f t="shared" si="41"/>
        <v>0</v>
      </c>
      <c r="BP81" s="11">
        <f t="shared" ref="BP81:CZ81" si="42">SUMPRODUCT($B80*BP80)</f>
        <v>0</v>
      </c>
      <c r="BQ81" s="11">
        <f t="shared" si="42"/>
        <v>0</v>
      </c>
      <c r="BR81" s="11">
        <f t="shared" si="42"/>
        <v>0</v>
      </c>
      <c r="BS81" s="11">
        <f t="shared" si="42"/>
        <v>0</v>
      </c>
      <c r="BT81" s="11">
        <f t="shared" si="42"/>
        <v>0</v>
      </c>
      <c r="BU81" s="11">
        <f t="shared" si="42"/>
        <v>0</v>
      </c>
      <c r="BV81" s="11">
        <f t="shared" si="42"/>
        <v>0</v>
      </c>
      <c r="BW81" s="11">
        <f t="shared" si="42"/>
        <v>0</v>
      </c>
      <c r="BX81" s="11">
        <f t="shared" si="42"/>
        <v>0</v>
      </c>
      <c r="BY81" s="11">
        <f t="shared" si="42"/>
        <v>0</v>
      </c>
      <c r="BZ81" s="11">
        <f t="shared" si="42"/>
        <v>0</v>
      </c>
      <c r="CA81" s="11">
        <f t="shared" si="42"/>
        <v>0</v>
      </c>
      <c r="CB81" s="11">
        <f t="shared" si="42"/>
        <v>0</v>
      </c>
      <c r="CC81" s="11">
        <f t="shared" si="42"/>
        <v>0</v>
      </c>
      <c r="CD81" s="11">
        <f t="shared" si="42"/>
        <v>0</v>
      </c>
      <c r="CE81" s="11">
        <f t="shared" si="42"/>
        <v>0</v>
      </c>
      <c r="CF81" s="11">
        <f t="shared" si="42"/>
        <v>0</v>
      </c>
      <c r="CG81" s="11">
        <f t="shared" si="42"/>
        <v>0</v>
      </c>
      <c r="CH81" s="11">
        <f t="shared" si="42"/>
        <v>0</v>
      </c>
      <c r="CI81" s="11">
        <f t="shared" si="42"/>
        <v>0</v>
      </c>
      <c r="CJ81" s="11">
        <f t="shared" si="42"/>
        <v>0</v>
      </c>
      <c r="CK81" s="11">
        <f t="shared" si="42"/>
        <v>0</v>
      </c>
      <c r="CL81" s="11">
        <f t="shared" si="42"/>
        <v>0</v>
      </c>
      <c r="CM81" s="11">
        <f t="shared" si="42"/>
        <v>0</v>
      </c>
      <c r="CN81" s="11">
        <f t="shared" si="42"/>
        <v>0</v>
      </c>
      <c r="CO81" s="11">
        <f t="shared" si="42"/>
        <v>0</v>
      </c>
      <c r="CP81" s="11">
        <f t="shared" si="42"/>
        <v>0</v>
      </c>
      <c r="CQ81" s="11">
        <f t="shared" si="42"/>
        <v>0</v>
      </c>
      <c r="CR81" s="11">
        <f t="shared" si="42"/>
        <v>0</v>
      </c>
      <c r="CS81" s="11">
        <f t="shared" si="42"/>
        <v>0</v>
      </c>
      <c r="CT81" s="11">
        <f t="shared" si="42"/>
        <v>0</v>
      </c>
      <c r="CU81" s="11">
        <f t="shared" si="42"/>
        <v>0</v>
      </c>
      <c r="CV81" s="11">
        <f t="shared" si="42"/>
        <v>0</v>
      </c>
      <c r="CW81" s="11">
        <f t="shared" si="42"/>
        <v>0</v>
      </c>
      <c r="CX81" s="11">
        <f t="shared" si="42"/>
        <v>0</v>
      </c>
      <c r="CY81" s="11">
        <f t="shared" si="42"/>
        <v>0</v>
      </c>
      <c r="CZ81" s="11">
        <f t="shared" si="42"/>
        <v>0</v>
      </c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</row>
    <row r="82" spans="1:122" ht="18" customHeight="1">
      <c r="A82" s="13" t="s">
        <v>59</v>
      </c>
      <c r="B82" s="14">
        <f>IFERROR(VLOOKUP(A82,PRICELIST!$A$3:$D$138,4,0),"-")</f>
        <v>276.11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9">
        <f t="shared" ref="CY82:CZ84" si="43">C82+E82+G82+I82+K82+M82+O82+Q82+S82+U82+W82+Y82+AA82+AC82+AE82+AG82+AI82+AK82+AM82+AO82+AQ82+AS82+AU82+AW82+AY82+BA82+BC82+BE82+BG82+BI82+BK82+BM82+BO82+BQ82+BS82+BU82+BW82+BY82+CA82+CC82+CE82+CG82+CI82+CK82+CM82+CO82+CQ82+CS82+CU82+CW82</f>
        <v>0</v>
      </c>
      <c r="CZ82" s="19">
        <f t="shared" si="43"/>
        <v>0</v>
      </c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</row>
    <row r="83" spans="1:122" ht="18" customHeight="1">
      <c r="A83" s="13" t="s">
        <v>60</v>
      </c>
      <c r="B83" s="14">
        <f>IFERROR(VLOOKUP(A83,PRICELIST!$A$3:$D$138,4,0),"-")</f>
        <v>75.540000000000006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9">
        <f t="shared" si="43"/>
        <v>0</v>
      </c>
      <c r="CZ83" s="19">
        <f t="shared" si="43"/>
        <v>0</v>
      </c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</row>
    <row r="84" spans="1:122" ht="18" customHeight="1">
      <c r="A84" s="13" t="s">
        <v>61</v>
      </c>
      <c r="B84" s="14">
        <f>IFERROR(VLOOKUP(A84,PRICELIST!$A$3:$D$138,4,0),"-")</f>
        <v>145.93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9">
        <f t="shared" si="43"/>
        <v>0</v>
      </c>
      <c r="CZ84" s="19">
        <f t="shared" si="43"/>
        <v>0</v>
      </c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</row>
    <row r="85" spans="1:122" ht="18" customHeight="1">
      <c r="A85" s="13" t="s">
        <v>62</v>
      </c>
      <c r="B85" s="14">
        <f>IFERROR(VLOOKUP(A85,PRICELIST!$A$3:$D$138,4,0),"-")</f>
        <v>149.79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9">
        <f>C85+E85+G85+I85+K85+M85+O85+Q85+S85+U85+W85+Y85+AA85+AC85+AE85+AG85+AI85+AK85+AM85+AO85+AQ85+AS85+AU85+AW85+AY85+BA85+BC85+BE85+BG85+BI85+BK85+BM85+BO85+BQ85+BS85+BU85+BW85+BY85+CA85+CC85+CE85+CG85+CI85+CK85+CM85+CO85+CQ85+CS85+CU85+CW85</f>
        <v>0</v>
      </c>
      <c r="CZ85" s="19">
        <f>D85+F85+H85+J85+L85+N85+P85+R85+T85+V85+X85+Z85+AB85+AD85+AF85+AH85+AJ85+AL85+AN85+AP85+AR85+AT85+AV85+AX85+AZ85+BB85+BD85+BF85+BH85+BJ85+BL85+BN85+BP85+BR85+BT85+BV85+BX85+BZ85+CB85+CD85+CF85+CH85+CJ85+CL85+CN85+CP85+CR85+CT85+CV85+CX85</f>
        <v>0</v>
      </c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</row>
    <row r="86" spans="1:122" ht="18" customHeight="1">
      <c r="A86" s="13" t="s">
        <v>87</v>
      </c>
      <c r="B86" s="14">
        <f>IFERROR(VLOOKUP(A86,PRICELIST!$A$3:$D$138,4,0),"-")</f>
        <v>192.86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9">
        <f>C86+E86+G86+I86+K86+M86+O86+Q86+S86+U86+W86+Y86+AA86+AC86+AE86+AG86+AI86+AK86+AM86+AO86+AQ86+AS86+AU86+AW86+AY86+BA86+BC86+BE86+BG86+BI86+BK86+BM86+BO86+BQ86+BS86+BU86+BW86+BY86+CA86+CC86+CE86+CG86+CI86+CK86+CM86+CO86+CQ86+CS86+CU86+CW86</f>
        <v>0</v>
      </c>
      <c r="CZ86" s="19">
        <f>D86+F86+H86+J86+L86+N86+P86+R86+T86+V86+X86+Z86+AB86+AD86+AF86+AH86+AJ86+AL86+AN86+AP86+AR86+AT86+AV86+AX86+AZ86+BB86+BD86+BF86+BH86+BJ86+BL86+BN86+BP86+BR86+BT86+BV86+BX86+BZ86+CB86+CD86+CF86+CH86+CJ86+CL86+CN86+CP86+CR86+CT86+CV86+CX86</f>
        <v>0</v>
      </c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</row>
    <row r="87" spans="1:122" ht="18" customHeight="1">
      <c r="A87" s="13" t="s">
        <v>122</v>
      </c>
      <c r="B87" s="14">
        <f>IFERROR(VLOOKUP(A87,PRICELIST!$A$3:$D$138,4,0),"-")</f>
        <v>104.79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9">
        <f t="shared" ref="CY87:CZ87" si="44">C87+E87+G87+I87+K87+M87+O87+Q87+S87+U87+W87+Y87+AA87+AC87+AE87+AG87+AI87+AK87+AM87+AO87+AQ87+AS87+AU87+AW87+AY87+BA87+BC87+BE87+BG87+BI87+BK87+BM87+BO87+BQ87+BS87+BU87+BW87+BY87+CA87+CC87+CE87+CG87+CI87+CK87+CM87+CO87+CQ87+CS87+CU87+CW87</f>
        <v>0</v>
      </c>
      <c r="CZ87" s="19">
        <f t="shared" si="44"/>
        <v>0</v>
      </c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</row>
    <row r="88" spans="1:122" ht="18" customHeight="1">
      <c r="A88" s="9" t="s">
        <v>88</v>
      </c>
      <c r="B88" s="10"/>
      <c r="C88" s="11">
        <f>SUMPRODUCT($B82:$B87,C82:C87)</f>
        <v>0</v>
      </c>
      <c r="D88" s="11">
        <f t="shared" ref="D88:BO88" si="45">SUMPRODUCT($B82:$B87,D82:D87)</f>
        <v>0</v>
      </c>
      <c r="E88" s="11">
        <f t="shared" si="45"/>
        <v>0</v>
      </c>
      <c r="F88" s="11">
        <f t="shared" si="45"/>
        <v>0</v>
      </c>
      <c r="G88" s="11">
        <f t="shared" si="45"/>
        <v>0</v>
      </c>
      <c r="H88" s="11">
        <f t="shared" si="45"/>
        <v>0</v>
      </c>
      <c r="I88" s="11">
        <f t="shared" si="45"/>
        <v>0</v>
      </c>
      <c r="J88" s="11">
        <f t="shared" si="45"/>
        <v>0</v>
      </c>
      <c r="K88" s="11">
        <f t="shared" si="45"/>
        <v>0</v>
      </c>
      <c r="L88" s="11">
        <f t="shared" si="45"/>
        <v>0</v>
      </c>
      <c r="M88" s="11">
        <f t="shared" si="45"/>
        <v>0</v>
      </c>
      <c r="N88" s="11">
        <f t="shared" si="45"/>
        <v>0</v>
      </c>
      <c r="O88" s="11">
        <f t="shared" si="45"/>
        <v>0</v>
      </c>
      <c r="P88" s="11">
        <f t="shared" si="45"/>
        <v>0</v>
      </c>
      <c r="Q88" s="11">
        <f t="shared" si="45"/>
        <v>0</v>
      </c>
      <c r="R88" s="11">
        <f t="shared" si="45"/>
        <v>0</v>
      </c>
      <c r="S88" s="11">
        <f t="shared" si="45"/>
        <v>0</v>
      </c>
      <c r="T88" s="11">
        <f t="shared" si="45"/>
        <v>0</v>
      </c>
      <c r="U88" s="11">
        <f t="shared" si="45"/>
        <v>0</v>
      </c>
      <c r="V88" s="11">
        <f t="shared" si="45"/>
        <v>0</v>
      </c>
      <c r="W88" s="11">
        <f t="shared" si="45"/>
        <v>0</v>
      </c>
      <c r="X88" s="11">
        <f t="shared" si="45"/>
        <v>0</v>
      </c>
      <c r="Y88" s="11">
        <f t="shared" si="45"/>
        <v>0</v>
      </c>
      <c r="Z88" s="11">
        <f t="shared" si="45"/>
        <v>0</v>
      </c>
      <c r="AA88" s="11">
        <f t="shared" si="45"/>
        <v>0</v>
      </c>
      <c r="AB88" s="11">
        <f t="shared" si="45"/>
        <v>0</v>
      </c>
      <c r="AC88" s="11">
        <f t="shared" si="45"/>
        <v>0</v>
      </c>
      <c r="AD88" s="11">
        <f t="shared" si="45"/>
        <v>0</v>
      </c>
      <c r="AE88" s="11">
        <f t="shared" si="45"/>
        <v>0</v>
      </c>
      <c r="AF88" s="11">
        <f t="shared" si="45"/>
        <v>0</v>
      </c>
      <c r="AG88" s="11">
        <f t="shared" si="45"/>
        <v>0</v>
      </c>
      <c r="AH88" s="11">
        <f t="shared" si="45"/>
        <v>0</v>
      </c>
      <c r="AI88" s="11">
        <f t="shared" si="45"/>
        <v>0</v>
      </c>
      <c r="AJ88" s="11">
        <f t="shared" si="45"/>
        <v>0</v>
      </c>
      <c r="AK88" s="11">
        <f t="shared" si="45"/>
        <v>0</v>
      </c>
      <c r="AL88" s="11">
        <f t="shared" si="45"/>
        <v>0</v>
      </c>
      <c r="AM88" s="11">
        <f t="shared" si="45"/>
        <v>0</v>
      </c>
      <c r="AN88" s="11">
        <f t="shared" si="45"/>
        <v>0</v>
      </c>
      <c r="AO88" s="11">
        <f t="shared" si="45"/>
        <v>0</v>
      </c>
      <c r="AP88" s="11">
        <f t="shared" si="45"/>
        <v>0</v>
      </c>
      <c r="AQ88" s="11">
        <f t="shared" si="45"/>
        <v>0</v>
      </c>
      <c r="AR88" s="11">
        <f t="shared" si="45"/>
        <v>0</v>
      </c>
      <c r="AS88" s="11">
        <f t="shared" si="45"/>
        <v>0</v>
      </c>
      <c r="AT88" s="11">
        <f t="shared" si="45"/>
        <v>0</v>
      </c>
      <c r="AU88" s="11">
        <f t="shared" si="45"/>
        <v>0</v>
      </c>
      <c r="AV88" s="11">
        <f t="shared" si="45"/>
        <v>0</v>
      </c>
      <c r="AW88" s="11">
        <f t="shared" si="45"/>
        <v>0</v>
      </c>
      <c r="AX88" s="11">
        <f t="shared" si="45"/>
        <v>0</v>
      </c>
      <c r="AY88" s="11">
        <f t="shared" si="45"/>
        <v>0</v>
      </c>
      <c r="AZ88" s="11">
        <f t="shared" si="45"/>
        <v>0</v>
      </c>
      <c r="BA88" s="11">
        <f t="shared" si="45"/>
        <v>0</v>
      </c>
      <c r="BB88" s="11">
        <f t="shared" si="45"/>
        <v>0</v>
      </c>
      <c r="BC88" s="11">
        <f t="shared" si="45"/>
        <v>0</v>
      </c>
      <c r="BD88" s="11">
        <f t="shared" si="45"/>
        <v>0</v>
      </c>
      <c r="BE88" s="11">
        <f t="shared" si="45"/>
        <v>0</v>
      </c>
      <c r="BF88" s="11">
        <f t="shared" si="45"/>
        <v>0</v>
      </c>
      <c r="BG88" s="11">
        <f t="shared" si="45"/>
        <v>0</v>
      </c>
      <c r="BH88" s="11">
        <f t="shared" si="45"/>
        <v>0</v>
      </c>
      <c r="BI88" s="11">
        <f t="shared" si="45"/>
        <v>0</v>
      </c>
      <c r="BJ88" s="11">
        <f t="shared" si="45"/>
        <v>0</v>
      </c>
      <c r="BK88" s="11">
        <f t="shared" si="45"/>
        <v>0</v>
      </c>
      <c r="BL88" s="11">
        <f t="shared" si="45"/>
        <v>0</v>
      </c>
      <c r="BM88" s="11">
        <f t="shared" si="45"/>
        <v>0</v>
      </c>
      <c r="BN88" s="11">
        <f t="shared" si="45"/>
        <v>0</v>
      </c>
      <c r="BO88" s="11">
        <f t="shared" si="45"/>
        <v>0</v>
      </c>
      <c r="BP88" s="11">
        <f t="shared" ref="BP88:CZ88" si="46">SUMPRODUCT($B82:$B87,BP82:BP87)</f>
        <v>0</v>
      </c>
      <c r="BQ88" s="11">
        <f t="shared" si="46"/>
        <v>0</v>
      </c>
      <c r="BR88" s="11">
        <f t="shared" si="46"/>
        <v>0</v>
      </c>
      <c r="BS88" s="11">
        <f t="shared" si="46"/>
        <v>0</v>
      </c>
      <c r="BT88" s="11">
        <f t="shared" si="46"/>
        <v>0</v>
      </c>
      <c r="BU88" s="11">
        <f t="shared" si="46"/>
        <v>0</v>
      </c>
      <c r="BV88" s="11">
        <f t="shared" si="46"/>
        <v>0</v>
      </c>
      <c r="BW88" s="11">
        <f t="shared" si="46"/>
        <v>0</v>
      </c>
      <c r="BX88" s="11">
        <f t="shared" si="46"/>
        <v>0</v>
      </c>
      <c r="BY88" s="11">
        <f t="shared" si="46"/>
        <v>0</v>
      </c>
      <c r="BZ88" s="11">
        <f t="shared" si="46"/>
        <v>0</v>
      </c>
      <c r="CA88" s="11">
        <f t="shared" si="46"/>
        <v>0</v>
      </c>
      <c r="CB88" s="11">
        <f t="shared" si="46"/>
        <v>0</v>
      </c>
      <c r="CC88" s="11">
        <f t="shared" si="46"/>
        <v>0</v>
      </c>
      <c r="CD88" s="11">
        <f t="shared" si="46"/>
        <v>0</v>
      </c>
      <c r="CE88" s="11">
        <f t="shared" si="46"/>
        <v>0</v>
      </c>
      <c r="CF88" s="11">
        <f t="shared" si="46"/>
        <v>0</v>
      </c>
      <c r="CG88" s="11">
        <f t="shared" si="46"/>
        <v>0</v>
      </c>
      <c r="CH88" s="11">
        <f t="shared" si="46"/>
        <v>0</v>
      </c>
      <c r="CI88" s="11">
        <f t="shared" si="46"/>
        <v>0</v>
      </c>
      <c r="CJ88" s="11">
        <f t="shared" si="46"/>
        <v>0</v>
      </c>
      <c r="CK88" s="11">
        <f t="shared" si="46"/>
        <v>0</v>
      </c>
      <c r="CL88" s="11">
        <f t="shared" si="46"/>
        <v>0</v>
      </c>
      <c r="CM88" s="11">
        <f t="shared" si="46"/>
        <v>0</v>
      </c>
      <c r="CN88" s="11">
        <f t="shared" si="46"/>
        <v>0</v>
      </c>
      <c r="CO88" s="11">
        <f t="shared" si="46"/>
        <v>0</v>
      </c>
      <c r="CP88" s="11">
        <f t="shared" si="46"/>
        <v>0</v>
      </c>
      <c r="CQ88" s="11">
        <f t="shared" si="46"/>
        <v>0</v>
      </c>
      <c r="CR88" s="11">
        <f t="shared" si="46"/>
        <v>0</v>
      </c>
      <c r="CS88" s="11">
        <f t="shared" si="46"/>
        <v>0</v>
      </c>
      <c r="CT88" s="11">
        <f t="shared" si="46"/>
        <v>0</v>
      </c>
      <c r="CU88" s="11">
        <f t="shared" si="46"/>
        <v>0</v>
      </c>
      <c r="CV88" s="11">
        <f t="shared" si="46"/>
        <v>0</v>
      </c>
      <c r="CW88" s="11">
        <f t="shared" si="46"/>
        <v>0</v>
      </c>
      <c r="CX88" s="11">
        <f t="shared" si="46"/>
        <v>0</v>
      </c>
      <c r="CY88" s="11">
        <f t="shared" si="46"/>
        <v>0</v>
      </c>
      <c r="CZ88" s="11">
        <f t="shared" si="46"/>
        <v>0</v>
      </c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</row>
    <row r="89" spans="1:122" ht="18" customHeight="1">
      <c r="A89" s="13" t="s">
        <v>63</v>
      </c>
      <c r="B89" s="14">
        <f>IFERROR(VLOOKUP(A89,PRICELIST!$A$3:$D$138,4,0),"-")</f>
        <v>172.53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9">
        <f t="shared" ref="CY89:CZ91" si="47">C89+E89+G89+I89+K89+M89+O89+Q89+S89+U89+W89+Y89+AA89+AC89+AE89+AG89+AI89+AK89+AM89+AO89+AQ89+AS89+AU89+AW89+AY89+BA89+BC89+BE89+BG89+BI89+BK89+BM89+BO89+BQ89+BS89+BU89+BW89+BY89+CA89+CC89+CE89+CG89+CI89+CK89+CM89+CO89+CQ89+CS89+CU89+CW89</f>
        <v>0</v>
      </c>
      <c r="CZ89" s="19">
        <f t="shared" si="47"/>
        <v>0</v>
      </c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</row>
    <row r="90" spans="1:122" ht="18" customHeight="1">
      <c r="A90" s="13" t="s">
        <v>64</v>
      </c>
      <c r="B90" s="14">
        <f>IFERROR(VLOOKUP(A90,PRICELIST!$A$3:$D$138,4,0),"-")</f>
        <v>50.46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9">
        <f t="shared" si="47"/>
        <v>0</v>
      </c>
      <c r="CZ90" s="19">
        <f t="shared" si="47"/>
        <v>0</v>
      </c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</row>
    <row r="91" spans="1:122" ht="18" customHeight="1">
      <c r="A91" s="13" t="s">
        <v>65</v>
      </c>
      <c r="B91" s="14">
        <f>IFERROR(VLOOKUP(A91,PRICELIST!$A$3:$D$138,4,0),"-")</f>
        <v>99.64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9">
        <f t="shared" si="47"/>
        <v>0</v>
      </c>
      <c r="CZ91" s="19">
        <f t="shared" si="47"/>
        <v>0</v>
      </c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</row>
    <row r="92" spans="1:122" ht="18" customHeight="1">
      <c r="A92" s="9" t="s">
        <v>66</v>
      </c>
      <c r="B92" s="10"/>
      <c r="C92" s="11">
        <f>SUMPRODUCT($B89:$B91,C89:C91)</f>
        <v>0</v>
      </c>
      <c r="D92" s="11">
        <f t="shared" ref="D92:BO92" si="48">SUMPRODUCT($B89:$B91,D89:D91)</f>
        <v>0</v>
      </c>
      <c r="E92" s="11">
        <f t="shared" si="48"/>
        <v>0</v>
      </c>
      <c r="F92" s="11">
        <f t="shared" si="48"/>
        <v>0</v>
      </c>
      <c r="G92" s="11">
        <f t="shared" si="48"/>
        <v>0</v>
      </c>
      <c r="H92" s="11">
        <f t="shared" si="48"/>
        <v>0</v>
      </c>
      <c r="I92" s="11">
        <f t="shared" si="48"/>
        <v>0</v>
      </c>
      <c r="J92" s="11">
        <f t="shared" si="48"/>
        <v>0</v>
      </c>
      <c r="K92" s="11">
        <f t="shared" si="48"/>
        <v>0</v>
      </c>
      <c r="L92" s="11">
        <f t="shared" si="48"/>
        <v>0</v>
      </c>
      <c r="M92" s="11">
        <f t="shared" si="48"/>
        <v>0</v>
      </c>
      <c r="N92" s="11">
        <f t="shared" si="48"/>
        <v>0</v>
      </c>
      <c r="O92" s="11">
        <f t="shared" si="48"/>
        <v>0</v>
      </c>
      <c r="P92" s="11">
        <f t="shared" si="48"/>
        <v>0</v>
      </c>
      <c r="Q92" s="11">
        <f t="shared" si="48"/>
        <v>0</v>
      </c>
      <c r="R92" s="11">
        <f t="shared" si="48"/>
        <v>0</v>
      </c>
      <c r="S92" s="11">
        <f t="shared" si="48"/>
        <v>0</v>
      </c>
      <c r="T92" s="11">
        <f t="shared" si="48"/>
        <v>0</v>
      </c>
      <c r="U92" s="11">
        <f t="shared" si="48"/>
        <v>0</v>
      </c>
      <c r="V92" s="11">
        <f t="shared" si="48"/>
        <v>0</v>
      </c>
      <c r="W92" s="11">
        <f t="shared" si="48"/>
        <v>0</v>
      </c>
      <c r="X92" s="11">
        <f t="shared" si="48"/>
        <v>0</v>
      </c>
      <c r="Y92" s="11">
        <f t="shared" si="48"/>
        <v>0</v>
      </c>
      <c r="Z92" s="11">
        <f t="shared" si="48"/>
        <v>0</v>
      </c>
      <c r="AA92" s="11">
        <f t="shared" si="48"/>
        <v>0</v>
      </c>
      <c r="AB92" s="11">
        <f t="shared" si="48"/>
        <v>0</v>
      </c>
      <c r="AC92" s="11">
        <f t="shared" si="48"/>
        <v>0</v>
      </c>
      <c r="AD92" s="11">
        <f t="shared" si="48"/>
        <v>0</v>
      </c>
      <c r="AE92" s="11">
        <f t="shared" si="48"/>
        <v>0</v>
      </c>
      <c r="AF92" s="11">
        <f t="shared" si="48"/>
        <v>0</v>
      </c>
      <c r="AG92" s="11">
        <f t="shared" si="48"/>
        <v>0</v>
      </c>
      <c r="AH92" s="11">
        <f t="shared" si="48"/>
        <v>0</v>
      </c>
      <c r="AI92" s="11">
        <f t="shared" si="48"/>
        <v>0</v>
      </c>
      <c r="AJ92" s="11">
        <f t="shared" si="48"/>
        <v>0</v>
      </c>
      <c r="AK92" s="11">
        <f t="shared" si="48"/>
        <v>0</v>
      </c>
      <c r="AL92" s="11">
        <f t="shared" si="48"/>
        <v>0</v>
      </c>
      <c r="AM92" s="11">
        <f t="shared" si="48"/>
        <v>0</v>
      </c>
      <c r="AN92" s="11">
        <f t="shared" si="48"/>
        <v>0</v>
      </c>
      <c r="AO92" s="11">
        <f t="shared" si="48"/>
        <v>0</v>
      </c>
      <c r="AP92" s="11">
        <f t="shared" si="48"/>
        <v>0</v>
      </c>
      <c r="AQ92" s="11">
        <f t="shared" si="48"/>
        <v>0</v>
      </c>
      <c r="AR92" s="11">
        <f t="shared" si="48"/>
        <v>0</v>
      </c>
      <c r="AS92" s="11">
        <f t="shared" si="48"/>
        <v>0</v>
      </c>
      <c r="AT92" s="11">
        <f t="shared" si="48"/>
        <v>0</v>
      </c>
      <c r="AU92" s="11">
        <f t="shared" si="48"/>
        <v>0</v>
      </c>
      <c r="AV92" s="11">
        <f t="shared" si="48"/>
        <v>0</v>
      </c>
      <c r="AW92" s="11">
        <f t="shared" si="48"/>
        <v>0</v>
      </c>
      <c r="AX92" s="11">
        <f t="shared" si="48"/>
        <v>0</v>
      </c>
      <c r="AY92" s="11">
        <f t="shared" si="48"/>
        <v>0</v>
      </c>
      <c r="AZ92" s="11">
        <f t="shared" si="48"/>
        <v>0</v>
      </c>
      <c r="BA92" s="11">
        <f t="shared" si="48"/>
        <v>0</v>
      </c>
      <c r="BB92" s="11">
        <f t="shared" si="48"/>
        <v>0</v>
      </c>
      <c r="BC92" s="11">
        <f t="shared" si="48"/>
        <v>0</v>
      </c>
      <c r="BD92" s="11">
        <f t="shared" si="48"/>
        <v>0</v>
      </c>
      <c r="BE92" s="11">
        <f t="shared" si="48"/>
        <v>0</v>
      </c>
      <c r="BF92" s="11">
        <f t="shared" si="48"/>
        <v>0</v>
      </c>
      <c r="BG92" s="11">
        <f t="shared" si="48"/>
        <v>0</v>
      </c>
      <c r="BH92" s="11">
        <f t="shared" si="48"/>
        <v>0</v>
      </c>
      <c r="BI92" s="11">
        <f t="shared" si="48"/>
        <v>0</v>
      </c>
      <c r="BJ92" s="11">
        <f t="shared" si="48"/>
        <v>0</v>
      </c>
      <c r="BK92" s="11">
        <f t="shared" si="48"/>
        <v>0</v>
      </c>
      <c r="BL92" s="11">
        <f t="shared" si="48"/>
        <v>0</v>
      </c>
      <c r="BM92" s="11">
        <f t="shared" si="48"/>
        <v>0</v>
      </c>
      <c r="BN92" s="11">
        <f t="shared" si="48"/>
        <v>0</v>
      </c>
      <c r="BO92" s="11">
        <f t="shared" si="48"/>
        <v>0</v>
      </c>
      <c r="BP92" s="11">
        <f t="shared" ref="BP92:CZ92" si="49">SUMPRODUCT($B89:$B91,BP89:BP91)</f>
        <v>0</v>
      </c>
      <c r="BQ92" s="11">
        <f t="shared" si="49"/>
        <v>0</v>
      </c>
      <c r="BR92" s="11">
        <f t="shared" si="49"/>
        <v>0</v>
      </c>
      <c r="BS92" s="11">
        <f t="shared" si="49"/>
        <v>0</v>
      </c>
      <c r="BT92" s="11">
        <f t="shared" si="49"/>
        <v>0</v>
      </c>
      <c r="BU92" s="11">
        <f t="shared" si="49"/>
        <v>0</v>
      </c>
      <c r="BV92" s="11">
        <f t="shared" si="49"/>
        <v>0</v>
      </c>
      <c r="BW92" s="11">
        <f t="shared" si="49"/>
        <v>0</v>
      </c>
      <c r="BX92" s="11">
        <f t="shared" si="49"/>
        <v>0</v>
      </c>
      <c r="BY92" s="11">
        <f t="shared" si="49"/>
        <v>0</v>
      </c>
      <c r="BZ92" s="11">
        <f t="shared" si="49"/>
        <v>0</v>
      </c>
      <c r="CA92" s="11">
        <f t="shared" si="49"/>
        <v>0</v>
      </c>
      <c r="CB92" s="11">
        <f t="shared" si="49"/>
        <v>0</v>
      </c>
      <c r="CC92" s="11">
        <f t="shared" si="49"/>
        <v>0</v>
      </c>
      <c r="CD92" s="11">
        <f t="shared" si="49"/>
        <v>0</v>
      </c>
      <c r="CE92" s="11">
        <f t="shared" si="49"/>
        <v>0</v>
      </c>
      <c r="CF92" s="11">
        <f t="shared" si="49"/>
        <v>0</v>
      </c>
      <c r="CG92" s="11">
        <f t="shared" si="49"/>
        <v>0</v>
      </c>
      <c r="CH92" s="11">
        <f t="shared" si="49"/>
        <v>0</v>
      </c>
      <c r="CI92" s="11">
        <f t="shared" si="49"/>
        <v>0</v>
      </c>
      <c r="CJ92" s="11">
        <f t="shared" si="49"/>
        <v>0</v>
      </c>
      <c r="CK92" s="11">
        <f t="shared" si="49"/>
        <v>0</v>
      </c>
      <c r="CL92" s="11">
        <f t="shared" si="49"/>
        <v>0</v>
      </c>
      <c r="CM92" s="11">
        <f t="shared" si="49"/>
        <v>0</v>
      </c>
      <c r="CN92" s="11">
        <f t="shared" si="49"/>
        <v>0</v>
      </c>
      <c r="CO92" s="11">
        <f t="shared" si="49"/>
        <v>0</v>
      </c>
      <c r="CP92" s="11">
        <f t="shared" si="49"/>
        <v>0</v>
      </c>
      <c r="CQ92" s="11">
        <f t="shared" si="49"/>
        <v>0</v>
      </c>
      <c r="CR92" s="11">
        <f t="shared" si="49"/>
        <v>0</v>
      </c>
      <c r="CS92" s="11">
        <f t="shared" si="49"/>
        <v>0</v>
      </c>
      <c r="CT92" s="11">
        <f t="shared" si="49"/>
        <v>0</v>
      </c>
      <c r="CU92" s="11">
        <f t="shared" si="49"/>
        <v>0</v>
      </c>
      <c r="CV92" s="11">
        <f t="shared" si="49"/>
        <v>0</v>
      </c>
      <c r="CW92" s="11">
        <f t="shared" si="49"/>
        <v>0</v>
      </c>
      <c r="CX92" s="11">
        <f t="shared" si="49"/>
        <v>0</v>
      </c>
      <c r="CY92" s="11">
        <f t="shared" si="49"/>
        <v>0</v>
      </c>
      <c r="CZ92" s="11">
        <f t="shared" si="49"/>
        <v>0</v>
      </c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</row>
    <row r="93" spans="1:122" ht="18" customHeight="1">
      <c r="A93" s="13" t="s">
        <v>67</v>
      </c>
      <c r="B93" s="14">
        <f>IFERROR(VLOOKUP(A93,PRICELIST!$A$3:$D$138,4,0),"-")</f>
        <v>140.13999999999999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9">
        <f t="shared" ref="CY93:CZ94" si="50">C93+E93+G93+I93+K93+M93+O93+Q93+S93+U93+W93+Y93+AA93+AC93+AE93+AG93+AI93+AK93+AM93+AO93+AQ93+AS93+AU93+AW93+AY93+BA93+BC93+BE93+BG93+BI93+BK93+BM93+BO93+BQ93+BS93+BU93+BW93+BY93+CA93+CC93+CE93+CG93+CI93+CK93+CM93+CO93+CQ93+CS93+CU93+CW93</f>
        <v>0</v>
      </c>
      <c r="CZ93" s="19">
        <f t="shared" si="50"/>
        <v>0</v>
      </c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</row>
    <row r="94" spans="1:122" ht="18" customHeight="1">
      <c r="A94" s="13" t="s">
        <v>68</v>
      </c>
      <c r="B94" s="14">
        <f>IFERROR(VLOOKUP(A94,PRICELIST!$A$3:$D$138,4,0),"-")</f>
        <v>203.14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9">
        <f t="shared" si="50"/>
        <v>0</v>
      </c>
      <c r="CZ94" s="19">
        <f t="shared" si="50"/>
        <v>0</v>
      </c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</row>
    <row r="95" spans="1:122" ht="18" customHeight="1">
      <c r="A95" s="9" t="s">
        <v>69</v>
      </c>
      <c r="B95" s="10"/>
      <c r="C95" s="11">
        <f>SUMPRODUCT($B93:$B94,C93:C94)</f>
        <v>0</v>
      </c>
      <c r="D95" s="11">
        <f t="shared" ref="D95:BO95" si="51">SUMPRODUCT($B93:$B94,D93:D94)</f>
        <v>0</v>
      </c>
      <c r="E95" s="11">
        <f t="shared" si="51"/>
        <v>0</v>
      </c>
      <c r="F95" s="11">
        <f t="shared" si="51"/>
        <v>0</v>
      </c>
      <c r="G95" s="11">
        <f t="shared" si="51"/>
        <v>0</v>
      </c>
      <c r="H95" s="11">
        <f t="shared" si="51"/>
        <v>0</v>
      </c>
      <c r="I95" s="11">
        <f t="shared" si="51"/>
        <v>0</v>
      </c>
      <c r="J95" s="11">
        <f t="shared" si="51"/>
        <v>0</v>
      </c>
      <c r="K95" s="11">
        <f t="shared" si="51"/>
        <v>0</v>
      </c>
      <c r="L95" s="11">
        <f t="shared" si="51"/>
        <v>0</v>
      </c>
      <c r="M95" s="11">
        <f t="shared" si="51"/>
        <v>0</v>
      </c>
      <c r="N95" s="11">
        <f t="shared" si="51"/>
        <v>0</v>
      </c>
      <c r="O95" s="11">
        <f t="shared" si="51"/>
        <v>0</v>
      </c>
      <c r="P95" s="11">
        <f t="shared" si="51"/>
        <v>0</v>
      </c>
      <c r="Q95" s="11">
        <f t="shared" si="51"/>
        <v>0</v>
      </c>
      <c r="R95" s="11">
        <f t="shared" si="51"/>
        <v>0</v>
      </c>
      <c r="S95" s="11">
        <f t="shared" si="51"/>
        <v>0</v>
      </c>
      <c r="T95" s="11">
        <f t="shared" si="51"/>
        <v>0</v>
      </c>
      <c r="U95" s="11">
        <f t="shared" si="51"/>
        <v>0</v>
      </c>
      <c r="V95" s="11">
        <f t="shared" si="51"/>
        <v>0</v>
      </c>
      <c r="W95" s="11">
        <f t="shared" si="51"/>
        <v>0</v>
      </c>
      <c r="X95" s="11">
        <f t="shared" si="51"/>
        <v>0</v>
      </c>
      <c r="Y95" s="11">
        <f t="shared" si="51"/>
        <v>0</v>
      </c>
      <c r="Z95" s="11">
        <f t="shared" si="51"/>
        <v>0</v>
      </c>
      <c r="AA95" s="11">
        <f t="shared" si="51"/>
        <v>0</v>
      </c>
      <c r="AB95" s="11">
        <f t="shared" si="51"/>
        <v>0</v>
      </c>
      <c r="AC95" s="11">
        <f t="shared" si="51"/>
        <v>0</v>
      </c>
      <c r="AD95" s="11">
        <f t="shared" si="51"/>
        <v>0</v>
      </c>
      <c r="AE95" s="11">
        <f t="shared" si="51"/>
        <v>0</v>
      </c>
      <c r="AF95" s="11">
        <f t="shared" si="51"/>
        <v>0</v>
      </c>
      <c r="AG95" s="11">
        <f t="shared" si="51"/>
        <v>0</v>
      </c>
      <c r="AH95" s="11">
        <f t="shared" si="51"/>
        <v>0</v>
      </c>
      <c r="AI95" s="11">
        <f t="shared" si="51"/>
        <v>0</v>
      </c>
      <c r="AJ95" s="11">
        <f t="shared" si="51"/>
        <v>0</v>
      </c>
      <c r="AK95" s="11">
        <f t="shared" si="51"/>
        <v>0</v>
      </c>
      <c r="AL95" s="11">
        <f t="shared" si="51"/>
        <v>0</v>
      </c>
      <c r="AM95" s="11">
        <f t="shared" si="51"/>
        <v>0</v>
      </c>
      <c r="AN95" s="11">
        <f t="shared" si="51"/>
        <v>0</v>
      </c>
      <c r="AO95" s="11">
        <f t="shared" si="51"/>
        <v>0</v>
      </c>
      <c r="AP95" s="11">
        <f t="shared" si="51"/>
        <v>0</v>
      </c>
      <c r="AQ95" s="11">
        <f t="shared" si="51"/>
        <v>0</v>
      </c>
      <c r="AR95" s="11">
        <f t="shared" si="51"/>
        <v>0</v>
      </c>
      <c r="AS95" s="11">
        <f t="shared" si="51"/>
        <v>0</v>
      </c>
      <c r="AT95" s="11">
        <f t="shared" si="51"/>
        <v>0</v>
      </c>
      <c r="AU95" s="11">
        <f t="shared" si="51"/>
        <v>0</v>
      </c>
      <c r="AV95" s="11">
        <f t="shared" si="51"/>
        <v>0</v>
      </c>
      <c r="AW95" s="11">
        <f t="shared" si="51"/>
        <v>0</v>
      </c>
      <c r="AX95" s="11">
        <f t="shared" si="51"/>
        <v>0</v>
      </c>
      <c r="AY95" s="11">
        <f t="shared" si="51"/>
        <v>0</v>
      </c>
      <c r="AZ95" s="11">
        <f t="shared" si="51"/>
        <v>0</v>
      </c>
      <c r="BA95" s="11">
        <f t="shared" si="51"/>
        <v>0</v>
      </c>
      <c r="BB95" s="11">
        <f t="shared" si="51"/>
        <v>0</v>
      </c>
      <c r="BC95" s="11">
        <f t="shared" si="51"/>
        <v>0</v>
      </c>
      <c r="BD95" s="11">
        <f t="shared" si="51"/>
        <v>0</v>
      </c>
      <c r="BE95" s="11">
        <f t="shared" si="51"/>
        <v>0</v>
      </c>
      <c r="BF95" s="11">
        <f t="shared" si="51"/>
        <v>0</v>
      </c>
      <c r="BG95" s="11">
        <f t="shared" si="51"/>
        <v>0</v>
      </c>
      <c r="BH95" s="11">
        <f t="shared" si="51"/>
        <v>0</v>
      </c>
      <c r="BI95" s="11">
        <f t="shared" si="51"/>
        <v>0</v>
      </c>
      <c r="BJ95" s="11">
        <f t="shared" si="51"/>
        <v>0</v>
      </c>
      <c r="BK95" s="11">
        <f t="shared" si="51"/>
        <v>0</v>
      </c>
      <c r="BL95" s="11">
        <f t="shared" si="51"/>
        <v>0</v>
      </c>
      <c r="BM95" s="11">
        <f t="shared" si="51"/>
        <v>0</v>
      </c>
      <c r="BN95" s="11">
        <f t="shared" si="51"/>
        <v>0</v>
      </c>
      <c r="BO95" s="11">
        <f t="shared" si="51"/>
        <v>0</v>
      </c>
      <c r="BP95" s="11">
        <f t="shared" ref="BP95:CZ95" si="52">SUMPRODUCT($B93:$B94,BP93:BP94)</f>
        <v>0</v>
      </c>
      <c r="BQ95" s="11">
        <f t="shared" si="52"/>
        <v>0</v>
      </c>
      <c r="BR95" s="11">
        <f t="shared" si="52"/>
        <v>0</v>
      </c>
      <c r="BS95" s="11">
        <f t="shared" si="52"/>
        <v>0</v>
      </c>
      <c r="BT95" s="11">
        <f t="shared" si="52"/>
        <v>0</v>
      </c>
      <c r="BU95" s="11">
        <f t="shared" si="52"/>
        <v>0</v>
      </c>
      <c r="BV95" s="11">
        <f t="shared" si="52"/>
        <v>0</v>
      </c>
      <c r="BW95" s="11">
        <f t="shared" si="52"/>
        <v>0</v>
      </c>
      <c r="BX95" s="11">
        <f t="shared" si="52"/>
        <v>0</v>
      </c>
      <c r="BY95" s="11">
        <f t="shared" si="52"/>
        <v>0</v>
      </c>
      <c r="BZ95" s="11">
        <f t="shared" si="52"/>
        <v>0</v>
      </c>
      <c r="CA95" s="11">
        <f t="shared" si="52"/>
        <v>0</v>
      </c>
      <c r="CB95" s="11">
        <f t="shared" si="52"/>
        <v>0</v>
      </c>
      <c r="CC95" s="11">
        <f t="shared" si="52"/>
        <v>0</v>
      </c>
      <c r="CD95" s="11">
        <f t="shared" si="52"/>
        <v>0</v>
      </c>
      <c r="CE95" s="11">
        <f t="shared" si="52"/>
        <v>0</v>
      </c>
      <c r="CF95" s="11">
        <f t="shared" si="52"/>
        <v>0</v>
      </c>
      <c r="CG95" s="11">
        <f t="shared" si="52"/>
        <v>0</v>
      </c>
      <c r="CH95" s="11">
        <f t="shared" si="52"/>
        <v>0</v>
      </c>
      <c r="CI95" s="11">
        <f t="shared" si="52"/>
        <v>0</v>
      </c>
      <c r="CJ95" s="11">
        <f t="shared" si="52"/>
        <v>0</v>
      </c>
      <c r="CK95" s="11">
        <f t="shared" si="52"/>
        <v>0</v>
      </c>
      <c r="CL95" s="11">
        <f t="shared" si="52"/>
        <v>0</v>
      </c>
      <c r="CM95" s="11">
        <f t="shared" si="52"/>
        <v>0</v>
      </c>
      <c r="CN95" s="11">
        <f t="shared" si="52"/>
        <v>0</v>
      </c>
      <c r="CO95" s="11">
        <f t="shared" si="52"/>
        <v>0</v>
      </c>
      <c r="CP95" s="11">
        <f t="shared" si="52"/>
        <v>0</v>
      </c>
      <c r="CQ95" s="11">
        <f t="shared" si="52"/>
        <v>0</v>
      </c>
      <c r="CR95" s="11">
        <f t="shared" si="52"/>
        <v>0</v>
      </c>
      <c r="CS95" s="11">
        <f t="shared" si="52"/>
        <v>0</v>
      </c>
      <c r="CT95" s="11">
        <f t="shared" si="52"/>
        <v>0</v>
      </c>
      <c r="CU95" s="11">
        <f t="shared" si="52"/>
        <v>0</v>
      </c>
      <c r="CV95" s="11">
        <f t="shared" si="52"/>
        <v>0</v>
      </c>
      <c r="CW95" s="11">
        <f t="shared" si="52"/>
        <v>0</v>
      </c>
      <c r="CX95" s="11">
        <f t="shared" si="52"/>
        <v>0</v>
      </c>
      <c r="CY95" s="11">
        <f t="shared" si="52"/>
        <v>0</v>
      </c>
      <c r="CZ95" s="11">
        <f t="shared" si="52"/>
        <v>0</v>
      </c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</row>
    <row r="96" spans="1:122" ht="18" customHeight="1">
      <c r="A96" s="34" t="s">
        <v>126</v>
      </c>
      <c r="B96" s="14">
        <f>IFERROR(VLOOKUP(A96,PRICELIST!$A$3:$D$138,4,0),"-")</f>
        <v>201.54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9">
        <f t="shared" ref="CY96:CZ98" si="53">C96+E96+G96+I96+K96+M96+O96+Q96+S96+U96+W96+Y96+AA96+AC96+AE96+AG96+AI96+AK96+AM96+AO96+AQ96+AS96+AU96+AW96+AY96+BA96+BC96+BE96+BG96+BI96+BK96+BM96+BO96+BQ96+BS96+BU96+BW96+BY96+CA96+CC96+CE96+CG96+CI96+CK96+CM96+CO96+CQ96+CS96+CU96+CW96</f>
        <v>0</v>
      </c>
      <c r="CZ96" s="19">
        <f t="shared" si="53"/>
        <v>0</v>
      </c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</row>
    <row r="97" spans="1:122" ht="18" customHeight="1">
      <c r="A97" s="13" t="s">
        <v>123</v>
      </c>
      <c r="B97" s="14">
        <f>IFERROR(VLOOKUP(A97,PRICELIST!$A$3:$D$138,4,0),"-")</f>
        <v>225.64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9">
        <f t="shared" si="53"/>
        <v>0</v>
      </c>
      <c r="CZ97" s="19">
        <f t="shared" si="53"/>
        <v>0</v>
      </c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</row>
    <row r="98" spans="1:122" ht="18" customHeight="1">
      <c r="A98" s="13" t="s">
        <v>131</v>
      </c>
      <c r="B98" s="14">
        <f>IFERROR(VLOOKUP(A98,PRICELIST!$A$3:$D$138,4,0),"-")</f>
        <v>198.64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9">
        <f t="shared" si="53"/>
        <v>0</v>
      </c>
      <c r="CZ98" s="19">
        <f t="shared" si="53"/>
        <v>0</v>
      </c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</row>
    <row r="99" spans="1:122" ht="18" customHeight="1">
      <c r="A99" s="9" t="s">
        <v>70</v>
      </c>
      <c r="B99" s="10"/>
      <c r="C99" s="11">
        <f t="shared" ref="C99:BN99" si="54">SUMPRODUCT($B96:$B98,C96:C98)</f>
        <v>0</v>
      </c>
      <c r="D99" s="11">
        <f t="shared" si="54"/>
        <v>0</v>
      </c>
      <c r="E99" s="11">
        <f t="shared" si="54"/>
        <v>0</v>
      </c>
      <c r="F99" s="11">
        <f t="shared" si="54"/>
        <v>0</v>
      </c>
      <c r="G99" s="11">
        <f t="shared" si="54"/>
        <v>0</v>
      </c>
      <c r="H99" s="11">
        <f t="shared" si="54"/>
        <v>0</v>
      </c>
      <c r="I99" s="11">
        <f t="shared" si="54"/>
        <v>0</v>
      </c>
      <c r="J99" s="11">
        <f t="shared" si="54"/>
        <v>0</v>
      </c>
      <c r="K99" s="11">
        <f t="shared" si="54"/>
        <v>0</v>
      </c>
      <c r="L99" s="11">
        <f t="shared" si="54"/>
        <v>0</v>
      </c>
      <c r="M99" s="11">
        <f t="shared" si="54"/>
        <v>0</v>
      </c>
      <c r="N99" s="11">
        <f t="shared" si="54"/>
        <v>0</v>
      </c>
      <c r="O99" s="11">
        <f t="shared" si="54"/>
        <v>0</v>
      </c>
      <c r="P99" s="11">
        <f t="shared" si="54"/>
        <v>0</v>
      </c>
      <c r="Q99" s="11">
        <f t="shared" si="54"/>
        <v>0</v>
      </c>
      <c r="R99" s="11">
        <f t="shared" si="54"/>
        <v>0</v>
      </c>
      <c r="S99" s="11">
        <f t="shared" si="54"/>
        <v>0</v>
      </c>
      <c r="T99" s="11">
        <f t="shared" si="54"/>
        <v>0</v>
      </c>
      <c r="U99" s="11">
        <f t="shared" si="54"/>
        <v>0</v>
      </c>
      <c r="V99" s="11">
        <f t="shared" si="54"/>
        <v>0</v>
      </c>
      <c r="W99" s="11">
        <f t="shared" si="54"/>
        <v>0</v>
      </c>
      <c r="X99" s="11">
        <f t="shared" si="54"/>
        <v>0</v>
      </c>
      <c r="Y99" s="11">
        <f t="shared" si="54"/>
        <v>0</v>
      </c>
      <c r="Z99" s="11">
        <f t="shared" si="54"/>
        <v>0</v>
      </c>
      <c r="AA99" s="11">
        <f t="shared" si="54"/>
        <v>0</v>
      </c>
      <c r="AB99" s="11">
        <f t="shared" si="54"/>
        <v>0</v>
      </c>
      <c r="AC99" s="11">
        <f t="shared" si="54"/>
        <v>0</v>
      </c>
      <c r="AD99" s="11">
        <f t="shared" si="54"/>
        <v>0</v>
      </c>
      <c r="AE99" s="11">
        <f t="shared" si="54"/>
        <v>0</v>
      </c>
      <c r="AF99" s="11">
        <f t="shared" si="54"/>
        <v>0</v>
      </c>
      <c r="AG99" s="11">
        <f t="shared" si="54"/>
        <v>0</v>
      </c>
      <c r="AH99" s="11">
        <f t="shared" si="54"/>
        <v>0</v>
      </c>
      <c r="AI99" s="11">
        <f t="shared" si="54"/>
        <v>0</v>
      </c>
      <c r="AJ99" s="11">
        <f t="shared" si="54"/>
        <v>0</v>
      </c>
      <c r="AK99" s="11">
        <f t="shared" si="54"/>
        <v>0</v>
      </c>
      <c r="AL99" s="11">
        <f t="shared" si="54"/>
        <v>0</v>
      </c>
      <c r="AM99" s="11">
        <f t="shared" si="54"/>
        <v>0</v>
      </c>
      <c r="AN99" s="11">
        <f t="shared" si="54"/>
        <v>0</v>
      </c>
      <c r="AO99" s="11">
        <f t="shared" si="54"/>
        <v>0</v>
      </c>
      <c r="AP99" s="11">
        <f t="shared" si="54"/>
        <v>0</v>
      </c>
      <c r="AQ99" s="11">
        <f t="shared" si="54"/>
        <v>0</v>
      </c>
      <c r="AR99" s="11">
        <f t="shared" si="54"/>
        <v>0</v>
      </c>
      <c r="AS99" s="11">
        <f t="shared" si="54"/>
        <v>0</v>
      </c>
      <c r="AT99" s="11">
        <f t="shared" si="54"/>
        <v>0</v>
      </c>
      <c r="AU99" s="11">
        <f t="shared" si="54"/>
        <v>0</v>
      </c>
      <c r="AV99" s="11">
        <f t="shared" si="54"/>
        <v>0</v>
      </c>
      <c r="AW99" s="11">
        <f t="shared" si="54"/>
        <v>0</v>
      </c>
      <c r="AX99" s="11">
        <f t="shared" si="54"/>
        <v>0</v>
      </c>
      <c r="AY99" s="11">
        <f t="shared" si="54"/>
        <v>0</v>
      </c>
      <c r="AZ99" s="11">
        <f t="shared" si="54"/>
        <v>0</v>
      </c>
      <c r="BA99" s="11">
        <f t="shared" si="54"/>
        <v>0</v>
      </c>
      <c r="BB99" s="11">
        <f t="shared" si="54"/>
        <v>0</v>
      </c>
      <c r="BC99" s="11">
        <f t="shared" si="54"/>
        <v>0</v>
      </c>
      <c r="BD99" s="11">
        <f t="shared" si="54"/>
        <v>0</v>
      </c>
      <c r="BE99" s="11">
        <f t="shared" si="54"/>
        <v>0</v>
      </c>
      <c r="BF99" s="11">
        <f t="shared" si="54"/>
        <v>0</v>
      </c>
      <c r="BG99" s="11">
        <f t="shared" si="54"/>
        <v>0</v>
      </c>
      <c r="BH99" s="11">
        <f t="shared" si="54"/>
        <v>0</v>
      </c>
      <c r="BI99" s="11">
        <f t="shared" si="54"/>
        <v>0</v>
      </c>
      <c r="BJ99" s="11">
        <f t="shared" si="54"/>
        <v>0</v>
      </c>
      <c r="BK99" s="11">
        <f t="shared" si="54"/>
        <v>0</v>
      </c>
      <c r="BL99" s="11">
        <f t="shared" si="54"/>
        <v>0</v>
      </c>
      <c r="BM99" s="11">
        <f t="shared" si="54"/>
        <v>0</v>
      </c>
      <c r="BN99" s="11">
        <f t="shared" si="54"/>
        <v>0</v>
      </c>
      <c r="BO99" s="11">
        <f t="shared" ref="BO99:CZ99" si="55">SUMPRODUCT($B96:$B98,BO96:BO98)</f>
        <v>0</v>
      </c>
      <c r="BP99" s="11">
        <f t="shared" si="55"/>
        <v>0</v>
      </c>
      <c r="BQ99" s="11">
        <f t="shared" si="55"/>
        <v>0</v>
      </c>
      <c r="BR99" s="11">
        <f t="shared" si="55"/>
        <v>0</v>
      </c>
      <c r="BS99" s="11">
        <f t="shared" si="55"/>
        <v>0</v>
      </c>
      <c r="BT99" s="11">
        <f t="shared" si="55"/>
        <v>0</v>
      </c>
      <c r="BU99" s="11">
        <f t="shared" si="55"/>
        <v>0</v>
      </c>
      <c r="BV99" s="11">
        <f t="shared" si="55"/>
        <v>0</v>
      </c>
      <c r="BW99" s="11">
        <f t="shared" si="55"/>
        <v>0</v>
      </c>
      <c r="BX99" s="11">
        <f t="shared" si="55"/>
        <v>0</v>
      </c>
      <c r="BY99" s="11">
        <f t="shared" si="55"/>
        <v>0</v>
      </c>
      <c r="BZ99" s="11">
        <f t="shared" si="55"/>
        <v>0</v>
      </c>
      <c r="CA99" s="11">
        <f t="shared" si="55"/>
        <v>0</v>
      </c>
      <c r="CB99" s="11">
        <f t="shared" si="55"/>
        <v>0</v>
      </c>
      <c r="CC99" s="11">
        <f t="shared" si="55"/>
        <v>0</v>
      </c>
      <c r="CD99" s="11">
        <f t="shared" si="55"/>
        <v>0</v>
      </c>
      <c r="CE99" s="11">
        <f t="shared" si="55"/>
        <v>0</v>
      </c>
      <c r="CF99" s="11">
        <f t="shared" si="55"/>
        <v>0</v>
      </c>
      <c r="CG99" s="11">
        <f t="shared" si="55"/>
        <v>0</v>
      </c>
      <c r="CH99" s="11">
        <f t="shared" si="55"/>
        <v>0</v>
      </c>
      <c r="CI99" s="11">
        <f t="shared" si="55"/>
        <v>0</v>
      </c>
      <c r="CJ99" s="11">
        <f t="shared" si="55"/>
        <v>0</v>
      </c>
      <c r="CK99" s="11">
        <f t="shared" si="55"/>
        <v>0</v>
      </c>
      <c r="CL99" s="11">
        <f t="shared" si="55"/>
        <v>0</v>
      </c>
      <c r="CM99" s="11">
        <f t="shared" si="55"/>
        <v>0</v>
      </c>
      <c r="CN99" s="11">
        <f t="shared" si="55"/>
        <v>0</v>
      </c>
      <c r="CO99" s="11">
        <f t="shared" si="55"/>
        <v>0</v>
      </c>
      <c r="CP99" s="11">
        <f t="shared" si="55"/>
        <v>0</v>
      </c>
      <c r="CQ99" s="11">
        <f t="shared" si="55"/>
        <v>0</v>
      </c>
      <c r="CR99" s="11">
        <f t="shared" si="55"/>
        <v>0</v>
      </c>
      <c r="CS99" s="11">
        <f t="shared" si="55"/>
        <v>0</v>
      </c>
      <c r="CT99" s="11">
        <f t="shared" si="55"/>
        <v>0</v>
      </c>
      <c r="CU99" s="11">
        <f t="shared" si="55"/>
        <v>0</v>
      </c>
      <c r="CV99" s="11">
        <f t="shared" si="55"/>
        <v>0</v>
      </c>
      <c r="CW99" s="11">
        <f t="shared" si="55"/>
        <v>0</v>
      </c>
      <c r="CX99" s="11">
        <f t="shared" si="55"/>
        <v>0</v>
      </c>
      <c r="CY99" s="11">
        <f t="shared" si="55"/>
        <v>0</v>
      </c>
      <c r="CZ99" s="11">
        <f t="shared" si="55"/>
        <v>0</v>
      </c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</row>
    <row r="100" spans="1:122" ht="18" customHeight="1">
      <c r="A100" s="13" t="s">
        <v>134</v>
      </c>
      <c r="B100" s="14">
        <f>IFERROR(VLOOKUP(A100,PRICELIST!$A$3:$D$138,4,0),"-")</f>
        <v>52.46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9">
        <f t="shared" ref="CY100:CZ109" si="56">C100+E100+G100+I100+K100+M100+O100+Q100+S100+U100+W100+Y100+AA100+AC100+AE100+AG100+AI100+AK100+AM100+AO100+AQ100+AS100+AU100+AW100+AY100+BA100+BC100+BE100+BG100+BI100+BK100+BM100+BO100+BQ100+BS100+BU100+BW100+BY100+CA100+CC100+CE100+CG100+CI100+CK100+CM100+CO100+CQ100+CS100+CU100+CW100</f>
        <v>0</v>
      </c>
      <c r="CZ100" s="19">
        <f t="shared" si="56"/>
        <v>0</v>
      </c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</row>
    <row r="101" spans="1:122" ht="18" customHeight="1">
      <c r="A101" s="13" t="s">
        <v>135</v>
      </c>
      <c r="B101" s="14">
        <f>IFERROR(VLOOKUP(A101,PRICELIST!$A$3:$D$138,4,0),"-")</f>
        <v>89.62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9">
        <f t="shared" si="56"/>
        <v>0</v>
      </c>
      <c r="CZ101" s="19">
        <f t="shared" si="56"/>
        <v>0</v>
      </c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</row>
    <row r="102" spans="1:122" ht="18" customHeight="1">
      <c r="A102" s="13" t="s">
        <v>136</v>
      </c>
      <c r="B102" s="14">
        <f>IFERROR(VLOOKUP(A102,PRICELIST!$A$3:$D$138,4,0),"-")</f>
        <v>83.41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9">
        <f t="shared" si="56"/>
        <v>0</v>
      </c>
      <c r="CZ102" s="19">
        <f t="shared" si="56"/>
        <v>0</v>
      </c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</row>
    <row r="103" spans="1:122" ht="18" customHeight="1">
      <c r="A103" s="13" t="s">
        <v>137</v>
      </c>
      <c r="B103" s="14">
        <f>IFERROR(VLOOKUP(A103,PRICELIST!$A$3:$D$138,4,0),"-")</f>
        <v>109.58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9">
        <f t="shared" si="56"/>
        <v>0</v>
      </c>
      <c r="CZ103" s="19">
        <f t="shared" si="56"/>
        <v>0</v>
      </c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</row>
    <row r="104" spans="1:122" ht="18" customHeight="1">
      <c r="A104" s="13" t="s">
        <v>140</v>
      </c>
      <c r="B104" s="14">
        <f>IFERROR(VLOOKUP(A104,PRICELIST!$A$3:$D$138,4,0),"-")</f>
        <v>28.8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9">
        <f>C104+E104+G104+I104+K104+M104+O104+Q104+S104+U104+W104+Y104+AA104+AC104+AE104+AG104+AI104+AK104+AM104+AO104+AQ104+AS104+AU104+AW104+AY104+BA104+BC104+BE104+BG104+BI104+BK104+BM104+BO104+BQ104+BS104+BU104+BW104+BY104+CA104+CC104+CE104+CG104+CI104+CK104+CM104+CO104+CQ104+CS104+CU104+CW104</f>
        <v>0</v>
      </c>
      <c r="CZ104" s="19">
        <f>D104+F104+H104+J104+L104+N104+P104+R104+T104+V104+X104+Z104+AB104+AD104+AF104+AH104+AJ104+AL104+AN104+AP104+AR104+AT104+AV104+AX104+AZ104+BB104+BD104+BF104+BH104+BJ104+BL104+BN104+BP104+BR104+BT104+BV104+BX104+BZ104+CB104+CD104+CF104+CH104+CJ104+CL104+CN104+CP104+CR104+CT104+CV104+CX104</f>
        <v>0</v>
      </c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</row>
    <row r="105" spans="1:122" ht="18" customHeight="1">
      <c r="A105" s="13" t="s">
        <v>141</v>
      </c>
      <c r="B105" s="14">
        <f>IFERROR(VLOOKUP(A105,PRICELIST!$A$3:$D$138,4,0),"-")</f>
        <v>60.43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9">
        <f>C105+E105+G105+I105+K105+M105+O105+Q105+S105+U105+W105+Y105+AA105+AC105+AE105+AG105+AI105+AK105+AM105+AO105+AQ105+AS105+AU105+AW105+AY105+BA105+BC105+BE105+BG105+BI105+BK105+BM105+BO105+BQ105+BS105+BU105+BW105+BY105+CA105+CC105+CE105+CG105+CI105+CK105+CM105+CO105+CQ105+CS105+CU105+CW105</f>
        <v>0</v>
      </c>
      <c r="CZ105" s="19">
        <f>D105+F105+H105+J105+L105+N105+P105+R105+T105+V105+X105+Z105+AB105+AD105+AF105+AH105+AJ105+AL105+AN105+AP105+AR105+AT105+AV105+AX105+AZ105+BB105+BD105+BF105+BH105+BJ105+BL105+BN105+BP105+BR105+BT105+BV105+BX105+BZ105+CB105+CD105+CF105+CH105+CJ105+CL105+CN105+CP105+CR105+CT105+CV105+CX105</f>
        <v>0</v>
      </c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</row>
    <row r="106" spans="1:122" ht="18" customHeight="1">
      <c r="A106" s="13" t="s">
        <v>138</v>
      </c>
      <c r="B106" s="14">
        <f>IFERROR(VLOOKUP(A106,PRICELIST!$A$3:$D$138,4,0),"-")</f>
        <v>96.43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9">
        <f t="shared" si="56"/>
        <v>0</v>
      </c>
      <c r="CZ106" s="19">
        <f t="shared" si="56"/>
        <v>0</v>
      </c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</row>
    <row r="107" spans="1:122" ht="18" customHeight="1">
      <c r="A107" s="13" t="s">
        <v>139</v>
      </c>
      <c r="B107" s="14">
        <f>IFERROR(VLOOKUP(A107,PRICELIST!$A$3:$D$138,4,0),"-")</f>
        <v>123.43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9">
        <f t="shared" si="56"/>
        <v>0</v>
      </c>
      <c r="CZ107" s="19">
        <f t="shared" si="56"/>
        <v>0</v>
      </c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</row>
    <row r="108" spans="1:122" ht="18" customHeight="1">
      <c r="A108" s="13" t="s">
        <v>142</v>
      </c>
      <c r="B108" s="14">
        <f>IFERROR(VLOOKUP(A108,PRICELIST!$A$3:$D$138,4,0),"-")</f>
        <v>121.5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9">
        <f t="shared" si="56"/>
        <v>0</v>
      </c>
      <c r="CZ108" s="19">
        <f t="shared" si="56"/>
        <v>0</v>
      </c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</row>
    <row r="109" spans="1:122" ht="18" customHeight="1">
      <c r="A109" s="13" t="s">
        <v>143</v>
      </c>
      <c r="B109" s="14">
        <f>IFERROR(VLOOKUP(A109,PRICELIST!$A$3:$D$138,4,0),"-")</f>
        <v>109.23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9">
        <f t="shared" si="56"/>
        <v>0</v>
      </c>
      <c r="CZ109" s="19">
        <f t="shared" si="56"/>
        <v>0</v>
      </c>
    </row>
    <row r="110" spans="1:122" ht="18" customHeight="1">
      <c r="A110" s="9" t="s">
        <v>144</v>
      </c>
      <c r="B110" s="10"/>
      <c r="C110" s="11">
        <f t="shared" ref="C110:AH110" si="57">SUMPRODUCT($B100:$B109,C100:C109)</f>
        <v>0</v>
      </c>
      <c r="D110" s="11">
        <f t="shared" si="57"/>
        <v>0</v>
      </c>
      <c r="E110" s="11">
        <f t="shared" si="57"/>
        <v>0</v>
      </c>
      <c r="F110" s="11">
        <f t="shared" si="57"/>
        <v>0</v>
      </c>
      <c r="G110" s="11">
        <f t="shared" si="57"/>
        <v>0</v>
      </c>
      <c r="H110" s="11">
        <f t="shared" si="57"/>
        <v>0</v>
      </c>
      <c r="I110" s="11">
        <f t="shared" si="57"/>
        <v>0</v>
      </c>
      <c r="J110" s="11">
        <f t="shared" si="57"/>
        <v>0</v>
      </c>
      <c r="K110" s="11">
        <f t="shared" si="57"/>
        <v>0</v>
      </c>
      <c r="L110" s="11">
        <f t="shared" si="57"/>
        <v>0</v>
      </c>
      <c r="M110" s="11">
        <f t="shared" si="57"/>
        <v>0</v>
      </c>
      <c r="N110" s="11">
        <f t="shared" si="57"/>
        <v>0</v>
      </c>
      <c r="O110" s="11">
        <f t="shared" si="57"/>
        <v>0</v>
      </c>
      <c r="P110" s="11">
        <f t="shared" si="57"/>
        <v>0</v>
      </c>
      <c r="Q110" s="11">
        <f t="shared" si="57"/>
        <v>0</v>
      </c>
      <c r="R110" s="11">
        <f t="shared" si="57"/>
        <v>0</v>
      </c>
      <c r="S110" s="11">
        <f t="shared" si="57"/>
        <v>0</v>
      </c>
      <c r="T110" s="11">
        <f t="shared" si="57"/>
        <v>0</v>
      </c>
      <c r="U110" s="11">
        <f t="shared" si="57"/>
        <v>0</v>
      </c>
      <c r="V110" s="11">
        <f t="shared" si="57"/>
        <v>0</v>
      </c>
      <c r="W110" s="11">
        <f t="shared" si="57"/>
        <v>0</v>
      </c>
      <c r="X110" s="11">
        <f t="shared" si="57"/>
        <v>0</v>
      </c>
      <c r="Y110" s="11">
        <f t="shared" si="57"/>
        <v>0</v>
      </c>
      <c r="Z110" s="11">
        <f t="shared" si="57"/>
        <v>0</v>
      </c>
      <c r="AA110" s="11">
        <f t="shared" si="57"/>
        <v>0</v>
      </c>
      <c r="AB110" s="11">
        <f t="shared" si="57"/>
        <v>0</v>
      </c>
      <c r="AC110" s="11">
        <f t="shared" si="57"/>
        <v>0</v>
      </c>
      <c r="AD110" s="11">
        <f t="shared" si="57"/>
        <v>0</v>
      </c>
      <c r="AE110" s="11">
        <f t="shared" si="57"/>
        <v>0</v>
      </c>
      <c r="AF110" s="11">
        <f t="shared" si="57"/>
        <v>0</v>
      </c>
      <c r="AG110" s="11">
        <f t="shared" si="57"/>
        <v>0</v>
      </c>
      <c r="AH110" s="11">
        <f t="shared" si="57"/>
        <v>0</v>
      </c>
      <c r="AI110" s="11">
        <f t="shared" ref="AI110:BN110" si="58">SUMPRODUCT($B100:$B109,AI100:AI109)</f>
        <v>0</v>
      </c>
      <c r="AJ110" s="11">
        <f t="shared" si="58"/>
        <v>0</v>
      </c>
      <c r="AK110" s="11">
        <f t="shared" si="58"/>
        <v>0</v>
      </c>
      <c r="AL110" s="11">
        <f t="shared" si="58"/>
        <v>0</v>
      </c>
      <c r="AM110" s="11">
        <f t="shared" si="58"/>
        <v>0</v>
      </c>
      <c r="AN110" s="11">
        <f t="shared" si="58"/>
        <v>0</v>
      </c>
      <c r="AO110" s="11">
        <f t="shared" si="58"/>
        <v>0</v>
      </c>
      <c r="AP110" s="11">
        <f t="shared" si="58"/>
        <v>0</v>
      </c>
      <c r="AQ110" s="11">
        <f t="shared" si="58"/>
        <v>0</v>
      </c>
      <c r="AR110" s="11">
        <f t="shared" si="58"/>
        <v>0</v>
      </c>
      <c r="AS110" s="11">
        <f t="shared" si="58"/>
        <v>0</v>
      </c>
      <c r="AT110" s="11">
        <f t="shared" si="58"/>
        <v>0</v>
      </c>
      <c r="AU110" s="11">
        <f t="shared" si="58"/>
        <v>0</v>
      </c>
      <c r="AV110" s="11">
        <f t="shared" si="58"/>
        <v>0</v>
      </c>
      <c r="AW110" s="11">
        <f t="shared" si="58"/>
        <v>0</v>
      </c>
      <c r="AX110" s="11">
        <f t="shared" si="58"/>
        <v>0</v>
      </c>
      <c r="AY110" s="11">
        <f t="shared" si="58"/>
        <v>0</v>
      </c>
      <c r="AZ110" s="11">
        <f t="shared" si="58"/>
        <v>0</v>
      </c>
      <c r="BA110" s="11">
        <f t="shared" si="58"/>
        <v>0</v>
      </c>
      <c r="BB110" s="11">
        <f t="shared" si="58"/>
        <v>0</v>
      </c>
      <c r="BC110" s="11">
        <f t="shared" si="58"/>
        <v>0</v>
      </c>
      <c r="BD110" s="11">
        <f t="shared" si="58"/>
        <v>0</v>
      </c>
      <c r="BE110" s="11">
        <f t="shared" si="58"/>
        <v>0</v>
      </c>
      <c r="BF110" s="11">
        <f t="shared" si="58"/>
        <v>0</v>
      </c>
      <c r="BG110" s="11">
        <f t="shared" si="58"/>
        <v>0</v>
      </c>
      <c r="BH110" s="11">
        <f t="shared" si="58"/>
        <v>0</v>
      </c>
      <c r="BI110" s="11">
        <f t="shared" si="58"/>
        <v>0</v>
      </c>
      <c r="BJ110" s="11">
        <f t="shared" si="58"/>
        <v>0</v>
      </c>
      <c r="BK110" s="11">
        <f t="shared" si="58"/>
        <v>0</v>
      </c>
      <c r="BL110" s="11">
        <f t="shared" si="58"/>
        <v>0</v>
      </c>
      <c r="BM110" s="11">
        <f t="shared" si="58"/>
        <v>0</v>
      </c>
      <c r="BN110" s="11">
        <f t="shared" si="58"/>
        <v>0</v>
      </c>
      <c r="BO110" s="11">
        <f t="shared" ref="BO110:CT110" si="59">SUMPRODUCT($B100:$B109,BO100:BO109)</f>
        <v>0</v>
      </c>
      <c r="BP110" s="11">
        <f t="shared" si="59"/>
        <v>0</v>
      </c>
      <c r="BQ110" s="11">
        <f t="shared" si="59"/>
        <v>0</v>
      </c>
      <c r="BR110" s="11">
        <f t="shared" si="59"/>
        <v>0</v>
      </c>
      <c r="BS110" s="11">
        <f t="shared" si="59"/>
        <v>0</v>
      </c>
      <c r="BT110" s="11">
        <f t="shared" si="59"/>
        <v>0</v>
      </c>
      <c r="BU110" s="11">
        <f t="shared" si="59"/>
        <v>0</v>
      </c>
      <c r="BV110" s="11">
        <f t="shared" si="59"/>
        <v>0</v>
      </c>
      <c r="BW110" s="11">
        <f t="shared" si="59"/>
        <v>0</v>
      </c>
      <c r="BX110" s="11">
        <f t="shared" si="59"/>
        <v>0</v>
      </c>
      <c r="BY110" s="11">
        <f t="shared" si="59"/>
        <v>0</v>
      </c>
      <c r="BZ110" s="11">
        <f t="shared" si="59"/>
        <v>0</v>
      </c>
      <c r="CA110" s="11">
        <f t="shared" si="59"/>
        <v>0</v>
      </c>
      <c r="CB110" s="11">
        <f t="shared" si="59"/>
        <v>0</v>
      </c>
      <c r="CC110" s="11">
        <f t="shared" si="59"/>
        <v>0</v>
      </c>
      <c r="CD110" s="11">
        <f t="shared" si="59"/>
        <v>0</v>
      </c>
      <c r="CE110" s="11">
        <f t="shared" si="59"/>
        <v>0</v>
      </c>
      <c r="CF110" s="11">
        <f t="shared" si="59"/>
        <v>0</v>
      </c>
      <c r="CG110" s="11">
        <f t="shared" si="59"/>
        <v>0</v>
      </c>
      <c r="CH110" s="11">
        <f t="shared" si="59"/>
        <v>0</v>
      </c>
      <c r="CI110" s="11">
        <f t="shared" si="59"/>
        <v>0</v>
      </c>
      <c r="CJ110" s="11">
        <f t="shared" si="59"/>
        <v>0</v>
      </c>
      <c r="CK110" s="11">
        <f t="shared" si="59"/>
        <v>0</v>
      </c>
      <c r="CL110" s="11">
        <f t="shared" si="59"/>
        <v>0</v>
      </c>
      <c r="CM110" s="11">
        <f t="shared" si="59"/>
        <v>0</v>
      </c>
      <c r="CN110" s="11">
        <f t="shared" si="59"/>
        <v>0</v>
      </c>
      <c r="CO110" s="11">
        <f t="shared" si="59"/>
        <v>0</v>
      </c>
      <c r="CP110" s="11">
        <f t="shared" si="59"/>
        <v>0</v>
      </c>
      <c r="CQ110" s="11">
        <f t="shared" si="59"/>
        <v>0</v>
      </c>
      <c r="CR110" s="11">
        <f t="shared" si="59"/>
        <v>0</v>
      </c>
      <c r="CS110" s="11">
        <f t="shared" si="59"/>
        <v>0</v>
      </c>
      <c r="CT110" s="11">
        <f t="shared" si="59"/>
        <v>0</v>
      </c>
      <c r="CU110" s="11">
        <f t="shared" ref="CU110:CZ110" si="60">SUMPRODUCT($B100:$B109,CU100:CU109)</f>
        <v>0</v>
      </c>
      <c r="CV110" s="11">
        <f t="shared" si="60"/>
        <v>0</v>
      </c>
      <c r="CW110" s="11">
        <f t="shared" si="60"/>
        <v>0</v>
      </c>
      <c r="CX110" s="11">
        <f t="shared" si="60"/>
        <v>0</v>
      </c>
      <c r="CY110" s="11">
        <f t="shared" si="60"/>
        <v>0</v>
      </c>
      <c r="CZ110" s="11">
        <f t="shared" si="60"/>
        <v>0</v>
      </c>
    </row>
    <row r="111" spans="1:122">
      <c r="A111" s="13" t="s">
        <v>146</v>
      </c>
      <c r="B111" s="14">
        <f>IFERROR(VLOOKUP(A111,PRICELIST!$A$3:$D$138,4,0),"-")</f>
        <v>31.29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9">
        <f t="shared" ref="CY111:CZ114" si="61">C111+E111+G111+I111+K111+M111+O111+Q111+S111+U111+W111+Y111+AA111+AC111+AE111+AG111+AI111+AK111+AM111+AO111+AQ111+AS111+AU111+AW111+AY111+BA111+BC111+BE111+BG111+BI111+BK111+BM111+BO111+BQ111+BS111+BU111+BW111+BY111+CA111+CC111+CE111+CG111+CI111+CK111+CM111+CO111+CQ111+CS111+CU111+CW111</f>
        <v>0</v>
      </c>
      <c r="CZ111" s="19">
        <f t="shared" si="61"/>
        <v>0</v>
      </c>
    </row>
    <row r="112" spans="1:122">
      <c r="A112" s="13" t="s">
        <v>147</v>
      </c>
      <c r="B112" s="14">
        <f>IFERROR(VLOOKUP(A112,PRICELIST!$A$3:$D$138,4,0),"-")</f>
        <v>68.36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9">
        <f t="shared" si="61"/>
        <v>0</v>
      </c>
      <c r="CZ112" s="19">
        <f t="shared" si="61"/>
        <v>0</v>
      </c>
    </row>
    <row r="113" spans="1:104">
      <c r="A113" s="13" t="s">
        <v>148</v>
      </c>
      <c r="B113" s="14">
        <f>IFERROR(VLOOKUP(A113,PRICELIST!$A$3:$D$138,4,0),"-")</f>
        <v>210.72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9">
        <f t="shared" si="61"/>
        <v>0</v>
      </c>
      <c r="CZ113" s="19">
        <f t="shared" si="61"/>
        <v>0</v>
      </c>
    </row>
    <row r="114" spans="1:104">
      <c r="A114" s="13" t="s">
        <v>149</v>
      </c>
      <c r="B114" s="14">
        <f>IFERROR(VLOOKUP(A114,PRICELIST!$A$3:$D$138,4,0),"-")</f>
        <v>180.9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9">
        <f t="shared" si="61"/>
        <v>0</v>
      </c>
      <c r="CZ114" s="19">
        <f t="shared" si="61"/>
        <v>0</v>
      </c>
    </row>
    <row r="115" spans="1:104">
      <c r="A115" s="9" t="s">
        <v>145</v>
      </c>
      <c r="B115" s="10"/>
      <c r="C115" s="11">
        <f>SUMPRODUCT($B111:$B114,C111:C114)</f>
        <v>0</v>
      </c>
      <c r="D115" s="11">
        <f t="shared" ref="D115:BO115" si="62">SUMPRODUCT($B111:$B114,D111:D114)</f>
        <v>0</v>
      </c>
      <c r="E115" s="11">
        <f t="shared" si="62"/>
        <v>0</v>
      </c>
      <c r="F115" s="11">
        <f t="shared" si="62"/>
        <v>0</v>
      </c>
      <c r="G115" s="11">
        <f t="shared" si="62"/>
        <v>0</v>
      </c>
      <c r="H115" s="11">
        <f t="shared" si="62"/>
        <v>0</v>
      </c>
      <c r="I115" s="11">
        <f t="shared" si="62"/>
        <v>0</v>
      </c>
      <c r="J115" s="11">
        <f t="shared" si="62"/>
        <v>0</v>
      </c>
      <c r="K115" s="11">
        <f t="shared" si="62"/>
        <v>0</v>
      </c>
      <c r="L115" s="11">
        <f t="shared" si="62"/>
        <v>0</v>
      </c>
      <c r="M115" s="11">
        <f t="shared" si="62"/>
        <v>0</v>
      </c>
      <c r="N115" s="11">
        <f t="shared" si="62"/>
        <v>0</v>
      </c>
      <c r="O115" s="11">
        <f t="shared" si="62"/>
        <v>0</v>
      </c>
      <c r="P115" s="11">
        <f t="shared" si="62"/>
        <v>0</v>
      </c>
      <c r="Q115" s="11">
        <f t="shared" si="62"/>
        <v>0</v>
      </c>
      <c r="R115" s="11">
        <f t="shared" si="62"/>
        <v>0</v>
      </c>
      <c r="S115" s="11">
        <f t="shared" si="62"/>
        <v>0</v>
      </c>
      <c r="T115" s="11">
        <f t="shared" si="62"/>
        <v>0</v>
      </c>
      <c r="U115" s="11">
        <f t="shared" si="62"/>
        <v>0</v>
      </c>
      <c r="V115" s="11">
        <f t="shared" si="62"/>
        <v>0</v>
      </c>
      <c r="W115" s="11">
        <f t="shared" si="62"/>
        <v>0</v>
      </c>
      <c r="X115" s="11">
        <f t="shared" si="62"/>
        <v>0</v>
      </c>
      <c r="Y115" s="11">
        <f t="shared" si="62"/>
        <v>0</v>
      </c>
      <c r="Z115" s="11">
        <f t="shared" si="62"/>
        <v>0</v>
      </c>
      <c r="AA115" s="11">
        <f t="shared" si="62"/>
        <v>0</v>
      </c>
      <c r="AB115" s="11">
        <f t="shared" si="62"/>
        <v>0</v>
      </c>
      <c r="AC115" s="11">
        <f t="shared" si="62"/>
        <v>0</v>
      </c>
      <c r="AD115" s="11">
        <f t="shared" si="62"/>
        <v>0</v>
      </c>
      <c r="AE115" s="11">
        <f t="shared" si="62"/>
        <v>0</v>
      </c>
      <c r="AF115" s="11">
        <f t="shared" si="62"/>
        <v>0</v>
      </c>
      <c r="AG115" s="11">
        <f t="shared" si="62"/>
        <v>0</v>
      </c>
      <c r="AH115" s="11">
        <f t="shared" si="62"/>
        <v>0</v>
      </c>
      <c r="AI115" s="11">
        <f t="shared" si="62"/>
        <v>0</v>
      </c>
      <c r="AJ115" s="11">
        <f t="shared" si="62"/>
        <v>0</v>
      </c>
      <c r="AK115" s="11">
        <f t="shared" si="62"/>
        <v>0</v>
      </c>
      <c r="AL115" s="11">
        <f t="shared" si="62"/>
        <v>0</v>
      </c>
      <c r="AM115" s="11">
        <f t="shared" si="62"/>
        <v>0</v>
      </c>
      <c r="AN115" s="11">
        <f t="shared" si="62"/>
        <v>0</v>
      </c>
      <c r="AO115" s="11">
        <f t="shared" si="62"/>
        <v>0</v>
      </c>
      <c r="AP115" s="11">
        <f t="shared" si="62"/>
        <v>0</v>
      </c>
      <c r="AQ115" s="11">
        <f t="shared" si="62"/>
        <v>0</v>
      </c>
      <c r="AR115" s="11">
        <f t="shared" si="62"/>
        <v>0</v>
      </c>
      <c r="AS115" s="11">
        <f t="shared" si="62"/>
        <v>0</v>
      </c>
      <c r="AT115" s="11">
        <f t="shared" si="62"/>
        <v>0</v>
      </c>
      <c r="AU115" s="11">
        <f t="shared" si="62"/>
        <v>0</v>
      </c>
      <c r="AV115" s="11">
        <f t="shared" si="62"/>
        <v>0</v>
      </c>
      <c r="AW115" s="11">
        <f t="shared" si="62"/>
        <v>0</v>
      </c>
      <c r="AX115" s="11">
        <f t="shared" si="62"/>
        <v>0</v>
      </c>
      <c r="AY115" s="11">
        <f t="shared" si="62"/>
        <v>0</v>
      </c>
      <c r="AZ115" s="11">
        <f t="shared" si="62"/>
        <v>0</v>
      </c>
      <c r="BA115" s="11">
        <f t="shared" si="62"/>
        <v>0</v>
      </c>
      <c r="BB115" s="11">
        <f t="shared" si="62"/>
        <v>0</v>
      </c>
      <c r="BC115" s="11">
        <f t="shared" si="62"/>
        <v>0</v>
      </c>
      <c r="BD115" s="11">
        <f t="shared" si="62"/>
        <v>0</v>
      </c>
      <c r="BE115" s="11">
        <f t="shared" si="62"/>
        <v>0</v>
      </c>
      <c r="BF115" s="11">
        <f t="shared" si="62"/>
        <v>0</v>
      </c>
      <c r="BG115" s="11">
        <f t="shared" si="62"/>
        <v>0</v>
      </c>
      <c r="BH115" s="11">
        <f t="shared" si="62"/>
        <v>0</v>
      </c>
      <c r="BI115" s="11">
        <f t="shared" si="62"/>
        <v>0</v>
      </c>
      <c r="BJ115" s="11">
        <f t="shared" si="62"/>
        <v>0</v>
      </c>
      <c r="BK115" s="11">
        <f t="shared" si="62"/>
        <v>0</v>
      </c>
      <c r="BL115" s="11">
        <f t="shared" si="62"/>
        <v>0</v>
      </c>
      <c r="BM115" s="11">
        <f t="shared" si="62"/>
        <v>0</v>
      </c>
      <c r="BN115" s="11">
        <f t="shared" si="62"/>
        <v>0</v>
      </c>
      <c r="BO115" s="11">
        <f t="shared" si="62"/>
        <v>0</v>
      </c>
      <c r="BP115" s="11">
        <f t="shared" ref="BP115:CZ115" si="63">SUMPRODUCT($B111:$B114,BP111:BP114)</f>
        <v>0</v>
      </c>
      <c r="BQ115" s="11">
        <f t="shared" si="63"/>
        <v>0</v>
      </c>
      <c r="BR115" s="11">
        <f t="shared" si="63"/>
        <v>0</v>
      </c>
      <c r="BS115" s="11">
        <f t="shared" si="63"/>
        <v>0</v>
      </c>
      <c r="BT115" s="11">
        <f t="shared" si="63"/>
        <v>0</v>
      </c>
      <c r="BU115" s="11">
        <f t="shared" si="63"/>
        <v>0</v>
      </c>
      <c r="BV115" s="11">
        <f t="shared" si="63"/>
        <v>0</v>
      </c>
      <c r="BW115" s="11">
        <f t="shared" si="63"/>
        <v>0</v>
      </c>
      <c r="BX115" s="11">
        <f t="shared" si="63"/>
        <v>0</v>
      </c>
      <c r="BY115" s="11">
        <f t="shared" si="63"/>
        <v>0</v>
      </c>
      <c r="BZ115" s="11">
        <f t="shared" si="63"/>
        <v>0</v>
      </c>
      <c r="CA115" s="11">
        <f t="shared" si="63"/>
        <v>0</v>
      </c>
      <c r="CB115" s="11">
        <f t="shared" si="63"/>
        <v>0</v>
      </c>
      <c r="CC115" s="11">
        <f t="shared" si="63"/>
        <v>0</v>
      </c>
      <c r="CD115" s="11">
        <f t="shared" si="63"/>
        <v>0</v>
      </c>
      <c r="CE115" s="11">
        <f t="shared" si="63"/>
        <v>0</v>
      </c>
      <c r="CF115" s="11">
        <f t="shared" si="63"/>
        <v>0</v>
      </c>
      <c r="CG115" s="11">
        <f t="shared" si="63"/>
        <v>0</v>
      </c>
      <c r="CH115" s="11">
        <f t="shared" si="63"/>
        <v>0</v>
      </c>
      <c r="CI115" s="11">
        <f t="shared" si="63"/>
        <v>0</v>
      </c>
      <c r="CJ115" s="11">
        <f t="shared" si="63"/>
        <v>0</v>
      </c>
      <c r="CK115" s="11">
        <f t="shared" si="63"/>
        <v>0</v>
      </c>
      <c r="CL115" s="11">
        <f t="shared" si="63"/>
        <v>0</v>
      </c>
      <c r="CM115" s="11">
        <f t="shared" si="63"/>
        <v>0</v>
      </c>
      <c r="CN115" s="11">
        <f t="shared" si="63"/>
        <v>0</v>
      </c>
      <c r="CO115" s="11">
        <f t="shared" si="63"/>
        <v>0</v>
      </c>
      <c r="CP115" s="11">
        <f t="shared" si="63"/>
        <v>0</v>
      </c>
      <c r="CQ115" s="11">
        <f t="shared" si="63"/>
        <v>0</v>
      </c>
      <c r="CR115" s="11">
        <f t="shared" si="63"/>
        <v>0</v>
      </c>
      <c r="CS115" s="11">
        <f t="shared" si="63"/>
        <v>0</v>
      </c>
      <c r="CT115" s="11">
        <f t="shared" si="63"/>
        <v>0</v>
      </c>
      <c r="CU115" s="11">
        <f t="shared" si="63"/>
        <v>0</v>
      </c>
      <c r="CV115" s="11">
        <f t="shared" si="63"/>
        <v>0</v>
      </c>
      <c r="CW115" s="11">
        <f t="shared" si="63"/>
        <v>0</v>
      </c>
      <c r="CX115" s="11">
        <f t="shared" si="63"/>
        <v>0</v>
      </c>
      <c r="CY115" s="11">
        <f t="shared" si="63"/>
        <v>0</v>
      </c>
      <c r="CZ115" s="11">
        <f t="shared" si="63"/>
        <v>0</v>
      </c>
    </row>
    <row r="116" spans="1:104">
      <c r="A116" s="4"/>
      <c r="B116" s="14" t="str">
        <f>IFERROR(VLOOKUP(A116,PRICELIST!$A$3:$D$138,4,0),"-")</f>
        <v>-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9">
        <f t="shared" ref="CY116:CZ118" si="64">C116+E116+G116+I116+K116+M116+O116+Q116+S116+U116+W116+Y116+AA116+AC116+AE116+AG116+AI116+AK116+AM116+AO116+AQ116+AS116+AU116+AW116+AY116+BA116+BC116+BE116+BG116+BI116+BK116+BM116+BO116+BQ116+BS116+BU116+BW116+BY116+CA116+CC116+CE116+CG116+CI116+CK116+CM116+CO116+CQ116+CS116+CU116+CW116</f>
        <v>0</v>
      </c>
      <c r="CZ116" s="19">
        <f t="shared" si="64"/>
        <v>0</v>
      </c>
    </row>
    <row r="117" spans="1:104">
      <c r="A117" s="4"/>
      <c r="B117" s="14" t="str">
        <f>IFERROR(VLOOKUP(A117,PRICELIST!$A$3:$D$138,4,0),"-")</f>
        <v>-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9">
        <f t="shared" si="64"/>
        <v>0</v>
      </c>
      <c r="CZ117" s="19">
        <f t="shared" si="64"/>
        <v>0</v>
      </c>
    </row>
    <row r="118" spans="1:104">
      <c r="A118" s="4"/>
      <c r="B118" s="14" t="str">
        <f>IFERROR(VLOOKUP(A118,PRICELIST!$A$3:$D$138,4,0),"-")</f>
        <v>-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9">
        <f t="shared" si="64"/>
        <v>0</v>
      </c>
      <c r="CZ118" s="19">
        <f t="shared" si="64"/>
        <v>0</v>
      </c>
    </row>
    <row r="119" spans="1:104">
      <c r="A119" s="9"/>
      <c r="B119" s="15"/>
      <c r="C119" s="5">
        <f>SUMPRODUCT($B116:$B118,C116:C118)</f>
        <v>0</v>
      </c>
      <c r="D119" s="5">
        <f t="shared" ref="D119:BO119" si="65">SUMPRODUCT($B116:$B118,D116:D118)</f>
        <v>0</v>
      </c>
      <c r="E119" s="5">
        <f t="shared" si="65"/>
        <v>0</v>
      </c>
      <c r="F119" s="5">
        <f t="shared" si="65"/>
        <v>0</v>
      </c>
      <c r="G119" s="5">
        <f t="shared" si="65"/>
        <v>0</v>
      </c>
      <c r="H119" s="5">
        <f t="shared" si="65"/>
        <v>0</v>
      </c>
      <c r="I119" s="5">
        <f t="shared" si="65"/>
        <v>0</v>
      </c>
      <c r="J119" s="5">
        <f t="shared" si="65"/>
        <v>0</v>
      </c>
      <c r="K119" s="5">
        <f t="shared" si="65"/>
        <v>0</v>
      </c>
      <c r="L119" s="5">
        <f t="shared" si="65"/>
        <v>0</v>
      </c>
      <c r="M119" s="5">
        <f t="shared" si="65"/>
        <v>0</v>
      </c>
      <c r="N119" s="5">
        <f t="shared" si="65"/>
        <v>0</v>
      </c>
      <c r="O119" s="5">
        <f t="shared" si="65"/>
        <v>0</v>
      </c>
      <c r="P119" s="5">
        <f t="shared" si="65"/>
        <v>0</v>
      </c>
      <c r="Q119" s="5">
        <f t="shared" si="65"/>
        <v>0</v>
      </c>
      <c r="R119" s="5">
        <f t="shared" si="65"/>
        <v>0</v>
      </c>
      <c r="S119" s="5">
        <f t="shared" si="65"/>
        <v>0</v>
      </c>
      <c r="T119" s="5">
        <f t="shared" si="65"/>
        <v>0</v>
      </c>
      <c r="U119" s="5">
        <f t="shared" si="65"/>
        <v>0</v>
      </c>
      <c r="V119" s="5">
        <f t="shared" si="65"/>
        <v>0</v>
      </c>
      <c r="W119" s="5">
        <f t="shared" si="65"/>
        <v>0</v>
      </c>
      <c r="X119" s="5">
        <f t="shared" si="65"/>
        <v>0</v>
      </c>
      <c r="Y119" s="5">
        <f t="shared" si="65"/>
        <v>0</v>
      </c>
      <c r="Z119" s="5">
        <f t="shared" si="65"/>
        <v>0</v>
      </c>
      <c r="AA119" s="5">
        <f t="shared" si="65"/>
        <v>0</v>
      </c>
      <c r="AB119" s="5">
        <f t="shared" si="65"/>
        <v>0</v>
      </c>
      <c r="AC119" s="5">
        <f t="shared" si="65"/>
        <v>0</v>
      </c>
      <c r="AD119" s="5">
        <f t="shared" si="65"/>
        <v>0</v>
      </c>
      <c r="AE119" s="5">
        <f t="shared" si="65"/>
        <v>0</v>
      </c>
      <c r="AF119" s="5">
        <f t="shared" si="65"/>
        <v>0</v>
      </c>
      <c r="AG119" s="5">
        <f t="shared" si="65"/>
        <v>0</v>
      </c>
      <c r="AH119" s="5">
        <f t="shared" si="65"/>
        <v>0</v>
      </c>
      <c r="AI119" s="5">
        <f t="shared" si="65"/>
        <v>0</v>
      </c>
      <c r="AJ119" s="5">
        <f t="shared" si="65"/>
        <v>0</v>
      </c>
      <c r="AK119" s="5">
        <f t="shared" si="65"/>
        <v>0</v>
      </c>
      <c r="AL119" s="5">
        <f t="shared" si="65"/>
        <v>0</v>
      </c>
      <c r="AM119" s="5">
        <f t="shared" si="65"/>
        <v>0</v>
      </c>
      <c r="AN119" s="5">
        <f t="shared" si="65"/>
        <v>0</v>
      </c>
      <c r="AO119" s="5">
        <f t="shared" si="65"/>
        <v>0</v>
      </c>
      <c r="AP119" s="5">
        <f t="shared" si="65"/>
        <v>0</v>
      </c>
      <c r="AQ119" s="5">
        <f t="shared" si="65"/>
        <v>0</v>
      </c>
      <c r="AR119" s="5">
        <f t="shared" si="65"/>
        <v>0</v>
      </c>
      <c r="AS119" s="5">
        <f t="shared" si="65"/>
        <v>0</v>
      </c>
      <c r="AT119" s="5">
        <f t="shared" si="65"/>
        <v>0</v>
      </c>
      <c r="AU119" s="5">
        <f t="shared" si="65"/>
        <v>0</v>
      </c>
      <c r="AV119" s="5">
        <f t="shared" si="65"/>
        <v>0</v>
      </c>
      <c r="AW119" s="5">
        <f t="shared" si="65"/>
        <v>0</v>
      </c>
      <c r="AX119" s="5">
        <f t="shared" si="65"/>
        <v>0</v>
      </c>
      <c r="AY119" s="5">
        <f t="shared" si="65"/>
        <v>0</v>
      </c>
      <c r="AZ119" s="5">
        <f t="shared" si="65"/>
        <v>0</v>
      </c>
      <c r="BA119" s="5">
        <f t="shared" si="65"/>
        <v>0</v>
      </c>
      <c r="BB119" s="5">
        <f t="shared" si="65"/>
        <v>0</v>
      </c>
      <c r="BC119" s="5">
        <f t="shared" si="65"/>
        <v>0</v>
      </c>
      <c r="BD119" s="5">
        <f t="shared" si="65"/>
        <v>0</v>
      </c>
      <c r="BE119" s="5">
        <f t="shared" si="65"/>
        <v>0</v>
      </c>
      <c r="BF119" s="5">
        <f t="shared" si="65"/>
        <v>0</v>
      </c>
      <c r="BG119" s="5">
        <f t="shared" si="65"/>
        <v>0</v>
      </c>
      <c r="BH119" s="5">
        <f t="shared" si="65"/>
        <v>0</v>
      </c>
      <c r="BI119" s="5">
        <f t="shared" si="65"/>
        <v>0</v>
      </c>
      <c r="BJ119" s="5">
        <f t="shared" si="65"/>
        <v>0</v>
      </c>
      <c r="BK119" s="5">
        <f t="shared" si="65"/>
        <v>0</v>
      </c>
      <c r="BL119" s="5">
        <f t="shared" si="65"/>
        <v>0</v>
      </c>
      <c r="BM119" s="5">
        <f t="shared" si="65"/>
        <v>0</v>
      </c>
      <c r="BN119" s="5">
        <f t="shared" si="65"/>
        <v>0</v>
      </c>
      <c r="BO119" s="5">
        <f t="shared" si="65"/>
        <v>0</v>
      </c>
      <c r="BP119" s="5">
        <f t="shared" ref="BP119:CZ119" si="66">SUMPRODUCT($B116:$B118,BP116:BP118)</f>
        <v>0</v>
      </c>
      <c r="BQ119" s="5">
        <f t="shared" si="66"/>
        <v>0</v>
      </c>
      <c r="BR119" s="5">
        <f t="shared" si="66"/>
        <v>0</v>
      </c>
      <c r="BS119" s="5">
        <f t="shared" si="66"/>
        <v>0</v>
      </c>
      <c r="BT119" s="5">
        <f t="shared" si="66"/>
        <v>0</v>
      </c>
      <c r="BU119" s="5">
        <f t="shared" si="66"/>
        <v>0</v>
      </c>
      <c r="BV119" s="5">
        <f t="shared" si="66"/>
        <v>0</v>
      </c>
      <c r="BW119" s="5">
        <f t="shared" si="66"/>
        <v>0</v>
      </c>
      <c r="BX119" s="5">
        <f t="shared" si="66"/>
        <v>0</v>
      </c>
      <c r="BY119" s="5">
        <f t="shared" si="66"/>
        <v>0</v>
      </c>
      <c r="BZ119" s="5">
        <f t="shared" si="66"/>
        <v>0</v>
      </c>
      <c r="CA119" s="5">
        <f t="shared" si="66"/>
        <v>0</v>
      </c>
      <c r="CB119" s="5">
        <f t="shared" si="66"/>
        <v>0</v>
      </c>
      <c r="CC119" s="5">
        <f t="shared" si="66"/>
        <v>0</v>
      </c>
      <c r="CD119" s="5">
        <f t="shared" si="66"/>
        <v>0</v>
      </c>
      <c r="CE119" s="5">
        <f t="shared" si="66"/>
        <v>0</v>
      </c>
      <c r="CF119" s="5">
        <f t="shared" si="66"/>
        <v>0</v>
      </c>
      <c r="CG119" s="5">
        <f t="shared" si="66"/>
        <v>0</v>
      </c>
      <c r="CH119" s="5">
        <f t="shared" si="66"/>
        <v>0</v>
      </c>
      <c r="CI119" s="5">
        <f t="shared" si="66"/>
        <v>0</v>
      </c>
      <c r="CJ119" s="5">
        <f t="shared" si="66"/>
        <v>0</v>
      </c>
      <c r="CK119" s="5">
        <f t="shared" si="66"/>
        <v>0</v>
      </c>
      <c r="CL119" s="5">
        <f t="shared" si="66"/>
        <v>0</v>
      </c>
      <c r="CM119" s="5">
        <f t="shared" si="66"/>
        <v>0</v>
      </c>
      <c r="CN119" s="5">
        <f t="shared" si="66"/>
        <v>0</v>
      </c>
      <c r="CO119" s="5">
        <f t="shared" si="66"/>
        <v>0</v>
      </c>
      <c r="CP119" s="5">
        <f t="shared" si="66"/>
        <v>0</v>
      </c>
      <c r="CQ119" s="5">
        <f t="shared" si="66"/>
        <v>0</v>
      </c>
      <c r="CR119" s="5">
        <f t="shared" si="66"/>
        <v>0</v>
      </c>
      <c r="CS119" s="5">
        <f t="shared" si="66"/>
        <v>0</v>
      </c>
      <c r="CT119" s="5">
        <f t="shared" si="66"/>
        <v>0</v>
      </c>
      <c r="CU119" s="5">
        <f t="shared" si="66"/>
        <v>0</v>
      </c>
      <c r="CV119" s="5">
        <f t="shared" si="66"/>
        <v>0</v>
      </c>
      <c r="CW119" s="5">
        <f t="shared" si="66"/>
        <v>0</v>
      </c>
      <c r="CX119" s="5">
        <f t="shared" si="66"/>
        <v>0</v>
      </c>
      <c r="CY119" s="5">
        <f t="shared" si="66"/>
        <v>0</v>
      </c>
      <c r="CZ119" s="5">
        <f t="shared" si="66"/>
        <v>0</v>
      </c>
    </row>
    <row r="120" spans="1:104" ht="15.5">
      <c r="A120" s="16" t="s">
        <v>71</v>
      </c>
      <c r="B120" s="17"/>
      <c r="C120" s="6">
        <f t="shared" ref="C120:AH120" si="67">SUM(C10,C20,C24,C27,C34,C37,C40,C47,C49,C53,C59,C71,C79,C81,C88,C92,C95,C99,C110,C115,C119)/100000</f>
        <v>0</v>
      </c>
      <c r="D120" s="6">
        <f t="shared" si="67"/>
        <v>0</v>
      </c>
      <c r="E120" s="6">
        <f t="shared" si="67"/>
        <v>0</v>
      </c>
      <c r="F120" s="6">
        <f t="shared" si="67"/>
        <v>0</v>
      </c>
      <c r="G120" s="6">
        <f t="shared" si="67"/>
        <v>0</v>
      </c>
      <c r="H120" s="6">
        <f t="shared" si="67"/>
        <v>0</v>
      </c>
      <c r="I120" s="6">
        <f t="shared" si="67"/>
        <v>0</v>
      </c>
      <c r="J120" s="6">
        <f t="shared" si="67"/>
        <v>0</v>
      </c>
      <c r="K120" s="6">
        <f t="shared" si="67"/>
        <v>0</v>
      </c>
      <c r="L120" s="6">
        <f t="shared" si="67"/>
        <v>0</v>
      </c>
      <c r="M120" s="6">
        <f t="shared" si="67"/>
        <v>0</v>
      </c>
      <c r="N120" s="6">
        <f t="shared" si="67"/>
        <v>0</v>
      </c>
      <c r="O120" s="6">
        <f t="shared" si="67"/>
        <v>0</v>
      </c>
      <c r="P120" s="6">
        <f t="shared" si="67"/>
        <v>0</v>
      </c>
      <c r="Q120" s="6">
        <f t="shared" si="67"/>
        <v>0</v>
      </c>
      <c r="R120" s="6">
        <f t="shared" si="67"/>
        <v>0</v>
      </c>
      <c r="S120" s="6">
        <f t="shared" si="67"/>
        <v>0</v>
      </c>
      <c r="T120" s="6">
        <f t="shared" si="67"/>
        <v>0</v>
      </c>
      <c r="U120" s="6">
        <f t="shared" si="67"/>
        <v>0</v>
      </c>
      <c r="V120" s="6">
        <f t="shared" si="67"/>
        <v>0</v>
      </c>
      <c r="W120" s="6">
        <f t="shared" si="67"/>
        <v>0</v>
      </c>
      <c r="X120" s="6">
        <f t="shared" si="67"/>
        <v>0</v>
      </c>
      <c r="Y120" s="6">
        <f t="shared" si="67"/>
        <v>0</v>
      </c>
      <c r="Z120" s="6">
        <f t="shared" si="67"/>
        <v>0</v>
      </c>
      <c r="AA120" s="6">
        <f t="shared" si="67"/>
        <v>0</v>
      </c>
      <c r="AB120" s="6">
        <f t="shared" si="67"/>
        <v>0</v>
      </c>
      <c r="AC120" s="6">
        <f t="shared" si="67"/>
        <v>0</v>
      </c>
      <c r="AD120" s="6">
        <f t="shared" si="67"/>
        <v>0</v>
      </c>
      <c r="AE120" s="6">
        <f t="shared" si="67"/>
        <v>0</v>
      </c>
      <c r="AF120" s="6">
        <f t="shared" si="67"/>
        <v>0</v>
      </c>
      <c r="AG120" s="6">
        <f t="shared" si="67"/>
        <v>0</v>
      </c>
      <c r="AH120" s="6">
        <f t="shared" si="67"/>
        <v>0</v>
      </c>
      <c r="AI120" s="6">
        <f t="shared" ref="AI120:BN120" si="68">SUM(AI10,AI20,AI24,AI27,AI34,AI37,AI40,AI47,AI49,AI53,AI59,AI71,AI79,AI81,AI88,AI92,AI95,AI99,AI110,AI115,AI119)/100000</f>
        <v>0</v>
      </c>
      <c r="AJ120" s="6">
        <f t="shared" si="68"/>
        <v>0</v>
      </c>
      <c r="AK120" s="6">
        <f t="shared" si="68"/>
        <v>0</v>
      </c>
      <c r="AL120" s="6">
        <f t="shared" si="68"/>
        <v>0</v>
      </c>
      <c r="AM120" s="6">
        <f t="shared" si="68"/>
        <v>0</v>
      </c>
      <c r="AN120" s="6">
        <f t="shared" si="68"/>
        <v>0</v>
      </c>
      <c r="AO120" s="6">
        <f t="shared" si="68"/>
        <v>0</v>
      </c>
      <c r="AP120" s="6">
        <f t="shared" si="68"/>
        <v>0</v>
      </c>
      <c r="AQ120" s="6">
        <f t="shared" si="68"/>
        <v>0</v>
      </c>
      <c r="AR120" s="6">
        <f t="shared" si="68"/>
        <v>0</v>
      </c>
      <c r="AS120" s="6">
        <f t="shared" si="68"/>
        <v>0</v>
      </c>
      <c r="AT120" s="6">
        <f t="shared" si="68"/>
        <v>0</v>
      </c>
      <c r="AU120" s="6">
        <f t="shared" si="68"/>
        <v>0</v>
      </c>
      <c r="AV120" s="6">
        <f t="shared" si="68"/>
        <v>0</v>
      </c>
      <c r="AW120" s="6">
        <f t="shared" si="68"/>
        <v>0</v>
      </c>
      <c r="AX120" s="6">
        <f t="shared" si="68"/>
        <v>0</v>
      </c>
      <c r="AY120" s="6">
        <f t="shared" si="68"/>
        <v>0</v>
      </c>
      <c r="AZ120" s="6">
        <f t="shared" si="68"/>
        <v>0</v>
      </c>
      <c r="BA120" s="6">
        <f t="shared" si="68"/>
        <v>0</v>
      </c>
      <c r="BB120" s="6">
        <f t="shared" si="68"/>
        <v>0</v>
      </c>
      <c r="BC120" s="6">
        <f t="shared" si="68"/>
        <v>0</v>
      </c>
      <c r="BD120" s="6">
        <f t="shared" si="68"/>
        <v>0</v>
      </c>
      <c r="BE120" s="6">
        <f t="shared" si="68"/>
        <v>0</v>
      </c>
      <c r="BF120" s="6">
        <f t="shared" si="68"/>
        <v>0</v>
      </c>
      <c r="BG120" s="6">
        <f t="shared" si="68"/>
        <v>0</v>
      </c>
      <c r="BH120" s="6">
        <f t="shared" si="68"/>
        <v>0</v>
      </c>
      <c r="BI120" s="6">
        <f t="shared" si="68"/>
        <v>0</v>
      </c>
      <c r="BJ120" s="6">
        <f t="shared" si="68"/>
        <v>0</v>
      </c>
      <c r="BK120" s="6">
        <f t="shared" si="68"/>
        <v>0</v>
      </c>
      <c r="BL120" s="6">
        <f t="shared" si="68"/>
        <v>0</v>
      </c>
      <c r="BM120" s="6">
        <f t="shared" si="68"/>
        <v>0</v>
      </c>
      <c r="BN120" s="6">
        <f t="shared" si="68"/>
        <v>0</v>
      </c>
      <c r="BO120" s="6">
        <f t="shared" ref="BO120:CT120" si="69">SUM(BO10,BO20,BO24,BO27,BO34,BO37,BO40,BO47,BO49,BO53,BO59,BO71,BO79,BO81,BO88,BO92,BO95,BO99,BO110,BO115,BO119)/100000</f>
        <v>0</v>
      </c>
      <c r="BP120" s="6">
        <f t="shared" si="69"/>
        <v>0</v>
      </c>
      <c r="BQ120" s="6">
        <f t="shared" si="69"/>
        <v>0</v>
      </c>
      <c r="BR120" s="6">
        <f t="shared" si="69"/>
        <v>0</v>
      </c>
      <c r="BS120" s="6">
        <f t="shared" si="69"/>
        <v>0</v>
      </c>
      <c r="BT120" s="6">
        <f t="shared" si="69"/>
        <v>0</v>
      </c>
      <c r="BU120" s="6">
        <f t="shared" si="69"/>
        <v>0</v>
      </c>
      <c r="BV120" s="6">
        <f t="shared" si="69"/>
        <v>0</v>
      </c>
      <c r="BW120" s="6">
        <f t="shared" si="69"/>
        <v>0</v>
      </c>
      <c r="BX120" s="6">
        <f t="shared" si="69"/>
        <v>0</v>
      </c>
      <c r="BY120" s="6">
        <f t="shared" si="69"/>
        <v>0</v>
      </c>
      <c r="BZ120" s="6">
        <f t="shared" si="69"/>
        <v>0</v>
      </c>
      <c r="CA120" s="6">
        <f t="shared" si="69"/>
        <v>0</v>
      </c>
      <c r="CB120" s="6">
        <f t="shared" si="69"/>
        <v>0</v>
      </c>
      <c r="CC120" s="6">
        <f t="shared" si="69"/>
        <v>0</v>
      </c>
      <c r="CD120" s="6">
        <f t="shared" si="69"/>
        <v>0</v>
      </c>
      <c r="CE120" s="6">
        <f t="shared" si="69"/>
        <v>0</v>
      </c>
      <c r="CF120" s="6">
        <f t="shared" si="69"/>
        <v>0</v>
      </c>
      <c r="CG120" s="6">
        <f t="shared" si="69"/>
        <v>0</v>
      </c>
      <c r="CH120" s="6">
        <f t="shared" si="69"/>
        <v>0</v>
      </c>
      <c r="CI120" s="6">
        <f t="shared" si="69"/>
        <v>0</v>
      </c>
      <c r="CJ120" s="6">
        <f t="shared" si="69"/>
        <v>0</v>
      </c>
      <c r="CK120" s="6">
        <f t="shared" si="69"/>
        <v>0</v>
      </c>
      <c r="CL120" s="6">
        <f t="shared" si="69"/>
        <v>0</v>
      </c>
      <c r="CM120" s="6">
        <f t="shared" si="69"/>
        <v>0</v>
      </c>
      <c r="CN120" s="6">
        <f t="shared" si="69"/>
        <v>0</v>
      </c>
      <c r="CO120" s="6">
        <f t="shared" si="69"/>
        <v>0</v>
      </c>
      <c r="CP120" s="6">
        <f t="shared" si="69"/>
        <v>0</v>
      </c>
      <c r="CQ120" s="6">
        <f t="shared" si="69"/>
        <v>0</v>
      </c>
      <c r="CR120" s="6">
        <f t="shared" si="69"/>
        <v>0</v>
      </c>
      <c r="CS120" s="6">
        <f t="shared" si="69"/>
        <v>0</v>
      </c>
      <c r="CT120" s="6">
        <f t="shared" si="69"/>
        <v>0</v>
      </c>
      <c r="CU120" s="6">
        <f t="shared" ref="CU120:CZ120" si="70">SUM(CU10,CU20,CU24,CU27,CU34,CU37,CU40,CU47,CU49,CU53,CU59,CU71,CU79,CU81,CU88,CU92,CU95,CU99,CU110,CU115,CU119)/100000</f>
        <v>0</v>
      </c>
      <c r="CV120" s="6">
        <f t="shared" si="70"/>
        <v>0</v>
      </c>
      <c r="CW120" s="6">
        <f t="shared" si="70"/>
        <v>0</v>
      </c>
      <c r="CX120" s="6">
        <f t="shared" si="70"/>
        <v>0</v>
      </c>
      <c r="CY120" s="6">
        <f t="shared" si="70"/>
        <v>0</v>
      </c>
      <c r="CZ120" s="6">
        <f t="shared" si="70"/>
        <v>0</v>
      </c>
    </row>
  </sheetData>
  <sheetProtection formatCells="0" selectLockedCells="1" autoFilter="0"/>
  <autoFilter ref="A2:CZ110" xr:uid="{00000000-0009-0000-0000-00000B000000}"/>
  <mergeCells count="52">
    <mergeCell ref="CS1:CT1"/>
    <mergeCell ref="CU1:CV1"/>
    <mergeCell ref="CW1:CX1"/>
    <mergeCell ref="CY1:CZ1"/>
    <mergeCell ref="CG1:CH1"/>
    <mergeCell ref="CI1:CJ1"/>
    <mergeCell ref="CK1:CL1"/>
    <mergeCell ref="CM1:CN1"/>
    <mergeCell ref="CO1:CP1"/>
    <mergeCell ref="CQ1:CR1"/>
    <mergeCell ref="CE1:CF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BG1:BH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AI1:AJ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K1:L1"/>
    <mergeCell ref="A1:A2"/>
    <mergeCell ref="C1:D1"/>
    <mergeCell ref="E1:F1"/>
    <mergeCell ref="G1:H1"/>
    <mergeCell ref="I1:J1"/>
  </mergeCells>
  <pageMargins left="0.69930555555555596" right="0.69930555555555596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39997558519241921"/>
  </sheetPr>
  <dimension ref="B1:Z54"/>
  <sheetViews>
    <sheetView zoomScaleNormal="10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F41" sqref="F41"/>
    </sheetView>
  </sheetViews>
  <sheetFormatPr defaultColWidth="9" defaultRowHeight="14.5"/>
  <cols>
    <col min="1" max="1" width="3.453125" customWidth="1"/>
    <col min="2" max="2" width="36.90625" customWidth="1"/>
    <col min="3" max="11" width="7.81640625" customWidth="1"/>
    <col min="12" max="12" width="8" customWidth="1"/>
    <col min="13" max="26" width="7.81640625" customWidth="1"/>
  </cols>
  <sheetData>
    <row r="1" spans="2:26">
      <c r="B1" s="20"/>
      <c r="C1" s="49" t="s">
        <v>113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2:26">
      <c r="B2" s="20"/>
      <c r="C2" s="47" t="s">
        <v>101</v>
      </c>
      <c r="D2" s="48"/>
      <c r="E2" s="47" t="s">
        <v>102</v>
      </c>
      <c r="F2" s="48"/>
      <c r="G2" s="47" t="s">
        <v>103</v>
      </c>
      <c r="H2" s="48"/>
      <c r="I2" s="47" t="s">
        <v>104</v>
      </c>
      <c r="J2" s="48"/>
      <c r="K2" s="47" t="s">
        <v>105</v>
      </c>
      <c r="L2" s="48"/>
      <c r="M2" s="47" t="s">
        <v>106</v>
      </c>
      <c r="N2" s="48"/>
      <c r="O2" s="47" t="s">
        <v>107</v>
      </c>
      <c r="P2" s="48"/>
      <c r="Q2" s="47" t="s">
        <v>108</v>
      </c>
      <c r="R2" s="48"/>
      <c r="S2" s="47" t="s">
        <v>109</v>
      </c>
      <c r="T2" s="48"/>
      <c r="U2" s="47" t="s">
        <v>110</v>
      </c>
      <c r="V2" s="48"/>
      <c r="W2" s="47" t="s">
        <v>111</v>
      </c>
      <c r="X2" s="48"/>
      <c r="Y2" s="47" t="s">
        <v>112</v>
      </c>
      <c r="Z2" s="48"/>
    </row>
    <row r="3" spans="2:26">
      <c r="B3" s="20"/>
      <c r="C3" s="21" t="s">
        <v>116</v>
      </c>
      <c r="D3" s="21" t="s">
        <v>117</v>
      </c>
      <c r="E3" s="21" t="s">
        <v>116</v>
      </c>
      <c r="F3" s="21" t="s">
        <v>117</v>
      </c>
      <c r="G3" s="21" t="s">
        <v>116</v>
      </c>
      <c r="H3" s="21" t="s">
        <v>117</v>
      </c>
      <c r="I3" s="21" t="s">
        <v>116</v>
      </c>
      <c r="J3" s="21" t="s">
        <v>117</v>
      </c>
      <c r="K3" s="21" t="s">
        <v>116</v>
      </c>
      <c r="L3" s="21" t="s">
        <v>117</v>
      </c>
      <c r="M3" s="21" t="s">
        <v>116</v>
      </c>
      <c r="N3" s="21" t="s">
        <v>117</v>
      </c>
      <c r="O3" s="21" t="s">
        <v>116</v>
      </c>
      <c r="P3" s="21" t="s">
        <v>117</v>
      </c>
      <c r="Q3" s="21" t="s">
        <v>116</v>
      </c>
      <c r="R3" s="21" t="s">
        <v>117</v>
      </c>
      <c r="S3" s="21" t="s">
        <v>116</v>
      </c>
      <c r="T3" s="21" t="s">
        <v>117</v>
      </c>
      <c r="U3" s="21" t="s">
        <v>116</v>
      </c>
      <c r="V3" s="21" t="s">
        <v>117</v>
      </c>
      <c r="W3" s="21" t="s">
        <v>116</v>
      </c>
      <c r="X3" s="21" t="s">
        <v>117</v>
      </c>
      <c r="Y3" s="21" t="s">
        <v>116</v>
      </c>
      <c r="Z3" s="21" t="s">
        <v>117</v>
      </c>
    </row>
    <row r="4" spans="2:26">
      <c r="B4" s="38" t="str">
        <f>[1]APRIL!C1</f>
        <v>VASU PHARMA DRUGS PVT LTD</v>
      </c>
      <c r="C4" s="29">
        <f>APRIL!$C$120</f>
        <v>18.674777750000001</v>
      </c>
      <c r="D4" s="29">
        <f>APRIL!$D$120</f>
        <v>49.612732799999996</v>
      </c>
      <c r="E4" s="29">
        <f>MAY!$C$120</f>
        <v>0</v>
      </c>
      <c r="F4" s="29">
        <f>MAY!$D$120</f>
        <v>0</v>
      </c>
      <c r="G4" s="29">
        <f>JUN!$C$120</f>
        <v>0</v>
      </c>
      <c r="H4" s="29">
        <f>JUN!$D$120</f>
        <v>0</v>
      </c>
      <c r="I4" s="29">
        <f>JULY!$C$120</f>
        <v>0</v>
      </c>
      <c r="J4" s="29">
        <f>JULY!$D$120</f>
        <v>0</v>
      </c>
      <c r="K4" s="29">
        <f>AUG!$C$120</f>
        <v>0</v>
      </c>
      <c r="L4" s="29">
        <f>AUG!$D$120</f>
        <v>0</v>
      </c>
      <c r="M4" s="29">
        <f>SEPT!$C$120</f>
        <v>0</v>
      </c>
      <c r="N4" s="29">
        <f>SEPT!$D$120</f>
        <v>0</v>
      </c>
      <c r="O4" s="29">
        <f>OCT!$C$120</f>
        <v>0</v>
      </c>
      <c r="P4" s="29">
        <f>OCT!$D$120</f>
        <v>0</v>
      </c>
      <c r="Q4" s="29">
        <f>NOV!$C$120</f>
        <v>0</v>
      </c>
      <c r="R4" s="29">
        <f>NOV!$D$120</f>
        <v>0</v>
      </c>
      <c r="S4" s="29">
        <f>DEC!$C$120</f>
        <v>0</v>
      </c>
      <c r="T4" s="29">
        <f>DEC!$D$120</f>
        <v>0</v>
      </c>
      <c r="U4" s="29">
        <f>JAN!$C$120</f>
        <v>0</v>
      </c>
      <c r="V4" s="29">
        <f>JAN!$D$120</f>
        <v>0</v>
      </c>
      <c r="W4" s="29">
        <f>FEB!$C$120</f>
        <v>0</v>
      </c>
      <c r="X4" s="29">
        <f>FEB!$D$120</f>
        <v>0</v>
      </c>
      <c r="Y4" s="29">
        <f>MAR!$C$120</f>
        <v>0</v>
      </c>
      <c r="Z4" s="29">
        <f>MAR!$D$120</f>
        <v>0</v>
      </c>
    </row>
    <row r="5" spans="2:26">
      <c r="B5" s="38" t="str">
        <f>[1]APRIL!E1</f>
        <v>PRAKASH PHARMA DISTRIBUTORS</v>
      </c>
      <c r="C5" s="29">
        <f>APRIL!$E$120</f>
        <v>2.4311300000000005</v>
      </c>
      <c r="D5" s="29">
        <f>APRIL!$F$120</f>
        <v>2.9447942999999999</v>
      </c>
      <c r="E5" s="29">
        <f>MAY!$E$120</f>
        <v>0</v>
      </c>
      <c r="F5" s="29">
        <f>MAY!$F$120</f>
        <v>0</v>
      </c>
      <c r="G5" s="29">
        <f>JUN!$E$120</f>
        <v>0</v>
      </c>
      <c r="H5" s="29">
        <f>JUN!$F$120</f>
        <v>0</v>
      </c>
      <c r="I5" s="29">
        <f>JULY!$E$120</f>
        <v>0</v>
      </c>
      <c r="J5" s="29">
        <f>JULY!$F$120</f>
        <v>0</v>
      </c>
      <c r="K5" s="29">
        <f>AUG!$E$120</f>
        <v>0</v>
      </c>
      <c r="L5" s="29">
        <f>AUG!$F$120</f>
        <v>0</v>
      </c>
      <c r="M5" s="29">
        <f>SEPT!$E$120</f>
        <v>0</v>
      </c>
      <c r="N5" s="29">
        <f>SEPT!$F$120</f>
        <v>0</v>
      </c>
      <c r="O5" s="29">
        <f>OCT!$E$120</f>
        <v>0</v>
      </c>
      <c r="P5" s="29">
        <f>OCT!$F$120</f>
        <v>0</v>
      </c>
      <c r="Q5" s="29">
        <f>NOV!$E$120</f>
        <v>0</v>
      </c>
      <c r="R5" s="29">
        <f>NOV!$F$120</f>
        <v>0</v>
      </c>
      <c r="S5" s="29">
        <f>DEC!$E$120</f>
        <v>0</v>
      </c>
      <c r="T5" s="29">
        <f>DEC!$F$120</f>
        <v>0</v>
      </c>
      <c r="U5" s="29">
        <f>JAN!$E$120</f>
        <v>0</v>
      </c>
      <c r="V5" s="29">
        <f>JAN!$F$120</f>
        <v>0</v>
      </c>
      <c r="W5" s="29">
        <f>FEB!$E$120</f>
        <v>0</v>
      </c>
      <c r="X5" s="29">
        <f>FEB!$F$120</f>
        <v>0</v>
      </c>
      <c r="Y5" s="29">
        <f>MAR!$E$120</f>
        <v>0</v>
      </c>
      <c r="Z5" s="29">
        <f>MAR!$F$120</f>
        <v>0</v>
      </c>
    </row>
    <row r="6" spans="2:26">
      <c r="B6" s="38" t="str">
        <f>[1]APRIL!G1</f>
        <v>Divya Pharma</v>
      </c>
      <c r="C6" s="29">
        <f>APRIL!$G$120</f>
        <v>2.4103469</v>
      </c>
      <c r="D6" s="29">
        <f>APRIL!$H$120</f>
        <v>2.0854386000000003</v>
      </c>
      <c r="E6" s="29">
        <f>MAY!$G$120</f>
        <v>0.79052860000000003</v>
      </c>
      <c r="F6" s="29">
        <f>MAY!$H$120</f>
        <v>0.48580970000000007</v>
      </c>
      <c r="G6" s="29">
        <f>JUN!$G$120</f>
        <v>0</v>
      </c>
      <c r="H6" s="29">
        <f>JUN!$H$120</f>
        <v>0</v>
      </c>
      <c r="I6" s="29">
        <f>JULY!$G$120</f>
        <v>0</v>
      </c>
      <c r="J6" s="29">
        <f>JULY!$H$120</f>
        <v>0</v>
      </c>
      <c r="K6" s="29">
        <f>AUG!$G$120</f>
        <v>0</v>
      </c>
      <c r="L6" s="29">
        <f>AUG!$H$120</f>
        <v>0</v>
      </c>
      <c r="M6" s="29">
        <f>SEPT!$G$120</f>
        <v>0</v>
      </c>
      <c r="N6" s="29">
        <f>SEPT!$H$120</f>
        <v>0</v>
      </c>
      <c r="O6" s="29">
        <f>OCT!$G$120</f>
        <v>0</v>
      </c>
      <c r="P6" s="29">
        <f>OCT!$H$120</f>
        <v>0</v>
      </c>
      <c r="Q6" s="29">
        <f>NOV!$G$120</f>
        <v>0</v>
      </c>
      <c r="R6" s="29">
        <f>NOV!$H$120</f>
        <v>0</v>
      </c>
      <c r="S6" s="29">
        <f>DEC!$G$120</f>
        <v>0</v>
      </c>
      <c r="T6" s="29">
        <f>DEC!$H$120</f>
        <v>0</v>
      </c>
      <c r="U6" s="29">
        <f>JAN!$G$120</f>
        <v>0</v>
      </c>
      <c r="V6" s="29">
        <f>JAN!$H$120</f>
        <v>0</v>
      </c>
      <c r="W6" s="29">
        <f>FEB!$G$120</f>
        <v>0</v>
      </c>
      <c r="X6" s="29">
        <f>FEB!$H$120</f>
        <v>0</v>
      </c>
      <c r="Y6" s="29">
        <f>MAR!$G$120</f>
        <v>0</v>
      </c>
      <c r="Z6" s="29">
        <f>MAR!$H$120</f>
        <v>0</v>
      </c>
    </row>
    <row r="7" spans="2:26">
      <c r="B7" s="38" t="str">
        <f>[1]APRIL!I1</f>
        <v>KEIMED PRIVATE LIMITED</v>
      </c>
      <c r="C7" s="29">
        <f>APRIL!$I$120</f>
        <v>6.2887374000000014</v>
      </c>
      <c r="D7" s="29">
        <f>APRIL!$J$120</f>
        <v>4.7948711000000008</v>
      </c>
      <c r="E7" s="29">
        <f>MAY!$I$120</f>
        <v>0</v>
      </c>
      <c r="F7" s="29">
        <f>MAY!$J$120</f>
        <v>0</v>
      </c>
      <c r="G7" s="29">
        <f>JUN!$I$120</f>
        <v>0</v>
      </c>
      <c r="H7" s="29">
        <f>JUN!$J$120</f>
        <v>0</v>
      </c>
      <c r="I7" s="29">
        <f>JULY!$I$120</f>
        <v>0</v>
      </c>
      <c r="J7" s="29">
        <f>JULY!$J$120</f>
        <v>0</v>
      </c>
      <c r="K7" s="29">
        <f>AUG!$I$120</f>
        <v>0</v>
      </c>
      <c r="L7" s="29">
        <f>AUG!$J$120</f>
        <v>0</v>
      </c>
      <c r="M7" s="29">
        <f>SEPT!$I$120</f>
        <v>0</v>
      </c>
      <c r="N7" s="29">
        <f>SEPT!$J$120</f>
        <v>0</v>
      </c>
      <c r="O7" s="29">
        <f>OCT!$I$120</f>
        <v>0</v>
      </c>
      <c r="P7" s="29">
        <f>OCT!$J$120</f>
        <v>0</v>
      </c>
      <c r="Q7" s="29">
        <f>NOV!$I$120</f>
        <v>0</v>
      </c>
      <c r="R7" s="29">
        <f>NOV!$J$120</f>
        <v>0</v>
      </c>
      <c r="S7" s="29">
        <f>DEC!$I$120</f>
        <v>0</v>
      </c>
      <c r="T7" s="29">
        <f>DEC!$J$120</f>
        <v>0</v>
      </c>
      <c r="U7" s="29">
        <f>JAN!$I$120</f>
        <v>0</v>
      </c>
      <c r="V7" s="29">
        <f>JAN!$J$120</f>
        <v>0</v>
      </c>
      <c r="W7" s="29">
        <f>FEB!$I$120</f>
        <v>0</v>
      </c>
      <c r="X7" s="29">
        <f>FEB!$J$120</f>
        <v>0</v>
      </c>
      <c r="Y7" s="29">
        <f>MAR!$I$120</f>
        <v>0</v>
      </c>
      <c r="Z7" s="29">
        <f>MAR!$J$120</f>
        <v>0</v>
      </c>
    </row>
    <row r="8" spans="2:26">
      <c r="B8" s="38" t="str">
        <f>[1]APRIL!K1</f>
        <v>SAI SRIDHAR PHARMA PVT LTD</v>
      </c>
      <c r="C8" s="29">
        <f>APRIL!$K$120</f>
        <v>0</v>
      </c>
      <c r="D8" s="29">
        <f>APRIL!$L$120</f>
        <v>0</v>
      </c>
      <c r="E8" s="29">
        <f>MAY!$K$120</f>
        <v>0</v>
      </c>
      <c r="F8" s="29">
        <f>MAY!$L$120</f>
        <v>0</v>
      </c>
      <c r="G8" s="29">
        <f>JUN!$K$120</f>
        <v>0</v>
      </c>
      <c r="H8" s="29">
        <f>JUN!$L$120</f>
        <v>0</v>
      </c>
      <c r="I8" s="29">
        <f>JULY!$K$120</f>
        <v>0</v>
      </c>
      <c r="J8" s="29">
        <f>JULY!$L$120</f>
        <v>0</v>
      </c>
      <c r="K8" s="29">
        <f>AUG!$K$120</f>
        <v>0</v>
      </c>
      <c r="L8" s="29">
        <f>AUG!$L$120</f>
        <v>0</v>
      </c>
      <c r="M8" s="29">
        <f>SEPT!$K$120</f>
        <v>0</v>
      </c>
      <c r="N8" s="29">
        <f>SEPT!$L$120</f>
        <v>0</v>
      </c>
      <c r="O8" s="29">
        <f>OCT!$K$120</f>
        <v>0</v>
      </c>
      <c r="P8" s="29">
        <f>OCT!$L$120</f>
        <v>0</v>
      </c>
      <c r="Q8" s="29">
        <f>NOV!$K$120</f>
        <v>0</v>
      </c>
      <c r="R8" s="29">
        <f>NOV!$L$120</f>
        <v>0</v>
      </c>
      <c r="S8" s="29">
        <f>DEC!$K$120</f>
        <v>0</v>
      </c>
      <c r="T8" s="29">
        <f>DEC!$L$120</f>
        <v>0</v>
      </c>
      <c r="U8" s="29">
        <f>JAN!$K$120</f>
        <v>0</v>
      </c>
      <c r="V8" s="29">
        <f>JAN!$L$120</f>
        <v>0</v>
      </c>
      <c r="W8" s="29">
        <f>FEB!$K$120</f>
        <v>0</v>
      </c>
      <c r="X8" s="29">
        <f>FEB!$L$120</f>
        <v>0</v>
      </c>
      <c r="Y8" s="29">
        <f>MAR!$K$120</f>
        <v>0</v>
      </c>
      <c r="Z8" s="29">
        <f>MAR!$L$120</f>
        <v>0</v>
      </c>
    </row>
    <row r="9" spans="2:26">
      <c r="B9" s="38" t="str">
        <f>[1]APRIL!M1</f>
        <v>SRI VENKATARAGHAVA AGENCIES</v>
      </c>
      <c r="C9" s="29">
        <f>APRIL!$M$120</f>
        <v>3.3396162999999994</v>
      </c>
      <c r="D9" s="29">
        <f>APRIL!$N$120</f>
        <v>5.7176420000000006</v>
      </c>
      <c r="E9" s="29">
        <f>MAY!$M$120</f>
        <v>0</v>
      </c>
      <c r="F9" s="29">
        <f>MAY!$N$120</f>
        <v>0</v>
      </c>
      <c r="G9" s="29">
        <f>JUN!$M$120</f>
        <v>0</v>
      </c>
      <c r="H9" s="29">
        <f>JUN!$N$120</f>
        <v>0</v>
      </c>
      <c r="I9" s="29">
        <f>JULY!$M$120</f>
        <v>0</v>
      </c>
      <c r="J9" s="29">
        <f>JULY!$N$120</f>
        <v>0</v>
      </c>
      <c r="K9" s="29">
        <f>AUG!$M$120</f>
        <v>0</v>
      </c>
      <c r="L9" s="29">
        <f>AUG!$N$120</f>
        <v>0</v>
      </c>
      <c r="M9" s="29">
        <f>SEPT!$M$120</f>
        <v>0</v>
      </c>
      <c r="N9" s="29">
        <f>SEPT!$N$120</f>
        <v>0</v>
      </c>
      <c r="O9" s="29">
        <f>OCT!$M$120</f>
        <v>0</v>
      </c>
      <c r="P9" s="29">
        <f>OCT!$N$120</f>
        <v>0</v>
      </c>
      <c r="Q9" s="29">
        <f>NOV!$M$120</f>
        <v>0</v>
      </c>
      <c r="R9" s="29">
        <f>NOV!$N$120</f>
        <v>0</v>
      </c>
      <c r="S9" s="29">
        <f>DEC!$M$120</f>
        <v>0</v>
      </c>
      <c r="T9" s="29">
        <f>DEC!$N$120</f>
        <v>0</v>
      </c>
      <c r="U9" s="29">
        <f>JAN!$M$120</f>
        <v>0</v>
      </c>
      <c r="V9" s="29">
        <f>JAN!$N$120</f>
        <v>0</v>
      </c>
      <c r="W9" s="29">
        <f>FEB!$M$120</f>
        <v>0</v>
      </c>
      <c r="X9" s="29">
        <f>FEB!$N$120</f>
        <v>0</v>
      </c>
      <c r="Y9" s="29">
        <f>MAR!$M$120</f>
        <v>0</v>
      </c>
      <c r="Z9" s="29">
        <f>MAR!$N$120</f>
        <v>0</v>
      </c>
    </row>
    <row r="10" spans="2:26">
      <c r="B10" s="38" t="s">
        <v>190</v>
      </c>
      <c r="C10" s="29">
        <f>APRIL!$O$120</f>
        <v>0.24714039999999998</v>
      </c>
      <c r="D10" s="29">
        <f>APRIL!$P$120</f>
        <v>0.59293039999999986</v>
      </c>
      <c r="E10" s="29">
        <f>MAY!$O$120</f>
        <v>0</v>
      </c>
      <c r="F10" s="29">
        <f>MAY!$P$120</f>
        <v>0</v>
      </c>
      <c r="G10" s="29">
        <f>JUN!$O$120</f>
        <v>0</v>
      </c>
      <c r="H10" s="29">
        <f>JUN!$P$120</f>
        <v>0</v>
      </c>
      <c r="I10" s="29">
        <f>JULY!$O$120</f>
        <v>0</v>
      </c>
      <c r="J10" s="29">
        <f>JULY!$P$120</f>
        <v>0</v>
      </c>
      <c r="K10" s="29">
        <f>AUG!$O$120</f>
        <v>0</v>
      </c>
      <c r="L10" s="29">
        <f>AUG!$P$120</f>
        <v>0</v>
      </c>
      <c r="M10" s="29">
        <f>SEPT!$O$120</f>
        <v>0</v>
      </c>
      <c r="N10" s="29">
        <f>SEPT!$P$120</f>
        <v>0</v>
      </c>
      <c r="O10" s="29">
        <f>OCT!$O$120</f>
        <v>0</v>
      </c>
      <c r="P10" s="29">
        <f>OCT!$P$120</f>
        <v>0</v>
      </c>
      <c r="Q10" s="29">
        <f>NOV!$O$120</f>
        <v>0</v>
      </c>
      <c r="R10" s="29">
        <f>NOV!$P$120</f>
        <v>0</v>
      </c>
      <c r="S10" s="29">
        <f>DEC!$O$120</f>
        <v>0</v>
      </c>
      <c r="T10" s="29">
        <f>DEC!$P$120</f>
        <v>0</v>
      </c>
      <c r="U10" s="29">
        <f>JAN!$O$120</f>
        <v>0</v>
      </c>
      <c r="V10" s="29">
        <f>JAN!$P$120</f>
        <v>0</v>
      </c>
      <c r="W10" s="29">
        <f>FEB!$O$120</f>
        <v>0</v>
      </c>
      <c r="X10" s="29">
        <f>FEB!$P$120</f>
        <v>0</v>
      </c>
      <c r="Y10" s="29">
        <f>MAR!$O$120</f>
        <v>0</v>
      </c>
      <c r="Z10" s="29">
        <f>MAR!$P$120</f>
        <v>0</v>
      </c>
    </row>
    <row r="11" spans="2:26">
      <c r="B11" s="38" t="str">
        <f>[1]APRIL!Q1</f>
        <v>SVS PHARMA</v>
      </c>
      <c r="C11" s="29">
        <f>APRIL!$Q$120</f>
        <v>3.5562788000000007</v>
      </c>
      <c r="D11" s="29">
        <f>APRIL!$R$120</f>
        <v>0.36492790000000003</v>
      </c>
      <c r="E11" s="29">
        <f>MAY!$Q$120</f>
        <v>0</v>
      </c>
      <c r="F11" s="29">
        <f>MAY!$R$120</f>
        <v>0</v>
      </c>
      <c r="G11" s="29">
        <f>JUN!$Q$120</f>
        <v>0</v>
      </c>
      <c r="H11" s="29">
        <f>JUN!$R$120</f>
        <v>0</v>
      </c>
      <c r="I11" s="29">
        <f>JULY!$Q$120</f>
        <v>0</v>
      </c>
      <c r="J11" s="29">
        <f>JULY!$R$120</f>
        <v>0</v>
      </c>
      <c r="K11" s="29">
        <f>AUG!$Q$120</f>
        <v>0</v>
      </c>
      <c r="L11" s="29">
        <f>AUG!$R$120</f>
        <v>0</v>
      </c>
      <c r="M11" s="29">
        <f>SEPT!$Q$120</f>
        <v>0</v>
      </c>
      <c r="N11" s="29">
        <f>SEPT!$R$120</f>
        <v>0</v>
      </c>
      <c r="O11" s="29">
        <f>OCT!$Q$120</f>
        <v>0</v>
      </c>
      <c r="P11" s="29">
        <f>OCT!$R$120</f>
        <v>0</v>
      </c>
      <c r="Q11" s="29">
        <f>NOV!$Q$120</f>
        <v>0</v>
      </c>
      <c r="R11" s="29">
        <f>NOV!$R$120</f>
        <v>0</v>
      </c>
      <c r="S11" s="29">
        <f>DEC!$Q$120</f>
        <v>0</v>
      </c>
      <c r="T11" s="29">
        <f>DEC!$R$120</f>
        <v>0</v>
      </c>
      <c r="U11" s="29">
        <f>JAN!$Q$120</f>
        <v>0</v>
      </c>
      <c r="V11" s="29">
        <f>JAN!$R$120</f>
        <v>0</v>
      </c>
      <c r="W11" s="29">
        <f>FEB!$Q$120</f>
        <v>0</v>
      </c>
      <c r="X11" s="29">
        <f>FEB!$R$120</f>
        <v>0</v>
      </c>
      <c r="Y11" s="29">
        <f>MAR!$Q$120</f>
        <v>0</v>
      </c>
      <c r="Z11" s="29">
        <f>MAR!$R$120</f>
        <v>0</v>
      </c>
    </row>
    <row r="12" spans="2:26">
      <c r="B12" s="38" t="str">
        <f>[1]APRIL!S1</f>
        <v>PHARMA DISTRIBUTORS</v>
      </c>
      <c r="C12" s="29">
        <f>APRIL!$S$120</f>
        <v>0.6136163</v>
      </c>
      <c r="D12" s="29">
        <f>APRIL!$T$120</f>
        <v>0.33495930000000002</v>
      </c>
      <c r="E12" s="29">
        <f>MAY!$S$120</f>
        <v>0</v>
      </c>
      <c r="F12" s="29">
        <f>MAY!$T$120</f>
        <v>0</v>
      </c>
      <c r="G12" s="29">
        <f>JUN!$S$120</f>
        <v>0</v>
      </c>
      <c r="H12" s="29">
        <f>JUN!$T$120</f>
        <v>0</v>
      </c>
      <c r="I12" s="29">
        <f>JULY!$S$120</f>
        <v>0</v>
      </c>
      <c r="J12" s="29">
        <f>JULY!$T$120</f>
        <v>0</v>
      </c>
      <c r="K12" s="29">
        <f>AUG!$S$120</f>
        <v>0</v>
      </c>
      <c r="L12" s="29">
        <f>AUG!$T$120</f>
        <v>0</v>
      </c>
      <c r="M12" s="29">
        <f>SEPT!$S$120</f>
        <v>0</v>
      </c>
      <c r="N12" s="29">
        <f>SEPT!$T$120</f>
        <v>0</v>
      </c>
      <c r="O12" s="29">
        <f>OCT!$S$120</f>
        <v>0</v>
      </c>
      <c r="P12" s="29">
        <f>OCT!$T$120</f>
        <v>0</v>
      </c>
      <c r="Q12" s="29">
        <f>NOV!$S$120</f>
        <v>0</v>
      </c>
      <c r="R12" s="29">
        <f>NOV!$T$120</f>
        <v>0</v>
      </c>
      <c r="S12" s="29">
        <f>DEC!$S$120</f>
        <v>0</v>
      </c>
      <c r="T12" s="29">
        <f>DEC!$T$120</f>
        <v>0</v>
      </c>
      <c r="U12" s="29">
        <f>JAN!$S$120</f>
        <v>0</v>
      </c>
      <c r="V12" s="29">
        <f>JAN!$T$120</f>
        <v>0</v>
      </c>
      <c r="W12" s="29">
        <f>FEB!$S$120</f>
        <v>0</v>
      </c>
      <c r="X12" s="29">
        <f>FEB!$T$120</f>
        <v>0</v>
      </c>
      <c r="Y12" s="29">
        <f>MAR!$S$120</f>
        <v>0</v>
      </c>
      <c r="Z12" s="29">
        <f>MAR!$T$120</f>
        <v>0</v>
      </c>
    </row>
    <row r="13" spans="2:26">
      <c r="B13" s="38" t="str">
        <f>[1]APRIL!U1</f>
        <v>SAI PHARMA DISTRIBUTERS PVT LTD</v>
      </c>
      <c r="C13" s="29">
        <f>APRIL!$U$120</f>
        <v>2.7850000999999995</v>
      </c>
      <c r="D13" s="29">
        <f>APRIL!$V$120</f>
        <v>1.6953535999999998</v>
      </c>
      <c r="E13" s="29">
        <f>MAY!$U$120</f>
        <v>0</v>
      </c>
      <c r="F13" s="29">
        <f>MAY!$V$120</f>
        <v>0</v>
      </c>
      <c r="G13" s="29">
        <f>JUN!$U$120</f>
        <v>0</v>
      </c>
      <c r="H13" s="29">
        <f>JUN!$V$120</f>
        <v>0</v>
      </c>
      <c r="I13" s="29">
        <f>JULY!$U$120</f>
        <v>0</v>
      </c>
      <c r="J13" s="29">
        <f>JULY!$V$120</f>
        <v>0</v>
      </c>
      <c r="K13" s="29">
        <f>AUG!$U$120</f>
        <v>0</v>
      </c>
      <c r="L13" s="29">
        <f>AUG!$V$120</f>
        <v>0</v>
      </c>
      <c r="M13" s="29">
        <f>SEPT!$U$120</f>
        <v>0</v>
      </c>
      <c r="N13" s="29">
        <f>SEPT!$V$120</f>
        <v>0</v>
      </c>
      <c r="O13" s="29">
        <f>OCT!$U$120</f>
        <v>0</v>
      </c>
      <c r="P13" s="29">
        <f>OCT!$V$120</f>
        <v>0</v>
      </c>
      <c r="Q13" s="29">
        <f>NOV!$U$120</f>
        <v>0</v>
      </c>
      <c r="R13" s="29">
        <f>NOV!$V$120</f>
        <v>0</v>
      </c>
      <c r="S13" s="29">
        <f>DEC!$U$120</f>
        <v>0</v>
      </c>
      <c r="T13" s="29">
        <f>DEC!$V$120</f>
        <v>0</v>
      </c>
      <c r="U13" s="29">
        <f>JAN!$U$120</f>
        <v>0</v>
      </c>
      <c r="V13" s="29">
        <f>JAN!$V$120</f>
        <v>0</v>
      </c>
      <c r="W13" s="29">
        <f>FEB!$U$120</f>
        <v>0</v>
      </c>
      <c r="X13" s="29">
        <f>FEB!$V$120</f>
        <v>0</v>
      </c>
      <c r="Y13" s="29">
        <f>MAR!$U$120</f>
        <v>0</v>
      </c>
      <c r="Z13" s="29">
        <f>MAR!$V$120</f>
        <v>0</v>
      </c>
    </row>
    <row r="14" spans="2:26">
      <c r="B14" s="38" t="str">
        <f>[1]APRIL!W1</f>
        <v>ALANKRITA AGENCIES</v>
      </c>
      <c r="C14" s="29">
        <f>APRIL!$W$120</f>
        <v>0.59112469999999995</v>
      </c>
      <c r="D14" s="29">
        <f>APRIL!$X$120</f>
        <v>0.83071380000000006</v>
      </c>
      <c r="E14" s="29">
        <f>MAY!$W$120</f>
        <v>0</v>
      </c>
      <c r="F14" s="29">
        <f>MAY!$X$120</f>
        <v>0</v>
      </c>
      <c r="G14" s="29">
        <f>JUN!$W$120</f>
        <v>0</v>
      </c>
      <c r="H14" s="29">
        <f>JUN!$X$120</f>
        <v>0</v>
      </c>
      <c r="I14" s="29">
        <f>JULY!$W$120</f>
        <v>0</v>
      </c>
      <c r="J14" s="29">
        <f>JULY!$X$120</f>
        <v>0</v>
      </c>
      <c r="K14" s="29">
        <f>AUG!$W$120</f>
        <v>0</v>
      </c>
      <c r="L14" s="29">
        <f>AUG!$X$120</f>
        <v>0</v>
      </c>
      <c r="M14" s="29">
        <f>SEPT!$W$120</f>
        <v>0</v>
      </c>
      <c r="N14" s="29">
        <f>SEPT!$X$120</f>
        <v>0</v>
      </c>
      <c r="O14" s="29">
        <f>OCT!$W$120</f>
        <v>0</v>
      </c>
      <c r="P14" s="29">
        <f>OCT!$X$120</f>
        <v>0</v>
      </c>
      <c r="Q14" s="29">
        <f>NOV!$W$120</f>
        <v>0</v>
      </c>
      <c r="R14" s="29">
        <f>NOV!$X$120</f>
        <v>0</v>
      </c>
      <c r="S14" s="29">
        <f>DEC!$W$120</f>
        <v>0</v>
      </c>
      <c r="T14" s="29">
        <f>DEC!$X$120</f>
        <v>0</v>
      </c>
      <c r="U14" s="29">
        <f>JAN!$W$120</f>
        <v>0</v>
      </c>
      <c r="V14" s="29">
        <f>JAN!$X$120</f>
        <v>0</v>
      </c>
      <c r="W14" s="29">
        <f>FEB!$W$120</f>
        <v>0</v>
      </c>
      <c r="X14" s="29">
        <f>FEB!$X$120</f>
        <v>0</v>
      </c>
      <c r="Y14" s="29">
        <f>MAR!$W$120</f>
        <v>0</v>
      </c>
      <c r="Z14" s="29">
        <f>MAR!$X$120</f>
        <v>0</v>
      </c>
    </row>
    <row r="15" spans="2:26">
      <c r="B15" s="38" t="str">
        <f>[1]APRIL!Y1</f>
        <v>JAYA SURG &amp; PHARMA PVT LTD</v>
      </c>
      <c r="C15" s="29">
        <f>APRIL!$Y$120</f>
        <v>1.0301440999999998</v>
      </c>
      <c r="D15" s="29">
        <f>APRIL!$Z$120</f>
        <v>1.1224813999999999</v>
      </c>
      <c r="E15" s="29">
        <f>MAY!$Y$120</f>
        <v>0</v>
      </c>
      <c r="F15" s="29">
        <f>MAY!$Z$120</f>
        <v>0</v>
      </c>
      <c r="G15" s="29">
        <f>JUN!$Y$120</f>
        <v>0</v>
      </c>
      <c r="H15" s="29">
        <f>JUN!$Z$120</f>
        <v>0</v>
      </c>
      <c r="I15" s="29">
        <f>JULY!$Y$120</f>
        <v>0</v>
      </c>
      <c r="J15" s="29">
        <f>JULY!$Z$120</f>
        <v>0</v>
      </c>
      <c r="K15" s="29">
        <f>AUG!$Y$120</f>
        <v>0</v>
      </c>
      <c r="L15" s="29">
        <f>AUG!$Z$120</f>
        <v>0</v>
      </c>
      <c r="M15" s="29">
        <f>SEPT!$Y$120</f>
        <v>0</v>
      </c>
      <c r="N15" s="29">
        <f>SEPT!$Z$120</f>
        <v>0</v>
      </c>
      <c r="O15" s="29">
        <f>OCT!$Y$120</f>
        <v>0</v>
      </c>
      <c r="P15" s="29">
        <f>OCT!$Z$120</f>
        <v>0</v>
      </c>
      <c r="Q15" s="29">
        <f>NOV!$Y$120</f>
        <v>0</v>
      </c>
      <c r="R15" s="29">
        <f>NOV!$Z$120</f>
        <v>0</v>
      </c>
      <c r="S15" s="29">
        <f>DEC!$Y$120</f>
        <v>0</v>
      </c>
      <c r="T15" s="29">
        <f>DEC!$Z$120</f>
        <v>0</v>
      </c>
      <c r="U15" s="29">
        <f>JAN!$Y$120</f>
        <v>0</v>
      </c>
      <c r="V15" s="29">
        <f>JAN!$Z$120</f>
        <v>0</v>
      </c>
      <c r="W15" s="29">
        <f>FEB!$Y$120</f>
        <v>0</v>
      </c>
      <c r="X15" s="29">
        <f>FEB!$Z$120</f>
        <v>0</v>
      </c>
      <c r="Y15" s="29">
        <f>MAR!$Y$120</f>
        <v>0</v>
      </c>
      <c r="Z15" s="29">
        <f>MAR!$Z$120</f>
        <v>0</v>
      </c>
    </row>
    <row r="16" spans="2:26">
      <c r="B16" s="38" t="str">
        <f>[1]APRIL!AA1</f>
        <v>MANASA MEDICAL AGENCIES</v>
      </c>
      <c r="C16" s="29">
        <f>APRIL!$AA$120</f>
        <v>1.2785991999999999</v>
      </c>
      <c r="D16" s="29">
        <f>APRIL!$AB$120</f>
        <v>1.3017769000000001</v>
      </c>
      <c r="E16" s="29">
        <f>MAY!$AA$120</f>
        <v>0</v>
      </c>
      <c r="F16" s="29">
        <f>MAY!$AB$120</f>
        <v>0</v>
      </c>
      <c r="G16" s="29">
        <f>JUN!$AA$120</f>
        <v>0</v>
      </c>
      <c r="H16" s="29">
        <f>JUN!$AB$120</f>
        <v>0</v>
      </c>
      <c r="I16" s="29">
        <f>JULY!$AA$120</f>
        <v>0</v>
      </c>
      <c r="J16" s="29">
        <f>JULY!$AB$120</f>
        <v>0</v>
      </c>
      <c r="K16" s="29">
        <f>AUG!$AA$120</f>
        <v>0</v>
      </c>
      <c r="L16" s="29">
        <f>AUG!$AB$120</f>
        <v>0</v>
      </c>
      <c r="M16" s="29">
        <f>SEPT!$AA$120</f>
        <v>0</v>
      </c>
      <c r="N16" s="29">
        <f>SEPT!$AB$120</f>
        <v>0</v>
      </c>
      <c r="O16" s="29">
        <f>OCT!$AA$120</f>
        <v>0</v>
      </c>
      <c r="P16" s="29">
        <f>OCT!$AB$120</f>
        <v>0</v>
      </c>
      <c r="Q16" s="29">
        <f>NOV!$AA$120</f>
        <v>0</v>
      </c>
      <c r="R16" s="29">
        <f>NOV!$AB$120</f>
        <v>0</v>
      </c>
      <c r="S16" s="29">
        <f>DEC!$AA$120</f>
        <v>0</v>
      </c>
      <c r="T16" s="29">
        <f>DEC!$AB$120</f>
        <v>0</v>
      </c>
      <c r="U16" s="29">
        <f>JAN!$AA$120</f>
        <v>0</v>
      </c>
      <c r="V16" s="29">
        <f>JAN!$AB$120</f>
        <v>0</v>
      </c>
      <c r="W16" s="29">
        <f>FEB!$AA$120</f>
        <v>0</v>
      </c>
      <c r="X16" s="29">
        <f>FEB!$AB$120</f>
        <v>0</v>
      </c>
      <c r="Y16" s="29">
        <f>MAR!$AA$120</f>
        <v>0</v>
      </c>
      <c r="Z16" s="29">
        <f>MAR!$AB$120</f>
        <v>0</v>
      </c>
    </row>
    <row r="17" spans="2:26">
      <c r="B17" s="38" t="str">
        <f>[1]APRIL!AC1</f>
        <v>KARTHICK AGENCIES</v>
      </c>
      <c r="C17" s="29">
        <f>APRIL!$AC$120</f>
        <v>0.32327719999999999</v>
      </c>
      <c r="D17" s="29">
        <f>APRIL!$AD$120</f>
        <v>0.36030499999999999</v>
      </c>
      <c r="E17" s="29">
        <f>MAY!$AC$120</f>
        <v>0</v>
      </c>
      <c r="F17" s="29">
        <f>MAY!$AD$120</f>
        <v>0</v>
      </c>
      <c r="G17" s="29">
        <f>JUN!$AC$120</f>
        <v>0</v>
      </c>
      <c r="H17" s="29">
        <f>JUN!$AD$120</f>
        <v>0</v>
      </c>
      <c r="I17" s="29">
        <f>JULY!$AC$120</f>
        <v>0</v>
      </c>
      <c r="J17" s="29">
        <f>JULY!$AD$120</f>
        <v>0</v>
      </c>
      <c r="K17" s="29">
        <f>AUG!$AC$120</f>
        <v>0</v>
      </c>
      <c r="L17" s="29">
        <f>AUG!$AD$120</f>
        <v>0</v>
      </c>
      <c r="M17" s="29">
        <f>SEPT!$AC$120</f>
        <v>0</v>
      </c>
      <c r="N17" s="29">
        <f>SEPT!$AD$120</f>
        <v>0</v>
      </c>
      <c r="O17" s="29">
        <f>OCT!$AC$120</f>
        <v>0</v>
      </c>
      <c r="P17" s="29">
        <f>OCT!$AD$120</f>
        <v>0</v>
      </c>
      <c r="Q17" s="29">
        <f>NOV!$AC$120</f>
        <v>0</v>
      </c>
      <c r="R17" s="29">
        <f>NOV!$AD$120</f>
        <v>0</v>
      </c>
      <c r="S17" s="29">
        <f>DEC!$AC$120</f>
        <v>0</v>
      </c>
      <c r="T17" s="29">
        <f>DEC!$AD$120</f>
        <v>0</v>
      </c>
      <c r="U17" s="29">
        <f>JAN!$AC$120</f>
        <v>0</v>
      </c>
      <c r="V17" s="29">
        <f>JAN!$AD$120</f>
        <v>0</v>
      </c>
      <c r="W17" s="29">
        <f>FEB!$AC$120</f>
        <v>0</v>
      </c>
      <c r="X17" s="29">
        <f>FEB!$AD$120</f>
        <v>0</v>
      </c>
      <c r="Y17" s="29">
        <f>MAR!$AC$120</f>
        <v>0</v>
      </c>
      <c r="Z17" s="29">
        <f>MAR!$AD$120</f>
        <v>0</v>
      </c>
    </row>
    <row r="18" spans="2:26">
      <c r="B18" s="38" t="str">
        <f>[1]APRIL!AE1</f>
        <v>NIRMALA AGENCIES</v>
      </c>
      <c r="C18" s="29">
        <f>APRIL!$AE$120</f>
        <v>2.5900299000000007</v>
      </c>
      <c r="D18" s="29">
        <f>APRIL!$AF$120</f>
        <v>1.6016425000000001</v>
      </c>
      <c r="E18" s="29">
        <f>MAY!$AE$120</f>
        <v>0</v>
      </c>
      <c r="F18" s="29">
        <f>MAY!$AF$120</f>
        <v>0</v>
      </c>
      <c r="G18" s="29">
        <f>JUN!$AE$120</f>
        <v>0</v>
      </c>
      <c r="H18" s="29">
        <f>JUN!$AF$120</f>
        <v>0</v>
      </c>
      <c r="I18" s="29">
        <f>JULY!$AE$120</f>
        <v>0</v>
      </c>
      <c r="J18" s="29">
        <f>JULY!$AF$120</f>
        <v>0</v>
      </c>
      <c r="K18" s="29">
        <f>AUG!$AE$120</f>
        <v>0</v>
      </c>
      <c r="L18" s="29">
        <f>AUG!$AF$120</f>
        <v>0</v>
      </c>
      <c r="M18" s="29">
        <f>SEPT!$AE$120</f>
        <v>0</v>
      </c>
      <c r="N18" s="29">
        <f>SEPT!$AF$120</f>
        <v>0</v>
      </c>
      <c r="O18" s="29">
        <f>OCT!$AE$120</f>
        <v>0</v>
      </c>
      <c r="P18" s="29">
        <f>OCT!$AF$120</f>
        <v>0</v>
      </c>
      <c r="Q18" s="29">
        <f>NOV!$AE$120</f>
        <v>0</v>
      </c>
      <c r="R18" s="29">
        <f>NOV!$AF$120</f>
        <v>0</v>
      </c>
      <c r="S18" s="29">
        <f>DEC!$AE$120</f>
        <v>0</v>
      </c>
      <c r="T18" s="29">
        <f>DEC!$AF$120</f>
        <v>0</v>
      </c>
      <c r="U18" s="29">
        <f>JAN!$AE$120</f>
        <v>0</v>
      </c>
      <c r="V18" s="29">
        <f>JAN!$AF$120</f>
        <v>0</v>
      </c>
      <c r="W18" s="29">
        <f>FEB!$AE$120</f>
        <v>0</v>
      </c>
      <c r="X18" s="29">
        <f>FEB!$AF$120</f>
        <v>0</v>
      </c>
      <c r="Y18" s="29">
        <f>MAR!$AE$120</f>
        <v>0</v>
      </c>
      <c r="Z18" s="29">
        <f>MAR!$AF$120</f>
        <v>0</v>
      </c>
    </row>
    <row r="19" spans="2:26">
      <c r="B19" s="38" t="str">
        <f>[1]APRIL!AG1</f>
        <v>HIMALAYA MEDICAL AGENCIES</v>
      </c>
      <c r="C19" s="29">
        <f>APRIL!$AG$120</f>
        <v>0.12136719999999998</v>
      </c>
      <c r="D19" s="29">
        <f>APRIL!$AH$120</f>
        <v>4.7811799999999995E-2</v>
      </c>
      <c r="E19" s="29">
        <f>MAY!$AG$120</f>
        <v>0</v>
      </c>
      <c r="F19" s="29">
        <f>MAY!$AH$120</f>
        <v>0</v>
      </c>
      <c r="G19" s="29">
        <f>JUN!$AG$120</f>
        <v>0</v>
      </c>
      <c r="H19" s="29">
        <f>JUN!$AH$120</f>
        <v>0</v>
      </c>
      <c r="I19" s="29">
        <f>JULY!$AG$120</f>
        <v>0</v>
      </c>
      <c r="J19" s="29">
        <f>JULY!$AH$120</f>
        <v>0</v>
      </c>
      <c r="K19" s="29">
        <f>AUG!$AG$120</f>
        <v>0</v>
      </c>
      <c r="L19" s="29">
        <f>AUG!$AH$120</f>
        <v>0</v>
      </c>
      <c r="M19" s="29">
        <f>SEPT!$AG$120</f>
        <v>0</v>
      </c>
      <c r="N19" s="29">
        <f>SEPT!$AH$120</f>
        <v>0</v>
      </c>
      <c r="O19" s="29">
        <f>OCT!$AG$120</f>
        <v>0</v>
      </c>
      <c r="P19" s="29">
        <f>OCT!$AH$120</f>
        <v>0</v>
      </c>
      <c r="Q19" s="29">
        <f>NOV!$AG$120</f>
        <v>0</v>
      </c>
      <c r="R19" s="29">
        <f>NOV!$AH$120</f>
        <v>0</v>
      </c>
      <c r="S19" s="29">
        <f>DEC!$AG$120</f>
        <v>0</v>
      </c>
      <c r="T19" s="29">
        <f>DEC!$AH$120</f>
        <v>0</v>
      </c>
      <c r="U19" s="29">
        <f>JAN!$AG$120</f>
        <v>0</v>
      </c>
      <c r="V19" s="29">
        <f>JAN!$AH$120</f>
        <v>0</v>
      </c>
      <c r="W19" s="29">
        <f>FEB!$AG$120</f>
        <v>0</v>
      </c>
      <c r="X19" s="29">
        <f>FEB!$AH$120</f>
        <v>0</v>
      </c>
      <c r="Y19" s="29">
        <f>MAR!$AG$120</f>
        <v>0</v>
      </c>
      <c r="Z19" s="29">
        <f>MAR!$AH$120</f>
        <v>0</v>
      </c>
    </row>
    <row r="20" spans="2:26">
      <c r="B20" s="38" t="str">
        <f>[1]APRIL!AI1</f>
        <v xml:space="preserve">Maruthi </v>
      </c>
      <c r="C20" s="29">
        <f>APRIL!$AI$120</f>
        <v>2.4877132</v>
      </c>
      <c r="D20" s="29">
        <f>APRIL!$AJ$120</f>
        <v>3.0886233999999995</v>
      </c>
      <c r="E20" s="29">
        <f>MAY!$AI$120</f>
        <v>0</v>
      </c>
      <c r="F20" s="29">
        <f>MAY!$AJ$120</f>
        <v>0</v>
      </c>
      <c r="G20" s="29">
        <f>JUN!$AI$120</f>
        <v>0</v>
      </c>
      <c r="H20" s="29">
        <f>JUN!$AJ$120</f>
        <v>0</v>
      </c>
      <c r="I20" s="29">
        <f>JULY!$AI$120</f>
        <v>0</v>
      </c>
      <c r="J20" s="29">
        <f>JULY!$AJ$120</f>
        <v>0</v>
      </c>
      <c r="K20" s="29">
        <f>AUG!$AI$120</f>
        <v>0</v>
      </c>
      <c r="L20" s="29">
        <f>AUG!$AJ$120</f>
        <v>0</v>
      </c>
      <c r="M20" s="29">
        <f>SEPT!$AI$120</f>
        <v>0</v>
      </c>
      <c r="N20" s="29">
        <f>SEPT!$AJ$120</f>
        <v>0</v>
      </c>
      <c r="O20" s="29">
        <f>OCT!$AI$120</f>
        <v>0</v>
      </c>
      <c r="P20" s="29">
        <f>OCT!$AJ$120</f>
        <v>0</v>
      </c>
      <c r="Q20" s="29">
        <f>NOV!$AI$120</f>
        <v>0</v>
      </c>
      <c r="R20" s="29">
        <f>NOV!$AJ$120</f>
        <v>0</v>
      </c>
      <c r="S20" s="29">
        <f>DEC!$AI$120</f>
        <v>0</v>
      </c>
      <c r="T20" s="29">
        <f>DEC!$AJ$120</f>
        <v>0</v>
      </c>
      <c r="U20" s="29">
        <f>JAN!$AI$120</f>
        <v>0</v>
      </c>
      <c r="V20" s="29">
        <f>JAN!$AJ$120</f>
        <v>0</v>
      </c>
      <c r="W20" s="29">
        <f>FEB!$AI$120</f>
        <v>0</v>
      </c>
      <c r="X20" s="29">
        <f>FEB!$AJ$120</f>
        <v>0</v>
      </c>
      <c r="Y20" s="29">
        <f>MAR!$AI$120</f>
        <v>0</v>
      </c>
      <c r="Z20" s="29">
        <f>MAR!$AJ$120</f>
        <v>0</v>
      </c>
    </row>
    <row r="21" spans="2:26">
      <c r="B21" s="38" t="str">
        <f>[1]APRIL!AK1</f>
        <v>LAXMI SAI MEDICAL AGENCIES</v>
      </c>
      <c r="C21" s="29">
        <f>APRIL!$AK$120</f>
        <v>0.30715929999999997</v>
      </c>
      <c r="D21" s="29">
        <f>APRIL!$AL$120</f>
        <v>0.48791559999999995</v>
      </c>
      <c r="E21" s="29">
        <f>MAY!$AK$120</f>
        <v>0</v>
      </c>
      <c r="F21" s="29">
        <f>MAY!$AL$120</f>
        <v>0</v>
      </c>
      <c r="G21" s="29">
        <f>JUN!$AK$120</f>
        <v>0</v>
      </c>
      <c r="H21" s="29">
        <f>JUN!$AL$120</f>
        <v>0</v>
      </c>
      <c r="I21" s="29">
        <f>JULY!$AK$120</f>
        <v>0</v>
      </c>
      <c r="J21" s="29">
        <f>JULY!$AL$120</f>
        <v>0</v>
      </c>
      <c r="K21" s="29">
        <f>AUG!$AK$120</f>
        <v>0</v>
      </c>
      <c r="L21" s="29">
        <f>AUG!$AL$120</f>
        <v>0</v>
      </c>
      <c r="M21" s="29">
        <f>SEPT!$AK$120</f>
        <v>0</v>
      </c>
      <c r="N21" s="29">
        <f>SEPT!$AL$120</f>
        <v>0</v>
      </c>
      <c r="O21" s="29">
        <f>OCT!$AK$120</f>
        <v>0</v>
      </c>
      <c r="P21" s="29">
        <f>OCT!$AL$120</f>
        <v>0</v>
      </c>
      <c r="Q21" s="29">
        <f>NOV!$AK$120</f>
        <v>0</v>
      </c>
      <c r="R21" s="29">
        <f>NOV!$AL$120</f>
        <v>0</v>
      </c>
      <c r="S21" s="29">
        <f>DEC!$AK$120</f>
        <v>0</v>
      </c>
      <c r="T21" s="29">
        <f>DEC!$AL$120</f>
        <v>0</v>
      </c>
      <c r="U21" s="29">
        <f>JAN!$AK$120</f>
        <v>0</v>
      </c>
      <c r="V21" s="29">
        <f>JAN!$AL$120</f>
        <v>0</v>
      </c>
      <c r="W21" s="29">
        <f>FEB!$AK$120</f>
        <v>0</v>
      </c>
      <c r="X21" s="29">
        <f>FEB!$AL$120</f>
        <v>0</v>
      </c>
      <c r="Y21" s="29">
        <f>MAR!$AK$120</f>
        <v>0</v>
      </c>
      <c r="Z21" s="29">
        <f>MAR!$AL$120</f>
        <v>0</v>
      </c>
    </row>
    <row r="22" spans="2:26">
      <c r="B22" s="38" t="str">
        <f>[1]APRIL!AM1</f>
        <v>Patwari Pharma</v>
      </c>
      <c r="C22" s="29">
        <f>APRIL!$AM$120</f>
        <v>5.2669122000000019</v>
      </c>
      <c r="D22" s="29">
        <f>APRIL!$AN$120</f>
        <v>1.7857327999999999</v>
      </c>
      <c r="E22" s="29">
        <f>MAY!$AM$120</f>
        <v>0</v>
      </c>
      <c r="F22" s="29">
        <f>MAY!$AN$120</f>
        <v>0</v>
      </c>
      <c r="G22" s="29">
        <f>JUN!$AM$120</f>
        <v>0</v>
      </c>
      <c r="H22" s="29">
        <f>JUN!$AN$120</f>
        <v>0</v>
      </c>
      <c r="I22" s="29">
        <f>JULY!$AM$120</f>
        <v>0</v>
      </c>
      <c r="J22" s="29">
        <f>JULY!$AN$120</f>
        <v>0</v>
      </c>
      <c r="K22" s="29">
        <f>AUG!$AM$120</f>
        <v>0</v>
      </c>
      <c r="L22" s="29">
        <f>AUG!$AN$120</f>
        <v>0</v>
      </c>
      <c r="M22" s="29">
        <f>SEPT!$AM$120</f>
        <v>0</v>
      </c>
      <c r="N22" s="29">
        <f>SEPT!$AN$120</f>
        <v>0</v>
      </c>
      <c r="O22" s="29">
        <f>OCT!$AM$120</f>
        <v>0</v>
      </c>
      <c r="P22" s="29">
        <f>OCT!$AN$120</f>
        <v>0</v>
      </c>
      <c r="Q22" s="29">
        <f>NOV!$AM$120</f>
        <v>0</v>
      </c>
      <c r="R22" s="29">
        <f>NOV!$AN$120</f>
        <v>0</v>
      </c>
      <c r="S22" s="29">
        <f>DEC!$AM$120</f>
        <v>0</v>
      </c>
      <c r="T22" s="29">
        <f>DEC!$AN$120</f>
        <v>0</v>
      </c>
      <c r="U22" s="29">
        <f>JAN!$AM$120</f>
        <v>0</v>
      </c>
      <c r="V22" s="29">
        <f>JAN!$AN$120</f>
        <v>0</v>
      </c>
      <c r="W22" s="29">
        <f>FEB!$AM$120</f>
        <v>0</v>
      </c>
      <c r="X22" s="29">
        <f>FEB!$AN$120</f>
        <v>0</v>
      </c>
      <c r="Y22" s="29">
        <f>MAR!$AM$120</f>
        <v>0</v>
      </c>
      <c r="Z22" s="29">
        <f>MAR!$AN$120</f>
        <v>0</v>
      </c>
    </row>
    <row r="23" spans="2:26">
      <c r="B23" s="38" t="str">
        <f>[1]APRIL!AO1</f>
        <v>Vishnu &amp; Co</v>
      </c>
      <c r="C23" s="29">
        <f>APRIL!$AO$120</f>
        <v>0.33977949999999996</v>
      </c>
      <c r="D23" s="29">
        <f>APRIL!$AP$120</f>
        <v>0.15947839999999999</v>
      </c>
      <c r="E23" s="29">
        <f>MAY!$AO$120</f>
        <v>0</v>
      </c>
      <c r="F23" s="29">
        <f>MAY!$AP$120</f>
        <v>0</v>
      </c>
      <c r="G23" s="29">
        <f>JUN!$AO$120</f>
        <v>0</v>
      </c>
      <c r="H23" s="29">
        <f>JUN!$AP$120</f>
        <v>0</v>
      </c>
      <c r="I23" s="29">
        <f>JULY!$AO$120</f>
        <v>0</v>
      </c>
      <c r="J23" s="29">
        <f>JULY!$AP$120</f>
        <v>0</v>
      </c>
      <c r="K23" s="29">
        <f>AUG!$AO$120</f>
        <v>0</v>
      </c>
      <c r="L23" s="29">
        <f>AUG!$AP$120</f>
        <v>0</v>
      </c>
      <c r="M23" s="29">
        <f>SEPT!$AO$120</f>
        <v>0</v>
      </c>
      <c r="N23" s="29">
        <f>SEPT!$AP$120</f>
        <v>0</v>
      </c>
      <c r="O23" s="29">
        <f>OCT!$AO$120</f>
        <v>0</v>
      </c>
      <c r="P23" s="29">
        <f>OCT!$AP$120</f>
        <v>0</v>
      </c>
      <c r="Q23" s="29">
        <f>NOV!$AO$120</f>
        <v>0</v>
      </c>
      <c r="R23" s="29">
        <f>NOV!$AP$120</f>
        <v>0</v>
      </c>
      <c r="S23" s="29">
        <f>DEC!$AO$120</f>
        <v>0</v>
      </c>
      <c r="T23" s="29">
        <f>DEC!$AP$120</f>
        <v>0</v>
      </c>
      <c r="U23" s="29">
        <f>JAN!$AO$120</f>
        <v>0</v>
      </c>
      <c r="V23" s="29">
        <f>JAN!$AP$120</f>
        <v>0</v>
      </c>
      <c r="W23" s="29">
        <f>FEB!$AO$120</f>
        <v>0</v>
      </c>
      <c r="X23" s="29">
        <f>FEB!$AP$120</f>
        <v>0</v>
      </c>
      <c r="Y23" s="29">
        <f>MAR!$AO$120</f>
        <v>0</v>
      </c>
      <c r="Z23" s="29">
        <f>MAR!$AP$120</f>
        <v>0</v>
      </c>
    </row>
    <row r="24" spans="2:26">
      <c r="B24" s="38" t="str">
        <f>[1]APRIL!AQ1</f>
        <v>SUMAN AGENCIES HYD PVT LTD</v>
      </c>
      <c r="C24" s="29">
        <f>APRIL!$AQ$120</f>
        <v>1.5897553</v>
      </c>
      <c r="D24" s="29">
        <f>APRIL!$AR$120</f>
        <v>2.7648000000000001</v>
      </c>
      <c r="E24" s="29">
        <f>MAY!$AQ$120</f>
        <v>0</v>
      </c>
      <c r="F24" s="29">
        <f>MAY!$AR$120</f>
        <v>0</v>
      </c>
      <c r="G24" s="29">
        <f>JUN!$AQ$120</f>
        <v>0</v>
      </c>
      <c r="H24" s="29">
        <f>JUN!$AR$120</f>
        <v>0</v>
      </c>
      <c r="I24" s="29">
        <f>JULY!$AQ$120</f>
        <v>0</v>
      </c>
      <c r="J24" s="29">
        <f>JULY!$AR$120</f>
        <v>0</v>
      </c>
      <c r="K24" s="29">
        <f>AUG!$AQ$120</f>
        <v>0</v>
      </c>
      <c r="L24" s="29">
        <f>AUG!$AR$120</f>
        <v>0</v>
      </c>
      <c r="M24" s="29">
        <f>SEPT!$AQ$120</f>
        <v>0</v>
      </c>
      <c r="N24" s="29">
        <f>SEPT!$AR$120</f>
        <v>0</v>
      </c>
      <c r="O24" s="29">
        <f>OCT!$AQ$120</f>
        <v>0</v>
      </c>
      <c r="P24" s="29">
        <f>OCT!$AR$120</f>
        <v>0</v>
      </c>
      <c r="Q24" s="29">
        <f>NOV!$AQ$120</f>
        <v>0</v>
      </c>
      <c r="R24" s="29">
        <f>NOV!$AR$120</f>
        <v>0</v>
      </c>
      <c r="S24" s="29">
        <f>DEC!$AQ$120</f>
        <v>0</v>
      </c>
      <c r="T24" s="29">
        <f>DEC!$AR$120</f>
        <v>0</v>
      </c>
      <c r="U24" s="29">
        <f>JAN!$AQ$120</f>
        <v>0</v>
      </c>
      <c r="V24" s="29">
        <f>JAN!$AR$120</f>
        <v>0</v>
      </c>
      <c r="W24" s="29">
        <f>FEB!$AQ$120</f>
        <v>0</v>
      </c>
      <c r="X24" s="29">
        <f>FEB!$AR$120</f>
        <v>0</v>
      </c>
      <c r="Y24" s="29">
        <f>MAR!$AQ$120</f>
        <v>0</v>
      </c>
      <c r="Z24" s="29">
        <f>MAR!$AR$120</f>
        <v>0</v>
      </c>
    </row>
    <row r="25" spans="2:26">
      <c r="B25" s="38" t="str">
        <f>[1]APRIL!AS1</f>
        <v>Sri Nirmala</v>
      </c>
      <c r="C25" s="29">
        <f>APRIL!$AS$120</f>
        <v>1.2176383</v>
      </c>
      <c r="D25" s="29">
        <f>APRIL!$AT$120</f>
        <v>1.1327448</v>
      </c>
      <c r="E25" s="29">
        <f>MAY!$AS$120</f>
        <v>0</v>
      </c>
      <c r="F25" s="29">
        <f>MAY!$AT$120</f>
        <v>0</v>
      </c>
      <c r="G25" s="29">
        <f>JUN!$AS$120</f>
        <v>0</v>
      </c>
      <c r="H25" s="29">
        <f>JUN!$AT$120</f>
        <v>0</v>
      </c>
      <c r="I25" s="29">
        <f>JULY!$AS$120</f>
        <v>0</v>
      </c>
      <c r="J25" s="29">
        <f>JULY!$AT$120</f>
        <v>0</v>
      </c>
      <c r="K25" s="29">
        <f>AUG!$AS$120</f>
        <v>0</v>
      </c>
      <c r="L25" s="29">
        <f>AUG!$AT$120</f>
        <v>0</v>
      </c>
      <c r="M25" s="29">
        <f>SEPT!$AS$120</f>
        <v>0</v>
      </c>
      <c r="N25" s="29">
        <f>SEPT!$AT$120</f>
        <v>0</v>
      </c>
      <c r="O25" s="29">
        <f>OCT!$AS$120</f>
        <v>0</v>
      </c>
      <c r="P25" s="29">
        <f>OCT!$AT$120</f>
        <v>0</v>
      </c>
      <c r="Q25" s="29">
        <f>NOV!$AS$120</f>
        <v>0</v>
      </c>
      <c r="R25" s="29">
        <f>NOV!$AT$120</f>
        <v>0</v>
      </c>
      <c r="S25" s="29">
        <f>DEC!$AS$120</f>
        <v>0</v>
      </c>
      <c r="T25" s="29">
        <f>DEC!$AT$120</f>
        <v>0</v>
      </c>
      <c r="U25" s="29">
        <f>JAN!$AS$120</f>
        <v>0</v>
      </c>
      <c r="V25" s="29">
        <f>JAN!$AT$120</f>
        <v>0</v>
      </c>
      <c r="W25" s="29">
        <f>FEB!$AS$120</f>
        <v>0</v>
      </c>
      <c r="X25" s="29">
        <f>FEB!$AT$120</f>
        <v>0</v>
      </c>
      <c r="Y25" s="29">
        <f>MAR!$AS$120</f>
        <v>0</v>
      </c>
      <c r="Z25" s="29">
        <f>MAR!$AT$120</f>
        <v>0</v>
      </c>
    </row>
    <row r="26" spans="2:26">
      <c r="B26" s="38" t="str">
        <f>[1]APRIL!AU1</f>
        <v>SHREE SHARADA PHARMA</v>
      </c>
      <c r="C26" s="29">
        <f>APRIL!$AU$120</f>
        <v>1.2803426999999998</v>
      </c>
      <c r="D26" s="29">
        <f>APRIL!$AV$120</f>
        <v>1.3337346999999999</v>
      </c>
      <c r="E26" s="29">
        <f>MAY!$AU$120</f>
        <v>0</v>
      </c>
      <c r="F26" s="29">
        <f>MAY!$AV$120</f>
        <v>0</v>
      </c>
      <c r="G26" s="29">
        <f>JUN!$AU$120</f>
        <v>0</v>
      </c>
      <c r="H26" s="29">
        <f>JUN!$AV$120</f>
        <v>0</v>
      </c>
      <c r="I26" s="29">
        <f>JULY!$AU$120</f>
        <v>0</v>
      </c>
      <c r="J26" s="29">
        <f>JULY!$AV$120</f>
        <v>0</v>
      </c>
      <c r="K26" s="29">
        <f>AUG!$AU$120</f>
        <v>0</v>
      </c>
      <c r="L26" s="29">
        <f>AUG!$AV$120</f>
        <v>0</v>
      </c>
      <c r="M26" s="29">
        <f>SEPT!$AU$120</f>
        <v>0</v>
      </c>
      <c r="N26" s="29">
        <f>SEPT!$AV$120</f>
        <v>0</v>
      </c>
      <c r="O26" s="29">
        <f>OCT!$AU$120</f>
        <v>0</v>
      </c>
      <c r="P26" s="29">
        <f>OCT!$AV$120</f>
        <v>0</v>
      </c>
      <c r="Q26" s="29">
        <f>NOV!$AU$120</f>
        <v>0</v>
      </c>
      <c r="R26" s="29">
        <f>NOV!$AV$120</f>
        <v>0</v>
      </c>
      <c r="S26" s="29">
        <f>DEC!$AU$120</f>
        <v>0</v>
      </c>
      <c r="T26" s="29">
        <f>DEC!$AV$120</f>
        <v>0</v>
      </c>
      <c r="U26" s="29">
        <f>JAN!$AU$120</f>
        <v>0</v>
      </c>
      <c r="V26" s="29">
        <f>JAN!$AV$120</f>
        <v>0</v>
      </c>
      <c r="W26" s="29">
        <f>FEB!$AU$120</f>
        <v>0</v>
      </c>
      <c r="X26" s="29">
        <f>FEB!$AV$120</f>
        <v>0</v>
      </c>
      <c r="Y26" s="29">
        <f>MAR!$AU$120</f>
        <v>0</v>
      </c>
      <c r="Z26" s="29">
        <f>MAR!$AV$120</f>
        <v>0</v>
      </c>
    </row>
    <row r="27" spans="2:26">
      <c r="B27" s="38" t="str">
        <f>[1]APRIL!AW1</f>
        <v>ALLIED PHARMA</v>
      </c>
      <c r="C27" s="29">
        <f>APRIL!$AW$120</f>
        <v>0.19193190000000002</v>
      </c>
      <c r="D27" s="29">
        <f>APRIL!$AX$120</f>
        <v>9.5544500000000004E-2</v>
      </c>
      <c r="E27" s="29">
        <f>MAY!$AW$120</f>
        <v>0</v>
      </c>
      <c r="F27" s="29">
        <f>MAY!$AX$120</f>
        <v>0</v>
      </c>
      <c r="G27" s="29">
        <f>JUN!$AW$120</f>
        <v>0</v>
      </c>
      <c r="H27" s="29">
        <f>JUN!$AX$120</f>
        <v>0</v>
      </c>
      <c r="I27" s="29">
        <f>JULY!$AW$120</f>
        <v>0</v>
      </c>
      <c r="J27" s="29">
        <f>JULY!$AX$120</f>
        <v>0</v>
      </c>
      <c r="K27" s="29">
        <f>AUG!$AW$120</f>
        <v>0</v>
      </c>
      <c r="L27" s="29">
        <f>AUG!$AX$120</f>
        <v>0</v>
      </c>
      <c r="M27" s="29">
        <f>SEPT!$AW$120</f>
        <v>0</v>
      </c>
      <c r="N27" s="29">
        <f>SEPT!$AX$120</f>
        <v>0</v>
      </c>
      <c r="O27" s="29">
        <f>OCT!$AW$120</f>
        <v>0</v>
      </c>
      <c r="P27" s="29">
        <f>OCT!$AX$120</f>
        <v>0</v>
      </c>
      <c r="Q27" s="29">
        <f>NOV!$AW$120</f>
        <v>0</v>
      </c>
      <c r="R27" s="29">
        <f>NOV!$AX$120</f>
        <v>0</v>
      </c>
      <c r="S27" s="29">
        <f>DEC!$AW$120</f>
        <v>0</v>
      </c>
      <c r="T27" s="29">
        <f>DEC!$AX$120</f>
        <v>0</v>
      </c>
      <c r="U27" s="29">
        <f>JAN!$AW$120</f>
        <v>0</v>
      </c>
      <c r="V27" s="29">
        <f>JAN!$AX$120</f>
        <v>0</v>
      </c>
      <c r="W27" s="29">
        <f>FEB!$AW$120</f>
        <v>0</v>
      </c>
      <c r="X27" s="29">
        <f>FEB!$AX$120</f>
        <v>0</v>
      </c>
      <c r="Y27" s="29">
        <f>MAR!$AW$120</f>
        <v>0</v>
      </c>
      <c r="Z27" s="29">
        <f>MAR!$AX$120</f>
        <v>0</v>
      </c>
    </row>
    <row r="28" spans="2:26">
      <c r="B28" s="38" t="str">
        <f>[1]APRIL!AY1</f>
        <v>GOEL DISTRIBUTER</v>
      </c>
      <c r="C28" s="29">
        <f>APRIL!$AY$120</f>
        <v>2.6742499999999999E-2</v>
      </c>
      <c r="D28" s="29">
        <f>APRIL!$AZ$120</f>
        <v>1.0484500000000001E-2</v>
      </c>
      <c r="E28" s="29">
        <f>MAY!$AY$120</f>
        <v>0</v>
      </c>
      <c r="F28" s="29">
        <f>MAY!$AZ$120</f>
        <v>0</v>
      </c>
      <c r="G28" s="29">
        <f>JUN!$AY$120</f>
        <v>0</v>
      </c>
      <c r="H28" s="29">
        <f>JUN!$AZ$120</f>
        <v>0</v>
      </c>
      <c r="I28" s="29">
        <f>JULY!$AY$120</f>
        <v>0</v>
      </c>
      <c r="J28" s="29">
        <f>JULY!$AZ$120</f>
        <v>0</v>
      </c>
      <c r="K28" s="29">
        <f>AUG!$AY$120</f>
        <v>0</v>
      </c>
      <c r="L28" s="29">
        <f>AUG!$AZ$120</f>
        <v>0</v>
      </c>
      <c r="M28" s="29">
        <f>SEPT!$AY$120</f>
        <v>0</v>
      </c>
      <c r="N28" s="29">
        <f>SEPT!$AZ$120</f>
        <v>0</v>
      </c>
      <c r="O28" s="29">
        <f>OCT!$AY$120</f>
        <v>0</v>
      </c>
      <c r="P28" s="29">
        <f>OCT!$AZ$120</f>
        <v>0</v>
      </c>
      <c r="Q28" s="29">
        <f>NOV!$AY$120</f>
        <v>0</v>
      </c>
      <c r="R28" s="29">
        <f>NOV!$AZ$120</f>
        <v>0</v>
      </c>
      <c r="S28" s="29">
        <f>DEC!$AY$120</f>
        <v>0</v>
      </c>
      <c r="T28" s="29">
        <f>DEC!$AZ$120</f>
        <v>0</v>
      </c>
      <c r="U28" s="29">
        <f>JAN!$AY$120</f>
        <v>0</v>
      </c>
      <c r="V28" s="29">
        <f>JAN!$AZ$120</f>
        <v>0</v>
      </c>
      <c r="W28" s="29">
        <f>FEB!$AY$120</f>
        <v>0</v>
      </c>
      <c r="X28" s="29">
        <f>FEB!$AZ$120</f>
        <v>0</v>
      </c>
      <c r="Y28" s="29">
        <f>MAR!$AY$120</f>
        <v>0</v>
      </c>
      <c r="Z28" s="29">
        <f>MAR!$AZ$120</f>
        <v>0</v>
      </c>
    </row>
    <row r="29" spans="2:26">
      <c r="B29" s="38" t="str">
        <f>[1]APRIL!BA1</f>
        <v>KAMALESH PHARMA</v>
      </c>
      <c r="C29" s="29">
        <f>APRIL!$BA$120</f>
        <v>0</v>
      </c>
      <c r="D29" s="29">
        <f>APRIL!$BB$120</f>
        <v>9.1199999999999996E-3</v>
      </c>
      <c r="E29" s="29">
        <f>MAY!$BA$120</f>
        <v>0</v>
      </c>
      <c r="F29" s="29">
        <f>MAY!$BB$120</f>
        <v>0</v>
      </c>
      <c r="G29" s="29">
        <f>JUN!$BA$120</f>
        <v>0</v>
      </c>
      <c r="H29" s="29">
        <f>JUN!$BB$120</f>
        <v>0</v>
      </c>
      <c r="I29" s="29">
        <f>JULY!$BA$120</f>
        <v>0</v>
      </c>
      <c r="J29" s="29">
        <f>JULY!$BB$120</f>
        <v>0</v>
      </c>
      <c r="K29" s="29">
        <f>AUG!$BA$120</f>
        <v>0</v>
      </c>
      <c r="L29" s="29">
        <f>AUG!$BB$120</f>
        <v>0</v>
      </c>
      <c r="M29" s="29">
        <f>SEPT!$BA$120</f>
        <v>0</v>
      </c>
      <c r="N29" s="29">
        <f>SEPT!$BB$120</f>
        <v>0</v>
      </c>
      <c r="O29" s="29">
        <f>OCT!$BA$120</f>
        <v>0</v>
      </c>
      <c r="P29" s="29">
        <f>OCT!$BB$120</f>
        <v>0</v>
      </c>
      <c r="Q29" s="29">
        <f>NOV!$BA$120</f>
        <v>0</v>
      </c>
      <c r="R29" s="29">
        <f>NOV!$BB$120</f>
        <v>0</v>
      </c>
      <c r="S29" s="29">
        <f>DEC!$BA$120</f>
        <v>0</v>
      </c>
      <c r="T29" s="29">
        <f>DEC!$BB$120</f>
        <v>0</v>
      </c>
      <c r="U29" s="29">
        <f>JAN!$BA$120</f>
        <v>0</v>
      </c>
      <c r="V29" s="29">
        <f>JAN!$BB$120</f>
        <v>0</v>
      </c>
      <c r="W29" s="29">
        <f>FEB!$BA$120</f>
        <v>0</v>
      </c>
      <c r="X29" s="29">
        <f>FEB!$BB$120</f>
        <v>0</v>
      </c>
      <c r="Y29" s="29">
        <f>MAR!$BA$120</f>
        <v>0</v>
      </c>
      <c r="Z29" s="29">
        <f>MAR!$BB$120</f>
        <v>0</v>
      </c>
    </row>
    <row r="30" spans="2:26">
      <c r="B30" s="38" t="str">
        <f>[1]APRIL!BC1</f>
        <v>ARVIND PHARMA DISTRIBUTER</v>
      </c>
      <c r="C30" s="29">
        <f>APRIL!$BC$120</f>
        <v>0.34677300000000005</v>
      </c>
      <c r="D30" s="29">
        <f>APRIL!$BD$120</f>
        <v>0.44433869999999998</v>
      </c>
      <c r="E30" s="29">
        <f>MAY!$BC$120</f>
        <v>0</v>
      </c>
      <c r="F30" s="29">
        <f>MAY!$BD$120</f>
        <v>0</v>
      </c>
      <c r="G30" s="29">
        <f>JUN!$BC$120</f>
        <v>0</v>
      </c>
      <c r="H30" s="29">
        <f>JUN!$BD$120</f>
        <v>0</v>
      </c>
      <c r="I30" s="29">
        <f>JULY!$BC$120</f>
        <v>0</v>
      </c>
      <c r="J30" s="29">
        <f>JULY!$BD$120</f>
        <v>0</v>
      </c>
      <c r="K30" s="29">
        <f>AUG!$BC$120</f>
        <v>0</v>
      </c>
      <c r="L30" s="29">
        <f>AUG!$BD$120</f>
        <v>0</v>
      </c>
      <c r="M30" s="29">
        <f>SEPT!$BC$120</f>
        <v>0</v>
      </c>
      <c r="N30" s="29">
        <f>SEPT!$BD$120</f>
        <v>0</v>
      </c>
      <c r="O30" s="29">
        <f>OCT!$BC$120</f>
        <v>0</v>
      </c>
      <c r="P30" s="29">
        <f>OCT!$BD$120</f>
        <v>0</v>
      </c>
      <c r="Q30" s="29">
        <f>NOV!$BC$120</f>
        <v>0</v>
      </c>
      <c r="R30" s="29">
        <f>NOV!$BD$120</f>
        <v>0</v>
      </c>
      <c r="S30" s="29">
        <f>DEC!$BC$120</f>
        <v>0</v>
      </c>
      <c r="T30" s="29">
        <f>DEC!$BD$120</f>
        <v>0</v>
      </c>
      <c r="U30" s="29">
        <f>JAN!$BC$120</f>
        <v>0</v>
      </c>
      <c r="V30" s="29">
        <f>JAN!$BD$120</f>
        <v>0</v>
      </c>
      <c r="W30" s="29">
        <f>FEB!$BC$120</f>
        <v>0</v>
      </c>
      <c r="X30" s="29">
        <f>FEB!$BD$120</f>
        <v>0</v>
      </c>
      <c r="Y30" s="29">
        <f>MAR!$BC$120</f>
        <v>0</v>
      </c>
      <c r="Z30" s="29">
        <f>MAR!$BD$120</f>
        <v>0</v>
      </c>
    </row>
    <row r="31" spans="2:26">
      <c r="B31" s="38" t="str">
        <f>[1]APRIL!BE1</f>
        <v>GOEL PHARMA</v>
      </c>
      <c r="C31" s="29">
        <f>APRIL!$BE$120</f>
        <v>0.48739710000000008</v>
      </c>
      <c r="D31" s="29">
        <f>APRIL!$BF$120</f>
        <v>0.19318439999999998</v>
      </c>
      <c r="E31" s="29">
        <f>MAY!$BE$120</f>
        <v>0</v>
      </c>
      <c r="F31" s="29">
        <f>MAY!$BF$120</f>
        <v>0</v>
      </c>
      <c r="G31" s="29">
        <f>JUN!$BE$120</f>
        <v>0</v>
      </c>
      <c r="H31" s="29">
        <f>JUN!$BF$120</f>
        <v>0</v>
      </c>
      <c r="I31" s="29">
        <f>JULY!$BE$120</f>
        <v>0</v>
      </c>
      <c r="J31" s="29">
        <f>JULY!$BF$120</f>
        <v>0</v>
      </c>
      <c r="K31" s="29">
        <f>AUG!$BE$120</f>
        <v>0</v>
      </c>
      <c r="L31" s="29">
        <f>AUG!$BF$120</f>
        <v>0</v>
      </c>
      <c r="M31" s="29">
        <f>SEPT!$BE$120</f>
        <v>0</v>
      </c>
      <c r="N31" s="29">
        <f>SEPT!$BF$120</f>
        <v>0</v>
      </c>
      <c r="O31" s="29">
        <f>OCT!$BE$120</f>
        <v>0</v>
      </c>
      <c r="P31" s="29">
        <f>OCT!$BF$120</f>
        <v>0</v>
      </c>
      <c r="Q31" s="29">
        <f>NOV!$BE$120</f>
        <v>0</v>
      </c>
      <c r="R31" s="29">
        <f>NOV!$BF$120</f>
        <v>0</v>
      </c>
      <c r="S31" s="29">
        <f>DEC!$BE$120</f>
        <v>0</v>
      </c>
      <c r="T31" s="29">
        <f>DEC!$BF$120</f>
        <v>0</v>
      </c>
      <c r="U31" s="29">
        <f>JAN!$BE$120</f>
        <v>0</v>
      </c>
      <c r="V31" s="29">
        <f>JAN!$BF$120</f>
        <v>0</v>
      </c>
      <c r="W31" s="29">
        <f>FEB!$BE$120</f>
        <v>0</v>
      </c>
      <c r="X31" s="29">
        <f>FEB!$BF$120</f>
        <v>0</v>
      </c>
      <c r="Y31" s="29">
        <f>MAR!$BE$120</f>
        <v>0</v>
      </c>
      <c r="Z31" s="29">
        <f>MAR!$BF$120</f>
        <v>0</v>
      </c>
    </row>
    <row r="32" spans="2:26">
      <c r="B32" s="38" t="str">
        <f>[1]APRIL!BG1</f>
        <v>KRISHNA  PHARMACEUTICALS</v>
      </c>
      <c r="C32" s="29">
        <f>APRIL!$BG$120</f>
        <v>0.31573980000000001</v>
      </c>
      <c r="D32" s="29">
        <f>APRIL!$BH$120</f>
        <v>0.37645139999999999</v>
      </c>
      <c r="E32" s="29">
        <f>MAY!$BG$120</f>
        <v>0</v>
      </c>
      <c r="F32" s="29">
        <f>MAY!$BH$120</f>
        <v>0</v>
      </c>
      <c r="G32" s="29">
        <f>JUN!$BG$120</f>
        <v>0</v>
      </c>
      <c r="H32" s="29">
        <f>JUN!$BH$120</f>
        <v>0</v>
      </c>
      <c r="I32" s="29">
        <f>JULY!$BG$120</f>
        <v>0</v>
      </c>
      <c r="J32" s="29">
        <f>JULY!$BH$120</f>
        <v>0</v>
      </c>
      <c r="K32" s="29">
        <f>AUG!$BG$120</f>
        <v>0</v>
      </c>
      <c r="L32" s="29">
        <f>AUG!$BH$120</f>
        <v>0</v>
      </c>
      <c r="M32" s="29">
        <f>SEPT!$BG$120</f>
        <v>0</v>
      </c>
      <c r="N32" s="29">
        <f>SEPT!$BH$120</f>
        <v>0</v>
      </c>
      <c r="O32" s="29">
        <f>OCT!$BG$120</f>
        <v>0</v>
      </c>
      <c r="P32" s="29">
        <f>OCT!$BH$120</f>
        <v>0</v>
      </c>
      <c r="Q32" s="29">
        <f>NOV!$BG$120</f>
        <v>0</v>
      </c>
      <c r="R32" s="29">
        <f>NOV!$BH$120</f>
        <v>0</v>
      </c>
      <c r="S32" s="29">
        <f>DEC!$BG$120</f>
        <v>0</v>
      </c>
      <c r="T32" s="29">
        <f>DEC!$BH$120</f>
        <v>0</v>
      </c>
      <c r="U32" s="29">
        <f>JAN!$BG$120</f>
        <v>0</v>
      </c>
      <c r="V32" s="29">
        <f>JAN!$BH$120</f>
        <v>0</v>
      </c>
      <c r="W32" s="29">
        <f>FEB!$BG$120</f>
        <v>0</v>
      </c>
      <c r="X32" s="29">
        <f>FEB!$BH$120</f>
        <v>0</v>
      </c>
      <c r="Y32" s="29">
        <f>MAR!$BG$120</f>
        <v>0</v>
      </c>
      <c r="Z32" s="29">
        <f>MAR!$BH$120</f>
        <v>0</v>
      </c>
    </row>
    <row r="33" spans="2:26">
      <c r="B33" s="38" t="str">
        <f>[1]APRIL!BI1</f>
        <v>AP DRUGS</v>
      </c>
      <c r="C33" s="29">
        <f>APRIL!$BI$120</f>
        <v>0.15591260000000001</v>
      </c>
      <c r="D33" s="29">
        <f>APRIL!$BJ$120</f>
        <v>0.1367593</v>
      </c>
      <c r="E33" s="29">
        <f>MAY!$BI$120</f>
        <v>0</v>
      </c>
      <c r="F33" s="29">
        <f>MAY!$BJ$120</f>
        <v>0</v>
      </c>
      <c r="G33" s="29">
        <f>JUN!$BI$120</f>
        <v>0</v>
      </c>
      <c r="H33" s="29">
        <f>JUN!$BJ$120</f>
        <v>0</v>
      </c>
      <c r="I33" s="29">
        <f>JULY!$BI$120</f>
        <v>0</v>
      </c>
      <c r="J33" s="29">
        <f>JULY!$BJ$120</f>
        <v>0</v>
      </c>
      <c r="K33" s="29">
        <f>AUG!$BI$120</f>
        <v>0</v>
      </c>
      <c r="L33" s="29">
        <f>AUG!$BJ$120</f>
        <v>0</v>
      </c>
      <c r="M33" s="29">
        <f>SEPT!$BI$120</f>
        <v>0</v>
      </c>
      <c r="N33" s="29">
        <f>SEPT!$BJ$120</f>
        <v>0</v>
      </c>
      <c r="O33" s="29">
        <f>OCT!$BI$120</f>
        <v>0</v>
      </c>
      <c r="P33" s="29">
        <f>OCT!$BJ$120</f>
        <v>0</v>
      </c>
      <c r="Q33" s="29">
        <f>NOV!$BI$120</f>
        <v>0</v>
      </c>
      <c r="R33" s="29">
        <f>NOV!$BJ$120</f>
        <v>0</v>
      </c>
      <c r="S33" s="29">
        <f>DEC!$BI$120</f>
        <v>0</v>
      </c>
      <c r="T33" s="29">
        <f>DEC!$BJ$120</f>
        <v>0</v>
      </c>
      <c r="U33" s="29">
        <f>JAN!$BI$120</f>
        <v>0</v>
      </c>
      <c r="V33" s="29">
        <f>JAN!$BJ$120</f>
        <v>0</v>
      </c>
      <c r="W33" s="29">
        <f>FEB!$BI$120</f>
        <v>0</v>
      </c>
      <c r="X33" s="29">
        <f>FEB!$BJ$120</f>
        <v>0</v>
      </c>
      <c r="Y33" s="29">
        <f>MAR!$BI$120</f>
        <v>0</v>
      </c>
      <c r="Z33" s="29">
        <f>MAR!$BJ$120</f>
        <v>0</v>
      </c>
    </row>
    <row r="34" spans="2:26">
      <c r="B34" s="38" t="str">
        <f>[1]APRIL!BK1</f>
        <v>MAWA PHARMACEUTICALS</v>
      </c>
      <c r="C34" s="29">
        <f>APRIL!$BK$120</f>
        <v>0.10954650000000002</v>
      </c>
      <c r="D34" s="29">
        <f>APRIL!$BL$120</f>
        <v>0.16738439999999999</v>
      </c>
      <c r="E34" s="29">
        <f>MAY!$BK$120</f>
        <v>0</v>
      </c>
      <c r="F34" s="29">
        <f>MAY!$BL$120</f>
        <v>0</v>
      </c>
      <c r="G34" s="29">
        <f>JUN!$BK$120</f>
        <v>0</v>
      </c>
      <c r="H34" s="29">
        <f>JUN!$BL$120</f>
        <v>0</v>
      </c>
      <c r="I34" s="29">
        <f>JULY!$BK$120</f>
        <v>0</v>
      </c>
      <c r="J34" s="29">
        <f>JULY!$BL$120</f>
        <v>0</v>
      </c>
      <c r="K34" s="29">
        <f>AUG!$BK$120</f>
        <v>0</v>
      </c>
      <c r="L34" s="29">
        <f>AUG!$BL$120</f>
        <v>0</v>
      </c>
      <c r="M34" s="29">
        <f>SEPT!$BK$120</f>
        <v>0</v>
      </c>
      <c r="N34" s="29">
        <f>SEPT!$BL$120</f>
        <v>0</v>
      </c>
      <c r="O34" s="29">
        <f>OCT!$BK$120</f>
        <v>0</v>
      </c>
      <c r="P34" s="29">
        <f>OCT!$BL$120</f>
        <v>0</v>
      </c>
      <c r="Q34" s="29">
        <f>NOV!$BK$120</f>
        <v>0</v>
      </c>
      <c r="R34" s="29">
        <f>NOV!$BL$120</f>
        <v>0</v>
      </c>
      <c r="S34" s="29">
        <f>DEC!$BK$120</f>
        <v>0</v>
      </c>
      <c r="T34" s="29">
        <f>DEC!$BL$120</f>
        <v>0</v>
      </c>
      <c r="U34" s="29">
        <f>JAN!$BK$120</f>
        <v>0</v>
      </c>
      <c r="V34" s="29">
        <f>JAN!$BL$120</f>
        <v>0</v>
      </c>
      <c r="W34" s="29">
        <f>FEB!$BK$120</f>
        <v>0</v>
      </c>
      <c r="X34" s="29">
        <f>FEB!$BL$120</f>
        <v>0</v>
      </c>
      <c r="Y34" s="29">
        <f>MAR!$BK$120</f>
        <v>0</v>
      </c>
      <c r="Z34" s="29">
        <f>MAR!$BL$120</f>
        <v>0</v>
      </c>
    </row>
    <row r="35" spans="2:26">
      <c r="B35" s="38" t="str">
        <f>[1]APRIL!BM1</f>
        <v>TIRUMALA AGENCIES</v>
      </c>
      <c r="C35" s="29">
        <f>APRIL!$BM$120</f>
        <v>7.2624000000000005E-3</v>
      </c>
      <c r="D35" s="29">
        <f>APRIL!$BN$120</f>
        <v>3.8065800000000004E-2</v>
      </c>
      <c r="E35" s="29">
        <f>MAY!$BM$120</f>
        <v>0</v>
      </c>
      <c r="F35" s="29">
        <f>MAY!$BN$120</f>
        <v>0</v>
      </c>
      <c r="G35" s="29">
        <f>JUN!$BM$120</f>
        <v>0</v>
      </c>
      <c r="H35" s="29">
        <f>JUN!$BN$120</f>
        <v>0</v>
      </c>
      <c r="I35" s="29">
        <f>JULY!$BM$120</f>
        <v>0</v>
      </c>
      <c r="J35" s="29">
        <f>JULY!$BN$120</f>
        <v>0</v>
      </c>
      <c r="K35" s="29">
        <f>AUG!$BM$120</f>
        <v>0</v>
      </c>
      <c r="L35" s="29">
        <f>AUG!$BN$120</f>
        <v>0</v>
      </c>
      <c r="M35" s="29">
        <f>SEPT!$BM$120</f>
        <v>0</v>
      </c>
      <c r="N35" s="29">
        <f>SEPT!$BN$120</f>
        <v>0</v>
      </c>
      <c r="O35" s="29">
        <f>OCT!$BM$120</f>
        <v>0</v>
      </c>
      <c r="P35" s="29">
        <f>OCT!$BN$120</f>
        <v>0</v>
      </c>
      <c r="Q35" s="29">
        <f>NOV!$BM$120</f>
        <v>0</v>
      </c>
      <c r="R35" s="29">
        <f>NOV!$BN$120</f>
        <v>0</v>
      </c>
      <c r="S35" s="29">
        <f>DEC!$BM$120</f>
        <v>0</v>
      </c>
      <c r="T35" s="29">
        <f>DEC!$BN$120</f>
        <v>0</v>
      </c>
      <c r="U35" s="29">
        <f>JAN!$BM$120</f>
        <v>0</v>
      </c>
      <c r="V35" s="29">
        <f>JAN!$BN$120</f>
        <v>0</v>
      </c>
      <c r="W35" s="29">
        <f>FEB!$BM$120</f>
        <v>0</v>
      </c>
      <c r="X35" s="29">
        <f>FEB!$BN$120</f>
        <v>0</v>
      </c>
      <c r="Y35" s="29">
        <f>MAR!$BM$120</f>
        <v>0</v>
      </c>
      <c r="Z35" s="29">
        <f>MAR!$BN$120</f>
        <v>0</v>
      </c>
    </row>
    <row r="36" spans="2:26">
      <c r="B36" s="38" t="str">
        <f>[1]APRIL!BO1</f>
        <v>SREE HARI MEDICALS</v>
      </c>
      <c r="C36" s="29">
        <f>APRIL!$BO$120</f>
        <v>6.3836500000000004E-2</v>
      </c>
      <c r="D36" s="29">
        <f>APRIL!$BP$120</f>
        <v>1.7164500000000003E-2</v>
      </c>
      <c r="E36" s="29">
        <f>MAY!$BO$120</f>
        <v>0</v>
      </c>
      <c r="F36" s="29">
        <f>MAY!$BP$120</f>
        <v>0</v>
      </c>
      <c r="G36" s="29">
        <f>JUN!$BO$120</f>
        <v>0</v>
      </c>
      <c r="H36" s="29">
        <f>JUN!$BP$120</f>
        <v>0</v>
      </c>
      <c r="I36" s="29">
        <f>JULY!$BO$120</f>
        <v>0</v>
      </c>
      <c r="J36" s="29">
        <f>JULY!$BP$120</f>
        <v>0</v>
      </c>
      <c r="K36" s="29">
        <f>AUG!$BO$120</f>
        <v>0</v>
      </c>
      <c r="L36" s="29">
        <f>AUG!$BP$120</f>
        <v>0</v>
      </c>
      <c r="M36" s="29">
        <f>SEPT!$BO$120</f>
        <v>0</v>
      </c>
      <c r="N36" s="29">
        <f>SEPT!$BP$120</f>
        <v>0</v>
      </c>
      <c r="O36" s="29">
        <f>OCT!$BO$120</f>
        <v>0</v>
      </c>
      <c r="P36" s="29">
        <f>OCT!$BP$120</f>
        <v>0</v>
      </c>
      <c r="Q36" s="29">
        <f>NOV!$BO$120</f>
        <v>0</v>
      </c>
      <c r="R36" s="29">
        <f>NOV!$BP$120</f>
        <v>0</v>
      </c>
      <c r="S36" s="29">
        <f>DEC!$BO$120</f>
        <v>0</v>
      </c>
      <c r="T36" s="29">
        <f>DEC!$BP$120</f>
        <v>0</v>
      </c>
      <c r="U36" s="29">
        <f>JAN!$BO$120</f>
        <v>0</v>
      </c>
      <c r="V36" s="29">
        <f>JAN!$BP$120</f>
        <v>0</v>
      </c>
      <c r="W36" s="29">
        <f>FEB!$BO$120</f>
        <v>0</v>
      </c>
      <c r="X36" s="29">
        <f>FEB!$BP$120</f>
        <v>0</v>
      </c>
      <c r="Y36" s="29">
        <f>MAR!$BO$120</f>
        <v>0</v>
      </c>
      <c r="Z36" s="29">
        <f>MAR!$BP$120</f>
        <v>0</v>
      </c>
    </row>
    <row r="37" spans="2:26">
      <c r="B37" s="38" t="str">
        <f>[1]APRIL!BQ1</f>
        <v>SREE VENKATESHWARA MEDISOLUTIONS</v>
      </c>
      <c r="C37" s="29">
        <f>APRIL!$BQ$120</f>
        <v>0.486956</v>
      </c>
      <c r="D37" s="29">
        <f>APRIL!$BR$120</f>
        <v>0.2225586</v>
      </c>
      <c r="E37" s="29">
        <f>MAY!$BQ$120</f>
        <v>0</v>
      </c>
      <c r="F37" s="29">
        <f>MAY!$BR$120</f>
        <v>0</v>
      </c>
      <c r="G37" s="29">
        <f>JUN!$BQ$120</f>
        <v>0</v>
      </c>
      <c r="H37" s="29">
        <f>JUN!$BR$120</f>
        <v>0</v>
      </c>
      <c r="I37" s="29">
        <f>JULY!$BQ$120</f>
        <v>0</v>
      </c>
      <c r="J37" s="29">
        <f>JULY!$BR$120</f>
        <v>0</v>
      </c>
      <c r="K37" s="29">
        <f>AUG!$BQ$120</f>
        <v>0</v>
      </c>
      <c r="L37" s="29">
        <f>AUG!$BR$120</f>
        <v>0</v>
      </c>
      <c r="M37" s="29">
        <f>SEPT!$BQ$120</f>
        <v>0</v>
      </c>
      <c r="N37" s="29">
        <f>SEPT!$BR$120</f>
        <v>0</v>
      </c>
      <c r="O37" s="29">
        <f>OCT!$BQ$120</f>
        <v>0</v>
      </c>
      <c r="P37" s="29">
        <f>OCT!$BR$120</f>
        <v>0</v>
      </c>
      <c r="Q37" s="29">
        <f>NOV!$BQ$120</f>
        <v>0</v>
      </c>
      <c r="R37" s="29">
        <f>NOV!$BR$120</f>
        <v>0</v>
      </c>
      <c r="S37" s="29">
        <f>DEC!$BQ$120</f>
        <v>0</v>
      </c>
      <c r="T37" s="29">
        <f>DEC!$BR$120</f>
        <v>0</v>
      </c>
      <c r="U37" s="29">
        <f>JAN!$BQ$120</f>
        <v>0</v>
      </c>
      <c r="V37" s="29">
        <f>JAN!$BR$120</f>
        <v>0</v>
      </c>
      <c r="W37" s="29">
        <f>FEB!$BQ$120</f>
        <v>0</v>
      </c>
      <c r="X37" s="29">
        <f>FEB!$BR$120</f>
        <v>0</v>
      </c>
      <c r="Y37" s="29">
        <f>MAR!$BQ$120</f>
        <v>0</v>
      </c>
      <c r="Z37" s="29">
        <f>MAR!$BR$120</f>
        <v>0</v>
      </c>
    </row>
    <row r="38" spans="2:26">
      <c r="B38" s="38" t="str">
        <f>[1]APRIL!BS1</f>
        <v>SRI BALAJI DRUGS</v>
      </c>
      <c r="C38" s="29">
        <f>APRIL!$BS$120</f>
        <v>7.2116099999999989E-2</v>
      </c>
      <c r="D38" s="29">
        <f>APRIL!$BT$120</f>
        <v>4.4826899999999996E-2</v>
      </c>
      <c r="E38" s="29">
        <f>MAY!$BS$120</f>
        <v>0</v>
      </c>
      <c r="F38" s="29">
        <f>MAY!$BT$120</f>
        <v>0</v>
      </c>
      <c r="G38" s="29">
        <f>JUN!$BS$120</f>
        <v>0</v>
      </c>
      <c r="H38" s="29">
        <f>JUN!$BT$120</f>
        <v>0</v>
      </c>
      <c r="I38" s="29">
        <f>JULY!$BS$120</f>
        <v>0</v>
      </c>
      <c r="J38" s="29">
        <f>JULY!$BT$120</f>
        <v>0</v>
      </c>
      <c r="K38" s="29">
        <f>AUG!$BS$120</f>
        <v>0</v>
      </c>
      <c r="L38" s="29">
        <f>AUG!$BT$120</f>
        <v>0</v>
      </c>
      <c r="M38" s="29">
        <f>SEPT!$BS$120</f>
        <v>0</v>
      </c>
      <c r="N38" s="29">
        <f>SEPT!$BT$120</f>
        <v>0</v>
      </c>
      <c r="O38" s="29">
        <f>OCT!$BS$120</f>
        <v>0</v>
      </c>
      <c r="P38" s="29">
        <f>OCT!$BT$120</f>
        <v>0</v>
      </c>
      <c r="Q38" s="29">
        <f>NOV!$BS$120</f>
        <v>0</v>
      </c>
      <c r="R38" s="29">
        <f>NOV!$BT$120</f>
        <v>0</v>
      </c>
      <c r="S38" s="29">
        <f>DEC!$BS$120</f>
        <v>0</v>
      </c>
      <c r="T38" s="29">
        <f>DEC!$BT$120</f>
        <v>0</v>
      </c>
      <c r="U38" s="29">
        <f>JAN!$BS$120</f>
        <v>0</v>
      </c>
      <c r="V38" s="29">
        <f>JAN!$BT$120</f>
        <v>0</v>
      </c>
      <c r="W38" s="29">
        <f>FEB!$BS$120</f>
        <v>0</v>
      </c>
      <c r="X38" s="29">
        <f>FEB!$BT$120</f>
        <v>0</v>
      </c>
      <c r="Y38" s="29">
        <f>MAR!$BS$120</f>
        <v>0</v>
      </c>
      <c r="Z38" s="29">
        <f>MAR!$BT$120</f>
        <v>0</v>
      </c>
    </row>
    <row r="39" spans="2:26">
      <c r="B39" s="38" t="str">
        <f>[1]APRIL!BU1</f>
        <v>VISHNU MEDICAL HALL</v>
      </c>
      <c r="C39" s="29">
        <f>APRIL!$BU$120</f>
        <v>0.68051339999999994</v>
      </c>
      <c r="D39" s="29">
        <f>APRIL!$BV$120</f>
        <v>0.8049554000000001</v>
      </c>
      <c r="E39" s="29">
        <f>MAY!$BU$120</f>
        <v>0</v>
      </c>
      <c r="F39" s="29">
        <f>MAY!$BV$120</f>
        <v>0</v>
      </c>
      <c r="G39" s="29">
        <f>JUN!$BU$120</f>
        <v>0</v>
      </c>
      <c r="H39" s="29">
        <f>JUN!$BV$120</f>
        <v>0</v>
      </c>
      <c r="I39" s="29">
        <f>JULY!$BU$120</f>
        <v>0</v>
      </c>
      <c r="J39" s="29">
        <f>JULY!$BV$120</f>
        <v>0</v>
      </c>
      <c r="K39" s="29">
        <f>AUG!$BU$120</f>
        <v>0</v>
      </c>
      <c r="L39" s="29">
        <f>AUG!$BV$120</f>
        <v>0</v>
      </c>
      <c r="M39" s="29">
        <f>SEPT!$BU$120</f>
        <v>0</v>
      </c>
      <c r="N39" s="29">
        <f>SEPT!$BV$120</f>
        <v>0</v>
      </c>
      <c r="O39" s="29">
        <f>OCT!$BU$120</f>
        <v>0</v>
      </c>
      <c r="P39" s="29">
        <f>OCT!$BV$120</f>
        <v>0</v>
      </c>
      <c r="Q39" s="29">
        <f>NOV!$BU$120</f>
        <v>0</v>
      </c>
      <c r="R39" s="29">
        <f>NOV!$BV$120</f>
        <v>0</v>
      </c>
      <c r="S39" s="29">
        <f>DEC!$BU$120</f>
        <v>0</v>
      </c>
      <c r="T39" s="29">
        <f>DEC!$BV$120</f>
        <v>0</v>
      </c>
      <c r="U39" s="29">
        <f>JAN!$BU$120</f>
        <v>0</v>
      </c>
      <c r="V39" s="29">
        <f>JAN!$BV$120</f>
        <v>0</v>
      </c>
      <c r="W39" s="29">
        <f>FEB!$BU$120</f>
        <v>0</v>
      </c>
      <c r="X39" s="29">
        <f>FEB!$BV$120</f>
        <v>0</v>
      </c>
      <c r="Y39" s="29">
        <f>MAR!$BU$120</f>
        <v>0</v>
      </c>
      <c r="Z39" s="29">
        <f>MAR!$BV$120</f>
        <v>0</v>
      </c>
    </row>
    <row r="40" spans="2:26">
      <c r="B40" s="38" t="str">
        <f>[1]APRIL!BW1</f>
        <v>HYDERABAD SPECIALITY DRUGS</v>
      </c>
      <c r="C40" s="29">
        <f>APRIL!$BW$120</f>
        <v>0.36707740000000005</v>
      </c>
      <c r="D40" s="29">
        <f>APRIL!$BX$120</f>
        <v>0</v>
      </c>
      <c r="E40" s="29">
        <f>MAY!$BW$120</f>
        <v>0</v>
      </c>
      <c r="F40" s="29">
        <f>MAY!$BX$120</f>
        <v>0</v>
      </c>
      <c r="G40" s="29">
        <f>JUN!$BW$120</f>
        <v>0</v>
      </c>
      <c r="H40" s="29">
        <f>JUN!$BX$120</f>
        <v>0</v>
      </c>
      <c r="I40" s="29">
        <f>JULY!$BW$120</f>
        <v>0</v>
      </c>
      <c r="J40" s="29">
        <f>JULY!$BX$120</f>
        <v>0</v>
      </c>
      <c r="K40" s="29">
        <f>AUG!$BW$120</f>
        <v>0</v>
      </c>
      <c r="L40" s="29">
        <f>AUG!$BX$120</f>
        <v>0</v>
      </c>
      <c r="M40" s="29">
        <f>SEPT!$BW$120</f>
        <v>0</v>
      </c>
      <c r="N40" s="29">
        <f>SEPT!$BX$120</f>
        <v>0</v>
      </c>
      <c r="O40" s="29">
        <f>OCT!$BW$120</f>
        <v>0</v>
      </c>
      <c r="P40" s="29">
        <f>OCT!$BX$120</f>
        <v>0</v>
      </c>
      <c r="Q40" s="29">
        <f>NOV!$BW$120</f>
        <v>0</v>
      </c>
      <c r="R40" s="29">
        <f>NOV!$BX$120</f>
        <v>0</v>
      </c>
      <c r="S40" s="29">
        <f>DEC!$BW$120</f>
        <v>0</v>
      </c>
      <c r="T40" s="29">
        <f>DEC!$BX$120</f>
        <v>0</v>
      </c>
      <c r="U40" s="29">
        <f>JAN!$BW$120</f>
        <v>0</v>
      </c>
      <c r="V40" s="29">
        <f>JAN!$BX$120</f>
        <v>0</v>
      </c>
      <c r="W40" s="29">
        <f>FEB!$BW$120</f>
        <v>0</v>
      </c>
      <c r="X40" s="29">
        <f>FEB!$BX$120</f>
        <v>0</v>
      </c>
      <c r="Y40" s="29">
        <f>MAR!$BW$120</f>
        <v>0</v>
      </c>
      <c r="Z40" s="29">
        <f>MAR!$BX$120</f>
        <v>0</v>
      </c>
    </row>
    <row r="41" spans="2:26">
      <c r="B41" s="38" t="str">
        <f>[1]APRIL!BY1</f>
        <v>LORVEN PHARMA &amp; SURGICALS (CORP)</v>
      </c>
      <c r="C41" s="29">
        <f>APRIL!$BY$120</f>
        <v>2.8379226000000002</v>
      </c>
      <c r="D41" s="29">
        <f>APRIL!$BZ$120</f>
        <v>0</v>
      </c>
      <c r="E41" s="29">
        <f>MAY!$BY$120</f>
        <v>0</v>
      </c>
      <c r="F41" s="29">
        <f>MAY!$BZ$120</f>
        <v>0</v>
      </c>
      <c r="G41" s="29">
        <f>JUN!$BY$120</f>
        <v>0</v>
      </c>
      <c r="H41" s="29">
        <f>JUN!$BZ$120</f>
        <v>0</v>
      </c>
      <c r="I41" s="29">
        <f>JULY!$BY$120</f>
        <v>0</v>
      </c>
      <c r="J41" s="29">
        <f>JULY!$BZ$120</f>
        <v>0</v>
      </c>
      <c r="K41" s="29">
        <f>AUG!$BY$120</f>
        <v>0</v>
      </c>
      <c r="L41" s="29">
        <f>AUG!$BZ$120</f>
        <v>0</v>
      </c>
      <c r="M41" s="29">
        <f>SEPT!$BY$120</f>
        <v>0</v>
      </c>
      <c r="N41" s="29">
        <f>SEPT!$BZ$120</f>
        <v>0</v>
      </c>
      <c r="O41" s="29">
        <f>OCT!$BY$120</f>
        <v>0</v>
      </c>
      <c r="P41" s="29">
        <f>OCT!$BZ$120</f>
        <v>0</v>
      </c>
      <c r="Q41" s="29">
        <f>NOV!$BY$120</f>
        <v>0</v>
      </c>
      <c r="R41" s="29">
        <f>NOV!$BZ$120</f>
        <v>0</v>
      </c>
      <c r="S41" s="29">
        <f>DEC!$BY$120</f>
        <v>0</v>
      </c>
      <c r="T41" s="29">
        <f>DEC!$BZ$120</f>
        <v>0</v>
      </c>
      <c r="U41" s="29">
        <f>JAN!$BY$120</f>
        <v>0</v>
      </c>
      <c r="V41" s="29">
        <f>JAN!$BZ$120</f>
        <v>0</v>
      </c>
      <c r="W41" s="29">
        <f>FEB!$BY$120</f>
        <v>0</v>
      </c>
      <c r="X41" s="29">
        <f>FEB!$BZ$120</f>
        <v>0</v>
      </c>
      <c r="Y41" s="29">
        <f>MAR!$BY$120</f>
        <v>0</v>
      </c>
      <c r="Z41" s="29">
        <f>MAR!$BZ$120</f>
        <v>0</v>
      </c>
    </row>
    <row r="42" spans="2:26">
      <c r="B42" s="38" t="str">
        <f>[1]APRIL!CA1</f>
        <v>AK PHARMA</v>
      </c>
      <c r="C42" s="29">
        <f>APRIL!$CA$120</f>
        <v>0.25313170000000002</v>
      </c>
      <c r="D42" s="29">
        <f>APRIL!$CB$120</f>
        <v>8.4868699999999991E-2</v>
      </c>
      <c r="E42" s="29">
        <f>MAY!$CA$120</f>
        <v>0</v>
      </c>
      <c r="F42" s="29">
        <f>MAY!$CB$120</f>
        <v>0</v>
      </c>
      <c r="G42" s="29">
        <f>JUN!$CA$120</f>
        <v>0</v>
      </c>
      <c r="H42" s="29">
        <f>JUN!$CB$120</f>
        <v>0</v>
      </c>
      <c r="I42" s="29">
        <f>JULY!$CA$120</f>
        <v>0</v>
      </c>
      <c r="J42" s="29">
        <f>JULY!$CB$120</f>
        <v>0</v>
      </c>
      <c r="K42" s="29">
        <f>AUG!$CA$120</f>
        <v>0</v>
      </c>
      <c r="L42" s="29">
        <f>AUG!$CB$120</f>
        <v>0</v>
      </c>
      <c r="M42" s="29">
        <f>SEPT!$CA$120</f>
        <v>0</v>
      </c>
      <c r="N42" s="29">
        <f>SEPT!$CB$120</f>
        <v>0</v>
      </c>
      <c r="O42" s="29">
        <f>OCT!$CA$120</f>
        <v>0</v>
      </c>
      <c r="P42" s="29">
        <f>OCT!$CB$120</f>
        <v>0</v>
      </c>
      <c r="Q42" s="29">
        <f>NOV!$CA$120</f>
        <v>0</v>
      </c>
      <c r="R42" s="29">
        <f>NOV!$CB$120</f>
        <v>0</v>
      </c>
      <c r="S42" s="29">
        <f>DEC!$CA$120</f>
        <v>0</v>
      </c>
      <c r="T42" s="29">
        <f>DEC!$CB$120</f>
        <v>0</v>
      </c>
      <c r="U42" s="29">
        <f>JAN!$CA$120</f>
        <v>0</v>
      </c>
      <c r="V42" s="29">
        <f>JAN!$CB$120</f>
        <v>0</v>
      </c>
      <c r="W42" s="29">
        <f>FEB!$CA$120</f>
        <v>0</v>
      </c>
      <c r="X42" s="29">
        <f>FEB!$CB$120</f>
        <v>0</v>
      </c>
      <c r="Y42" s="29">
        <f>MAR!$CA$120</f>
        <v>0</v>
      </c>
      <c r="Z42" s="29">
        <f>MAR!$CB$120</f>
        <v>0</v>
      </c>
    </row>
    <row r="43" spans="2:26">
      <c r="B43" s="38" t="str">
        <f>[1]APRIL!CC1</f>
        <v>OPTIVAL HEALTHSOLUTIONS</v>
      </c>
      <c r="C43" s="29">
        <f>APRIL!$CC$120</f>
        <v>13.546513599999995</v>
      </c>
      <c r="D43" s="29">
        <f>APRIL!$CD$120</f>
        <v>0</v>
      </c>
      <c r="E43" s="29">
        <f>MAY!$CC$120</f>
        <v>0</v>
      </c>
      <c r="F43" s="29">
        <f>MAY!$CD$120</f>
        <v>0</v>
      </c>
      <c r="G43" s="29">
        <f>JUN!$CC$120</f>
        <v>0</v>
      </c>
      <c r="H43" s="29">
        <f>JUN!$CD$120</f>
        <v>0</v>
      </c>
      <c r="I43" s="29">
        <f>JULY!$CC$120</f>
        <v>0</v>
      </c>
      <c r="J43" s="29">
        <f>JULY!$CD$120</f>
        <v>0</v>
      </c>
      <c r="K43" s="29">
        <f>AUG!$CC$120</f>
        <v>0</v>
      </c>
      <c r="L43" s="29">
        <f>AUG!$CD$120</f>
        <v>0</v>
      </c>
      <c r="M43" s="29">
        <f>SEPT!$CC$120</f>
        <v>0</v>
      </c>
      <c r="N43" s="29">
        <f>SEPT!$CD$120</f>
        <v>0</v>
      </c>
      <c r="O43" s="29">
        <f>OCT!$CC$120</f>
        <v>0</v>
      </c>
      <c r="P43" s="29">
        <f>OCT!$CD$120</f>
        <v>0</v>
      </c>
      <c r="Q43" s="29">
        <f>NOV!$CC$120</f>
        <v>0</v>
      </c>
      <c r="R43" s="29">
        <f>NOV!$CD$120</f>
        <v>0</v>
      </c>
      <c r="S43" s="29">
        <f>DEC!$CC$120</f>
        <v>0</v>
      </c>
      <c r="T43" s="29">
        <f>DEC!$CD$120</f>
        <v>0</v>
      </c>
      <c r="U43" s="29">
        <f>JAN!$CC$120</f>
        <v>0</v>
      </c>
      <c r="V43" s="29">
        <f>JAN!$CD$120</f>
        <v>0</v>
      </c>
      <c r="W43" s="29">
        <f>FEB!$CC$120</f>
        <v>0</v>
      </c>
      <c r="X43" s="29">
        <f>FEB!$CD$120</f>
        <v>0</v>
      </c>
      <c r="Y43" s="29">
        <f>MAR!$CC$120</f>
        <v>0</v>
      </c>
      <c r="Z43" s="29">
        <f>MAR!$CD$120</f>
        <v>0</v>
      </c>
    </row>
    <row r="44" spans="2:26">
      <c r="B44" s="38" t="str">
        <f>[1]APRIL!CE1</f>
        <v>BALAJI MEDICAL AGENCIES</v>
      </c>
      <c r="C44" s="29">
        <f>APRIL!$CE$120</f>
        <v>0</v>
      </c>
      <c r="D44" s="29">
        <f>APRIL!$CF$120</f>
        <v>0</v>
      </c>
      <c r="E44" s="29">
        <f>MAY!$CE$120</f>
        <v>0</v>
      </c>
      <c r="F44" s="29">
        <f>MAY!$CF$120</f>
        <v>0</v>
      </c>
      <c r="G44" s="29">
        <f>JUN!$CE$120</f>
        <v>0</v>
      </c>
      <c r="H44" s="29">
        <f>JUN!$CF$120</f>
        <v>0</v>
      </c>
      <c r="I44" s="29">
        <f>JULY!$CE$120</f>
        <v>0</v>
      </c>
      <c r="J44" s="29">
        <f>JULY!$CF$120</f>
        <v>0</v>
      </c>
      <c r="K44" s="29">
        <f>AUG!$CE$120</f>
        <v>0</v>
      </c>
      <c r="L44" s="29">
        <f>AUG!$CF$120</f>
        <v>0</v>
      </c>
      <c r="M44" s="29">
        <f>SEPT!$CE$120</f>
        <v>0</v>
      </c>
      <c r="N44" s="29">
        <f>SEPT!$CF$120</f>
        <v>0</v>
      </c>
      <c r="O44" s="29">
        <f>OCT!$CE$120</f>
        <v>0</v>
      </c>
      <c r="P44" s="29">
        <f>OCT!$CF$120</f>
        <v>0</v>
      </c>
      <c r="Q44" s="29">
        <f>NOV!$CE$120</f>
        <v>0</v>
      </c>
      <c r="R44" s="29">
        <f>NOV!$CF$120</f>
        <v>0</v>
      </c>
      <c r="S44" s="29">
        <f>DEC!$CE$120</f>
        <v>0</v>
      </c>
      <c r="T44" s="29">
        <f>DEC!$CF$120</f>
        <v>0</v>
      </c>
      <c r="U44" s="29">
        <f>JAN!$CE$120</f>
        <v>0</v>
      </c>
      <c r="V44" s="29">
        <f>JAN!$CF$120</f>
        <v>0</v>
      </c>
      <c r="W44" s="29">
        <f>FEB!$CE$120</f>
        <v>0</v>
      </c>
      <c r="X44" s="29">
        <f>FEB!$CF$120</f>
        <v>0</v>
      </c>
      <c r="Y44" s="29">
        <f>MAR!$CE$120</f>
        <v>0</v>
      </c>
      <c r="Z44" s="29">
        <f>MAR!$CF$120</f>
        <v>0</v>
      </c>
    </row>
    <row r="45" spans="2:26">
      <c r="B45" s="4" t="str">
        <f>APRIL!CG1</f>
        <v>S42</v>
      </c>
      <c r="C45" s="29">
        <f>APRIL!$CG$120</f>
        <v>0</v>
      </c>
      <c r="D45" s="29">
        <f>APRIL!$CH$120</f>
        <v>0</v>
      </c>
      <c r="E45" s="29">
        <f>MAY!$CG$120</f>
        <v>0</v>
      </c>
      <c r="F45" s="29">
        <f>MAY!$CH$120</f>
        <v>0</v>
      </c>
      <c r="G45" s="29">
        <f>JUN!$CG$120</f>
        <v>0</v>
      </c>
      <c r="H45" s="29">
        <f>JUN!$CH$120</f>
        <v>0</v>
      </c>
      <c r="I45" s="29">
        <f>JULY!$CG$120</f>
        <v>0</v>
      </c>
      <c r="J45" s="29">
        <f>JULY!$CH$120</f>
        <v>0</v>
      </c>
      <c r="K45" s="29">
        <f>AUG!$CG$120</f>
        <v>0</v>
      </c>
      <c r="L45" s="29">
        <f>AUG!$CH$120</f>
        <v>0</v>
      </c>
      <c r="M45" s="29">
        <f>SEPT!$CG$120</f>
        <v>0</v>
      </c>
      <c r="N45" s="29">
        <f>SEPT!$CH$120</f>
        <v>0</v>
      </c>
      <c r="O45" s="29">
        <f>OCT!$CG$120</f>
        <v>0</v>
      </c>
      <c r="P45" s="29">
        <f>OCT!$CH$120</f>
        <v>0</v>
      </c>
      <c r="Q45" s="29">
        <f>NOV!$CG$120</f>
        <v>0</v>
      </c>
      <c r="R45" s="29">
        <f>NOV!$CH$120</f>
        <v>0</v>
      </c>
      <c r="S45" s="29">
        <f>DEC!$CG$120</f>
        <v>0</v>
      </c>
      <c r="T45" s="29">
        <f>DEC!$CH$120</f>
        <v>0</v>
      </c>
      <c r="U45" s="29">
        <f>JAN!$CG$120</f>
        <v>0</v>
      </c>
      <c r="V45" s="29">
        <f>JAN!$CH$120</f>
        <v>0</v>
      </c>
      <c r="W45" s="29">
        <f>FEB!$CG$120</f>
        <v>0</v>
      </c>
      <c r="X45" s="29">
        <f>FEB!$CH$120</f>
        <v>0</v>
      </c>
      <c r="Y45" s="29">
        <f>MAR!$CG$120</f>
        <v>0</v>
      </c>
      <c r="Z45" s="29">
        <f>MAR!$CH$120</f>
        <v>0</v>
      </c>
    </row>
    <row r="46" spans="2:26">
      <c r="B46" s="4" t="str">
        <f>APRIL!CI1</f>
        <v>S43</v>
      </c>
      <c r="C46" s="29">
        <f>APRIL!$CI$120</f>
        <v>0</v>
      </c>
      <c r="D46" s="29">
        <f>APRIL!$CJ$120</f>
        <v>0</v>
      </c>
      <c r="E46" s="29">
        <f>MAY!$CI$120</f>
        <v>0</v>
      </c>
      <c r="F46" s="29">
        <f>MAY!$CJ$120</f>
        <v>0</v>
      </c>
      <c r="G46" s="29">
        <f>JUN!$CI$120</f>
        <v>0</v>
      </c>
      <c r="H46" s="29">
        <f>JUN!$CJ$120</f>
        <v>0</v>
      </c>
      <c r="I46" s="29">
        <f>JULY!$CI$120</f>
        <v>0</v>
      </c>
      <c r="J46" s="29">
        <f>JULY!$CJ$120</f>
        <v>0</v>
      </c>
      <c r="K46" s="29">
        <f>AUG!$CI$120</f>
        <v>0</v>
      </c>
      <c r="L46" s="29">
        <f>AUG!$CJ$120</f>
        <v>0</v>
      </c>
      <c r="M46" s="29">
        <f>SEPT!$CI$120</f>
        <v>0</v>
      </c>
      <c r="N46" s="29">
        <f>SEPT!$CJ$120</f>
        <v>0</v>
      </c>
      <c r="O46" s="29">
        <f>OCT!$CI$120</f>
        <v>0</v>
      </c>
      <c r="P46" s="29">
        <f>OCT!$CJ$120</f>
        <v>0</v>
      </c>
      <c r="Q46" s="29">
        <f>NOV!$CI$120</f>
        <v>0</v>
      </c>
      <c r="R46" s="29">
        <f>NOV!$CJ$120</f>
        <v>0</v>
      </c>
      <c r="S46" s="29">
        <f>DEC!$CI$120</f>
        <v>0</v>
      </c>
      <c r="T46" s="29">
        <f>DEC!$CJ$120</f>
        <v>0</v>
      </c>
      <c r="U46" s="29">
        <f>JAN!$CI$120</f>
        <v>0</v>
      </c>
      <c r="V46" s="29">
        <f>JAN!$CJ$120</f>
        <v>0</v>
      </c>
      <c r="W46" s="29">
        <f>FEB!$CI$120</f>
        <v>0</v>
      </c>
      <c r="X46" s="29">
        <f>FEB!$CJ$120</f>
        <v>0</v>
      </c>
      <c r="Y46" s="29">
        <f>MAR!$CI$120</f>
        <v>0</v>
      </c>
      <c r="Z46" s="29">
        <f>MAR!$CJ$120</f>
        <v>0</v>
      </c>
    </row>
    <row r="47" spans="2:26">
      <c r="B47" s="4" t="str">
        <f>APRIL!CK1</f>
        <v>S44</v>
      </c>
      <c r="C47" s="29">
        <f>APRIL!$CK$120</f>
        <v>0</v>
      </c>
      <c r="D47" s="29">
        <f>APRIL!$CL$120</f>
        <v>0</v>
      </c>
      <c r="E47" s="29">
        <f>MAY!$CK$120</f>
        <v>0</v>
      </c>
      <c r="F47" s="29">
        <f>MAY!$CL$120</f>
        <v>0</v>
      </c>
      <c r="G47" s="29">
        <f>JUN!$CK$120</f>
        <v>0</v>
      </c>
      <c r="H47" s="29">
        <f>JUN!$CL$120</f>
        <v>0</v>
      </c>
      <c r="I47" s="29">
        <f>JULY!$CK$120</f>
        <v>0</v>
      </c>
      <c r="J47" s="29">
        <f>JULY!$CL$120</f>
        <v>0</v>
      </c>
      <c r="K47" s="29">
        <f>AUG!$CK$120</f>
        <v>0</v>
      </c>
      <c r="L47" s="29">
        <f>AUG!$CL$120</f>
        <v>0</v>
      </c>
      <c r="M47" s="29">
        <f>SEPT!$CK$120</f>
        <v>0</v>
      </c>
      <c r="N47" s="29">
        <f>SEPT!$CL$120</f>
        <v>0</v>
      </c>
      <c r="O47" s="29">
        <f>OCT!$CK$120</f>
        <v>0</v>
      </c>
      <c r="P47" s="29">
        <f>OCT!$CL$120</f>
        <v>0</v>
      </c>
      <c r="Q47" s="29">
        <f>NOV!$CK$120</f>
        <v>0</v>
      </c>
      <c r="R47" s="29">
        <f>NOV!$CL$120</f>
        <v>0</v>
      </c>
      <c r="S47" s="29">
        <f>DEC!$CK$120</f>
        <v>0</v>
      </c>
      <c r="T47" s="29">
        <f>DEC!$CL$120</f>
        <v>0</v>
      </c>
      <c r="U47" s="29">
        <f>JAN!$CK$120</f>
        <v>0</v>
      </c>
      <c r="V47" s="29">
        <f>JAN!$CL$120</f>
        <v>0</v>
      </c>
      <c r="W47" s="29">
        <f>FEB!$CK$120</f>
        <v>0</v>
      </c>
      <c r="X47" s="29">
        <f>FEB!$CL$120</f>
        <v>0</v>
      </c>
      <c r="Y47" s="29">
        <f>MAR!$CK$120</f>
        <v>0</v>
      </c>
      <c r="Z47" s="29">
        <f>MAR!$CL$120</f>
        <v>0</v>
      </c>
    </row>
    <row r="48" spans="2:26">
      <c r="B48" s="4" t="str">
        <f>APRIL!CM1</f>
        <v>S45</v>
      </c>
      <c r="C48" s="29">
        <f>APRIL!$CM$120</f>
        <v>0</v>
      </c>
      <c r="D48" s="29">
        <f>APRIL!$CN$120</f>
        <v>0</v>
      </c>
      <c r="E48" s="29">
        <f>MAY!$CM$120</f>
        <v>0</v>
      </c>
      <c r="F48" s="29">
        <f>MAY!$CN$120</f>
        <v>0</v>
      </c>
      <c r="G48" s="29">
        <f>JUN!$CM$120</f>
        <v>0</v>
      </c>
      <c r="H48" s="29">
        <f>JUN!$CN$120</f>
        <v>0</v>
      </c>
      <c r="I48" s="29">
        <f>JULY!$CM$120</f>
        <v>0</v>
      </c>
      <c r="J48" s="29">
        <f>JULY!$CN$120</f>
        <v>0</v>
      </c>
      <c r="K48" s="29">
        <f>AUG!$CM$120</f>
        <v>0</v>
      </c>
      <c r="L48" s="29">
        <f>AUG!$CN$120</f>
        <v>0</v>
      </c>
      <c r="M48" s="29">
        <f>SEPT!$CM$120</f>
        <v>0</v>
      </c>
      <c r="N48" s="29">
        <f>SEPT!$CN$120</f>
        <v>0</v>
      </c>
      <c r="O48" s="29">
        <f>OCT!$CM$120</f>
        <v>0</v>
      </c>
      <c r="P48" s="29">
        <f>OCT!$CN$120</f>
        <v>0</v>
      </c>
      <c r="Q48" s="29">
        <f>NOV!$CM$120</f>
        <v>0</v>
      </c>
      <c r="R48" s="29">
        <f>NOV!$CN$120</f>
        <v>0</v>
      </c>
      <c r="S48" s="29">
        <f>DEC!$CM$120</f>
        <v>0</v>
      </c>
      <c r="T48" s="29">
        <f>DEC!$CN$120</f>
        <v>0</v>
      </c>
      <c r="U48" s="29">
        <f>JAN!$CM$120</f>
        <v>0</v>
      </c>
      <c r="V48" s="29">
        <f>JAN!$CN$120</f>
        <v>0</v>
      </c>
      <c r="W48" s="29">
        <f>FEB!$CM$120</f>
        <v>0</v>
      </c>
      <c r="X48" s="29">
        <f>FEB!$CN$120</f>
        <v>0</v>
      </c>
      <c r="Y48" s="29">
        <f>MAR!$CM$120</f>
        <v>0</v>
      </c>
      <c r="Z48" s="29">
        <f>MAR!$CN$120</f>
        <v>0</v>
      </c>
    </row>
    <row r="49" spans="2:26">
      <c r="B49" s="4" t="str">
        <f>APRIL!CO1</f>
        <v>S46</v>
      </c>
      <c r="C49" s="29">
        <f>APRIL!$CO$120</f>
        <v>0</v>
      </c>
      <c r="D49" s="29">
        <f>APRIL!$CP$120</f>
        <v>0</v>
      </c>
      <c r="E49" s="29">
        <f>MAY!$CO$120</f>
        <v>0</v>
      </c>
      <c r="F49" s="29">
        <f>MAY!$CP$120</f>
        <v>0</v>
      </c>
      <c r="G49" s="29">
        <f>JUN!$CO$120</f>
        <v>0</v>
      </c>
      <c r="H49" s="29">
        <f>JUN!$CP$120</f>
        <v>0</v>
      </c>
      <c r="I49" s="29">
        <f>JULY!$CO$120</f>
        <v>0</v>
      </c>
      <c r="J49" s="29">
        <f>JULY!$CP$120</f>
        <v>0</v>
      </c>
      <c r="K49" s="29">
        <f>AUG!$CO$120</f>
        <v>0</v>
      </c>
      <c r="L49" s="29">
        <f>AUG!$CP$120</f>
        <v>0</v>
      </c>
      <c r="M49" s="29">
        <f>SEPT!$CO$120</f>
        <v>0</v>
      </c>
      <c r="N49" s="29">
        <f>SEPT!$CP$120</f>
        <v>0</v>
      </c>
      <c r="O49" s="29">
        <f>OCT!$CO$120</f>
        <v>0</v>
      </c>
      <c r="P49" s="29">
        <f>OCT!$CP$120</f>
        <v>0</v>
      </c>
      <c r="Q49" s="29">
        <f>NOV!$CO$120</f>
        <v>0</v>
      </c>
      <c r="R49" s="29">
        <f>NOV!$CP$120</f>
        <v>0</v>
      </c>
      <c r="S49" s="29">
        <f>DEC!$CO$120</f>
        <v>0</v>
      </c>
      <c r="T49" s="29">
        <f>DEC!$CP$120</f>
        <v>0</v>
      </c>
      <c r="U49" s="29">
        <f>JAN!$CO$120</f>
        <v>0</v>
      </c>
      <c r="V49" s="29">
        <f>JAN!$CP$120</f>
        <v>0</v>
      </c>
      <c r="W49" s="29">
        <f>FEB!$CO$120</f>
        <v>0</v>
      </c>
      <c r="X49" s="29">
        <f>FEB!$CP$120</f>
        <v>0</v>
      </c>
      <c r="Y49" s="29">
        <f>MAR!$CO$120</f>
        <v>0</v>
      </c>
      <c r="Z49" s="29">
        <f>MAR!$CP$120</f>
        <v>0</v>
      </c>
    </row>
    <row r="50" spans="2:26">
      <c r="B50" s="4" t="str">
        <f>APRIL!CQ1</f>
        <v>S47</v>
      </c>
      <c r="C50" s="29">
        <f>APRIL!$CQ$120</f>
        <v>0</v>
      </c>
      <c r="D50" s="29">
        <f>APRIL!$CR$120</f>
        <v>0</v>
      </c>
      <c r="E50" s="29">
        <f>MAY!$CQ$120</f>
        <v>0</v>
      </c>
      <c r="F50" s="29">
        <f>MAY!$CR$120</f>
        <v>0</v>
      </c>
      <c r="G50" s="29">
        <f>JUN!$CQ$120</f>
        <v>0</v>
      </c>
      <c r="H50" s="29">
        <f>JUN!$CR$120</f>
        <v>0</v>
      </c>
      <c r="I50" s="29">
        <f>JULY!$CQ$120</f>
        <v>0</v>
      </c>
      <c r="J50" s="29">
        <f>JULY!$CR$120</f>
        <v>0</v>
      </c>
      <c r="K50" s="29">
        <f>AUG!$CQ$120</f>
        <v>0</v>
      </c>
      <c r="L50" s="29">
        <f>AUG!$CR$120</f>
        <v>0</v>
      </c>
      <c r="M50" s="29">
        <f>SEPT!$CQ$120</f>
        <v>0</v>
      </c>
      <c r="N50" s="29">
        <f>SEPT!$CR$120</f>
        <v>0</v>
      </c>
      <c r="O50" s="29">
        <f>OCT!$CQ$120</f>
        <v>0</v>
      </c>
      <c r="P50" s="29">
        <f>OCT!$CR$120</f>
        <v>0</v>
      </c>
      <c r="Q50" s="29">
        <f>NOV!$CQ$120</f>
        <v>0</v>
      </c>
      <c r="R50" s="29">
        <f>NOV!$CR$120</f>
        <v>0</v>
      </c>
      <c r="S50" s="29">
        <f>DEC!$CQ$120</f>
        <v>0</v>
      </c>
      <c r="T50" s="29">
        <f>DEC!$CR$120</f>
        <v>0</v>
      </c>
      <c r="U50" s="29">
        <f>JAN!$CQ$120</f>
        <v>0</v>
      </c>
      <c r="V50" s="29">
        <f>JAN!$CR$120</f>
        <v>0</v>
      </c>
      <c r="W50" s="29">
        <f>FEB!$CQ$120</f>
        <v>0</v>
      </c>
      <c r="X50" s="29">
        <f>FEB!$CR$120</f>
        <v>0</v>
      </c>
      <c r="Y50" s="29">
        <f>MAR!$CQ$120</f>
        <v>0</v>
      </c>
      <c r="Z50" s="29">
        <f>MAR!$CR$120</f>
        <v>0</v>
      </c>
    </row>
    <row r="51" spans="2:26">
      <c r="B51" s="4" t="str">
        <f>APRIL!CS1</f>
        <v>S48</v>
      </c>
      <c r="C51" s="29">
        <f>APRIL!$CS$120</f>
        <v>0</v>
      </c>
      <c r="D51" s="29">
        <f>APRIL!$CT$120</f>
        <v>0</v>
      </c>
      <c r="E51" s="29">
        <f>MAY!$CS$120</f>
        <v>0</v>
      </c>
      <c r="F51" s="29">
        <f>MAY!$CT$120</f>
        <v>0</v>
      </c>
      <c r="G51" s="29">
        <f>JUN!$CS$120</f>
        <v>0</v>
      </c>
      <c r="H51" s="29">
        <f>JUN!$CT$120</f>
        <v>0</v>
      </c>
      <c r="I51" s="29">
        <f>JULY!$CS$120</f>
        <v>0</v>
      </c>
      <c r="J51" s="29">
        <f>JULY!$CT$120</f>
        <v>0</v>
      </c>
      <c r="K51" s="29">
        <f>AUG!$CS$120</f>
        <v>0</v>
      </c>
      <c r="L51" s="29">
        <f>AUG!$CT$120</f>
        <v>0</v>
      </c>
      <c r="M51" s="29">
        <f>SEPT!$CS$120</f>
        <v>0</v>
      </c>
      <c r="N51" s="29">
        <f>SEPT!$CT$120</f>
        <v>0</v>
      </c>
      <c r="O51" s="29">
        <f>OCT!$CS$120</f>
        <v>0</v>
      </c>
      <c r="P51" s="29">
        <f>OCT!$CT$120</f>
        <v>0</v>
      </c>
      <c r="Q51" s="29">
        <f>NOV!$CS$120</f>
        <v>0</v>
      </c>
      <c r="R51" s="29">
        <f>NOV!$CT$120</f>
        <v>0</v>
      </c>
      <c r="S51" s="29">
        <f>DEC!$CS$120</f>
        <v>0</v>
      </c>
      <c r="T51" s="29">
        <f>DEC!$CT$120</f>
        <v>0</v>
      </c>
      <c r="U51" s="29">
        <f>JAN!$CS$120</f>
        <v>0</v>
      </c>
      <c r="V51" s="29">
        <f>JAN!$CT$120</f>
        <v>0</v>
      </c>
      <c r="W51" s="29">
        <f>FEB!$CS$120</f>
        <v>0</v>
      </c>
      <c r="X51" s="29">
        <f>FEB!$CT$120</f>
        <v>0</v>
      </c>
      <c r="Y51" s="29">
        <f>MAR!$CS$120</f>
        <v>0</v>
      </c>
      <c r="Z51" s="29">
        <f>MAR!$CT$120</f>
        <v>0</v>
      </c>
    </row>
    <row r="52" spans="2:26">
      <c r="B52" s="4" t="str">
        <f>APRIL!CU1</f>
        <v>S49</v>
      </c>
      <c r="C52" s="29">
        <f>APRIL!$CU$120</f>
        <v>0</v>
      </c>
      <c r="D52" s="29">
        <f>APRIL!$CV$120</f>
        <v>0</v>
      </c>
      <c r="E52" s="29">
        <f>MAY!$CU$120</f>
        <v>0</v>
      </c>
      <c r="F52" s="29">
        <f>MAY!$CV$120</f>
        <v>0</v>
      </c>
      <c r="G52" s="29">
        <f>JUN!$CU$120</f>
        <v>0</v>
      </c>
      <c r="H52" s="29">
        <f>JUN!$CV$120</f>
        <v>0</v>
      </c>
      <c r="I52" s="29">
        <f>JULY!$CU$120</f>
        <v>0</v>
      </c>
      <c r="J52" s="29">
        <f>JULY!$CV$120</f>
        <v>0</v>
      </c>
      <c r="K52" s="29">
        <f>AUG!$CU$120</f>
        <v>0</v>
      </c>
      <c r="L52" s="29">
        <f>AUG!$CV$120</f>
        <v>0</v>
      </c>
      <c r="M52" s="29">
        <f>SEPT!$CU$120</f>
        <v>0</v>
      </c>
      <c r="N52" s="29">
        <f>SEPT!$CV$120</f>
        <v>0</v>
      </c>
      <c r="O52" s="29">
        <f>OCT!$CU$120</f>
        <v>0</v>
      </c>
      <c r="P52" s="29">
        <f>OCT!$CV$120</f>
        <v>0</v>
      </c>
      <c r="Q52" s="29">
        <f>NOV!$CU$120</f>
        <v>0</v>
      </c>
      <c r="R52" s="29">
        <f>NOV!$CV$120</f>
        <v>0</v>
      </c>
      <c r="S52" s="29">
        <f>DEC!$CU$120</f>
        <v>0</v>
      </c>
      <c r="T52" s="29">
        <f>DEC!$CV$120</f>
        <v>0</v>
      </c>
      <c r="U52" s="29">
        <f>JAN!$CU$120</f>
        <v>0</v>
      </c>
      <c r="V52" s="29">
        <f>JAN!$CV$120</f>
        <v>0</v>
      </c>
      <c r="W52" s="29">
        <f>FEB!$CU$120</f>
        <v>0</v>
      </c>
      <c r="X52" s="29">
        <f>FEB!$CV$120</f>
        <v>0</v>
      </c>
      <c r="Y52" s="29">
        <f>MAR!$CU$120</f>
        <v>0</v>
      </c>
      <c r="Z52" s="29">
        <f>MAR!$CV$120</f>
        <v>0</v>
      </c>
    </row>
    <row r="53" spans="2:26">
      <c r="B53" s="4" t="str">
        <f>APRIL!CW1</f>
        <v>S50</v>
      </c>
      <c r="C53" s="29">
        <f>APRIL!$CW$120</f>
        <v>0</v>
      </c>
      <c r="D53" s="29">
        <f>APRIL!$CX$120</f>
        <v>0</v>
      </c>
      <c r="E53" s="29">
        <f>MAY!$CW$120</f>
        <v>0</v>
      </c>
      <c r="F53" s="29">
        <f>MAY!$CX$120</f>
        <v>0</v>
      </c>
      <c r="G53" s="29">
        <f>JUN!$CW$120</f>
        <v>0</v>
      </c>
      <c r="H53" s="29">
        <f>JUN!$CX$120</f>
        <v>0</v>
      </c>
      <c r="I53" s="29">
        <f>JULY!$CW$120</f>
        <v>0</v>
      </c>
      <c r="J53" s="29">
        <f>JULY!$CX$120</f>
        <v>0</v>
      </c>
      <c r="K53" s="29">
        <f>AUG!$CW$120</f>
        <v>0</v>
      </c>
      <c r="L53" s="29">
        <f>AUG!$CX$120</f>
        <v>0</v>
      </c>
      <c r="M53" s="29">
        <f>SEPT!$CW$120</f>
        <v>0</v>
      </c>
      <c r="N53" s="29">
        <f>SEPT!$CX$120</f>
        <v>0</v>
      </c>
      <c r="O53" s="29">
        <f>OCT!$CW$120</f>
        <v>0</v>
      </c>
      <c r="P53" s="29">
        <f>OCT!$CX$120</f>
        <v>0</v>
      </c>
      <c r="Q53" s="29">
        <f>NOV!$CW$120</f>
        <v>0</v>
      </c>
      <c r="R53" s="29">
        <f>NOV!$CX$120</f>
        <v>0</v>
      </c>
      <c r="S53" s="29">
        <f>DEC!$CW$120</f>
        <v>0</v>
      </c>
      <c r="T53" s="29">
        <f>DEC!$CX$120</f>
        <v>0</v>
      </c>
      <c r="U53" s="29">
        <f>JAN!$CW$120</f>
        <v>0</v>
      </c>
      <c r="V53" s="29">
        <f>JAN!$CX$120</f>
        <v>0</v>
      </c>
      <c r="W53" s="29">
        <f>FEB!$CW$120</f>
        <v>0</v>
      </c>
      <c r="X53" s="29">
        <f>FEB!$CX$120</f>
        <v>0</v>
      </c>
      <c r="Y53" s="29">
        <f>MAR!$CW$120</f>
        <v>0</v>
      </c>
      <c r="Z53" s="29">
        <f>MAR!$CX$120</f>
        <v>0</v>
      </c>
    </row>
    <row r="54" spans="2:26">
      <c r="B54" s="4" t="s">
        <v>114</v>
      </c>
      <c r="C54" s="30">
        <f t="shared" ref="C54:Z54" si="0">SUM(C4:C53)</f>
        <v>78.719859850000006</v>
      </c>
      <c r="D54" s="30">
        <f t="shared" si="0"/>
        <v>86.807118199999977</v>
      </c>
      <c r="E54" s="30">
        <f t="shared" si="0"/>
        <v>0.79052860000000003</v>
      </c>
      <c r="F54" s="30">
        <f t="shared" si="0"/>
        <v>0.48580970000000007</v>
      </c>
      <c r="G54" s="30">
        <f t="shared" si="0"/>
        <v>0</v>
      </c>
      <c r="H54" s="30">
        <f t="shared" si="0"/>
        <v>0</v>
      </c>
      <c r="I54" s="30">
        <f t="shared" si="0"/>
        <v>0</v>
      </c>
      <c r="J54" s="30">
        <f t="shared" si="0"/>
        <v>0</v>
      </c>
      <c r="K54" s="30">
        <f t="shared" si="0"/>
        <v>0</v>
      </c>
      <c r="L54" s="30">
        <f t="shared" si="0"/>
        <v>0</v>
      </c>
      <c r="M54" s="30">
        <f t="shared" si="0"/>
        <v>0</v>
      </c>
      <c r="N54" s="30">
        <f t="shared" si="0"/>
        <v>0</v>
      </c>
      <c r="O54" s="30">
        <f t="shared" si="0"/>
        <v>0</v>
      </c>
      <c r="P54" s="30">
        <f t="shared" si="0"/>
        <v>0</v>
      </c>
      <c r="Q54" s="30">
        <f t="shared" si="0"/>
        <v>0</v>
      </c>
      <c r="R54" s="30">
        <f t="shared" si="0"/>
        <v>0</v>
      </c>
      <c r="S54" s="30">
        <f t="shared" si="0"/>
        <v>0</v>
      </c>
      <c r="T54" s="30">
        <f t="shared" si="0"/>
        <v>0</v>
      </c>
      <c r="U54" s="30">
        <f t="shared" si="0"/>
        <v>0</v>
      </c>
      <c r="V54" s="30">
        <f t="shared" si="0"/>
        <v>0</v>
      </c>
      <c r="W54" s="30">
        <f t="shared" si="0"/>
        <v>0</v>
      </c>
      <c r="X54" s="30">
        <f t="shared" si="0"/>
        <v>0</v>
      </c>
      <c r="Y54" s="30">
        <f t="shared" si="0"/>
        <v>0</v>
      </c>
      <c r="Z54" s="30">
        <f t="shared" si="0"/>
        <v>0</v>
      </c>
    </row>
  </sheetData>
  <sheetProtection formatCells="0" formatColumns="0" formatRows="0" autoFilter="0"/>
  <mergeCells count="13">
    <mergeCell ref="W2:X2"/>
    <mergeCell ref="Y2:Z2"/>
    <mergeCell ref="C1:Z1"/>
    <mergeCell ref="M2:N2"/>
    <mergeCell ref="O2:P2"/>
    <mergeCell ref="Q2:R2"/>
    <mergeCell ref="S2:T2"/>
    <mergeCell ref="U2:V2"/>
    <mergeCell ref="C2:D2"/>
    <mergeCell ref="E2:F2"/>
    <mergeCell ref="G2:H2"/>
    <mergeCell ref="I2:J2"/>
    <mergeCell ref="K2:L2"/>
  </mergeCells>
  <pageMargins left="0.69930555555555596" right="0.69930555555555596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 tint="0.39997558519241921"/>
  </sheetPr>
  <dimension ref="A1:M2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8" sqref="B8"/>
    </sheetView>
  </sheetViews>
  <sheetFormatPr defaultRowHeight="14.5"/>
  <cols>
    <col min="1" max="1" width="19.1796875" bestFit="1" customWidth="1"/>
  </cols>
  <sheetData>
    <row r="1" spans="1:13">
      <c r="B1" s="49" t="s">
        <v>113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>
      <c r="B2" s="21" t="s">
        <v>101</v>
      </c>
      <c r="C2" s="21" t="s">
        <v>102</v>
      </c>
      <c r="D2" s="21" t="s">
        <v>103</v>
      </c>
      <c r="E2" s="21" t="s">
        <v>104</v>
      </c>
      <c r="F2" s="21" t="s">
        <v>105</v>
      </c>
      <c r="G2" s="21" t="s">
        <v>106</v>
      </c>
      <c r="H2" s="21" t="s">
        <v>107</v>
      </c>
      <c r="I2" s="21" t="s">
        <v>108</v>
      </c>
      <c r="J2" s="21" t="s">
        <v>109</v>
      </c>
      <c r="K2" s="21" t="s">
        <v>110</v>
      </c>
      <c r="L2" s="21" t="s">
        <v>111</v>
      </c>
      <c r="M2" s="21" t="s">
        <v>112</v>
      </c>
    </row>
    <row r="3" spans="1:13">
      <c r="A3" s="22" t="s">
        <v>144</v>
      </c>
      <c r="B3" s="23">
        <f>(APRIL!CY110)/100000</f>
        <v>13.012021899999999</v>
      </c>
      <c r="C3" s="23">
        <f>(MAY!CY116)/100000</f>
        <v>0</v>
      </c>
      <c r="D3" s="23">
        <f>(JUN!CY116)/100000</f>
        <v>0</v>
      </c>
      <c r="E3" s="23">
        <f>(JULY!CY116)/100000</f>
        <v>0</v>
      </c>
      <c r="F3" s="23">
        <f>(AUG!CY116)/100000</f>
        <v>0</v>
      </c>
      <c r="G3" s="23">
        <f>(SEPT!CY116)/100000</f>
        <v>0</v>
      </c>
      <c r="H3" s="23">
        <f>(OCT!CY116)/100000</f>
        <v>0</v>
      </c>
      <c r="I3" s="23">
        <f>(NOV!CY116)/100000</f>
        <v>0</v>
      </c>
      <c r="J3" s="23">
        <f>(DEC!CY116)/100000</f>
        <v>0</v>
      </c>
      <c r="K3" s="23">
        <f>(JAN!CY116)/100000</f>
        <v>0</v>
      </c>
      <c r="L3" s="23">
        <f>(FEB!CY116)/100000</f>
        <v>0</v>
      </c>
      <c r="M3" s="23">
        <f>(MAR!CY116)/100000</f>
        <v>0</v>
      </c>
    </row>
    <row r="4" spans="1:13">
      <c r="A4" s="22" t="s">
        <v>76</v>
      </c>
      <c r="B4" s="23">
        <f>(APRIL!CY20)/100000</f>
        <v>17.918717100000002</v>
      </c>
      <c r="C4" s="23">
        <f>(MAY!CY25)/100000</f>
        <v>0</v>
      </c>
      <c r="D4" s="23">
        <f>(JUN!CY25)/100000</f>
        <v>0</v>
      </c>
      <c r="E4" s="23">
        <f>(JULY!CY25)/100000</f>
        <v>0</v>
      </c>
      <c r="F4" s="23">
        <f>(AUG!CY25)/100000</f>
        <v>0</v>
      </c>
      <c r="G4" s="23">
        <f>(SEPT!CY25)/100000</f>
        <v>0</v>
      </c>
      <c r="H4" s="23">
        <f>(OCT!CY25)/100000</f>
        <v>0</v>
      </c>
      <c r="I4" s="23">
        <f>(NOV!CY25)/100000</f>
        <v>0</v>
      </c>
      <c r="J4" s="23">
        <f>(DEC!CY25)/100000</f>
        <v>0</v>
      </c>
      <c r="K4" s="23">
        <f>(JAN!CY25)/100000</f>
        <v>0</v>
      </c>
      <c r="L4" s="23">
        <f>(FEB!CY25)/100000</f>
        <v>0</v>
      </c>
      <c r="M4" s="23">
        <f>(MAR!CY25)/100000</f>
        <v>0</v>
      </c>
    </row>
    <row r="5" spans="1:13">
      <c r="A5" s="22" t="s">
        <v>77</v>
      </c>
      <c r="B5" s="23">
        <f>(APRIL!CY49)/100000</f>
        <v>1.4893239999999999</v>
      </c>
      <c r="C5" s="23">
        <f>(MAY!CY54)/100000</f>
        <v>0</v>
      </c>
      <c r="D5" s="23">
        <f>(JUN!CY54)/100000</f>
        <v>0</v>
      </c>
      <c r="E5" s="23">
        <f>(JULY!CY54)/100000</f>
        <v>0</v>
      </c>
      <c r="F5" s="23">
        <f>(AUG!CY54)/100000</f>
        <v>0</v>
      </c>
      <c r="G5" s="23">
        <f>(SEPT!CY54)/100000</f>
        <v>0</v>
      </c>
      <c r="H5" s="23">
        <f>(OCT!CY54)/100000</f>
        <v>0</v>
      </c>
      <c r="I5" s="23">
        <f>(NOV!CY54)/100000</f>
        <v>0</v>
      </c>
      <c r="J5" s="23">
        <f>(DEC!CY54)/100000</f>
        <v>0</v>
      </c>
      <c r="K5" s="23">
        <f>(JAN!CY54)/100000</f>
        <v>0</v>
      </c>
      <c r="L5" s="23">
        <f>(FEB!CY54)/100000</f>
        <v>0</v>
      </c>
      <c r="M5" s="23">
        <f>(MAR!CY54)/100000</f>
        <v>0</v>
      </c>
    </row>
    <row r="6" spans="1:13">
      <c r="A6" s="22" t="s">
        <v>25</v>
      </c>
      <c r="B6" s="23">
        <f>(APRIL!CY37)/100000</f>
        <v>5.9998678000000005</v>
      </c>
      <c r="C6" s="23">
        <f>(MAY!CY42)/100000</f>
        <v>0</v>
      </c>
      <c r="D6" s="23">
        <f>(JUN!CY42)/100000</f>
        <v>0</v>
      </c>
      <c r="E6" s="23">
        <f>(JULY!CY42)/100000</f>
        <v>0</v>
      </c>
      <c r="F6" s="23">
        <f>(AUG!CY42)/100000</f>
        <v>0</v>
      </c>
      <c r="G6" s="23">
        <f>(SEPT!CY42)/100000</f>
        <v>0</v>
      </c>
      <c r="H6" s="23">
        <f>(OCT!CY42)/100000</f>
        <v>0</v>
      </c>
      <c r="I6" s="23">
        <f>(NOV!CY42)/100000</f>
        <v>0</v>
      </c>
      <c r="J6" s="23">
        <f>(DEC!CY42)/100000</f>
        <v>0</v>
      </c>
      <c r="K6" s="23">
        <f>(JAN!CY42)/100000</f>
        <v>0</v>
      </c>
      <c r="L6" s="23">
        <f>(FEB!CY42)/100000</f>
        <v>0</v>
      </c>
      <c r="M6" s="23">
        <f>(MAR!CY42)/100000</f>
        <v>0</v>
      </c>
    </row>
    <row r="7" spans="1:13">
      <c r="A7" s="34" t="s">
        <v>145</v>
      </c>
      <c r="B7" s="23">
        <f>APRIL!CY115/100000</f>
        <v>4.1177349999999997</v>
      </c>
      <c r="C7" s="23">
        <f>(MAY!CY119)/100000</f>
        <v>0</v>
      </c>
      <c r="D7" s="23">
        <f>(JUN!CY119)/100000</f>
        <v>0</v>
      </c>
      <c r="E7" s="23">
        <f>(JULY!CY119)/100000</f>
        <v>0</v>
      </c>
      <c r="F7" s="23">
        <f>(AUG!CY119)/100000</f>
        <v>0</v>
      </c>
      <c r="G7" s="23">
        <f>(SEPT!CY119)/100000</f>
        <v>0</v>
      </c>
      <c r="H7" s="23">
        <f>(OCT!CY119)/100000</f>
        <v>0</v>
      </c>
      <c r="I7" s="23">
        <f>(NOV!CY119)/100000</f>
        <v>0</v>
      </c>
      <c r="J7" s="23">
        <f>(DEC!CY119)/100000</f>
        <v>0</v>
      </c>
      <c r="K7" s="23">
        <f>(JAN!CY119)/100000</f>
        <v>0</v>
      </c>
      <c r="L7" s="23">
        <f>(FEB!CY119)/100000</f>
        <v>0</v>
      </c>
      <c r="M7" s="23">
        <f>(MAR!CY119)/100000</f>
        <v>0</v>
      </c>
    </row>
    <row r="8" spans="1:13">
      <c r="A8" s="22" t="s">
        <v>48</v>
      </c>
      <c r="B8" s="23">
        <f>(APRIL!CY71)/100000</f>
        <v>5.1495838000000003</v>
      </c>
      <c r="C8" s="23">
        <f>(MAY!CY75)/100000</f>
        <v>0</v>
      </c>
      <c r="D8" s="23">
        <f>(JUN!CY75)/100000</f>
        <v>0</v>
      </c>
      <c r="E8" s="23">
        <f>(JULY!CY75)/100000</f>
        <v>0</v>
      </c>
      <c r="F8" s="23">
        <f>(AUG!CY75)/100000</f>
        <v>0</v>
      </c>
      <c r="G8" s="23">
        <f>(SEPT!CY75)/100000</f>
        <v>0</v>
      </c>
      <c r="H8" s="23">
        <f>(OCT!CY75)/100000</f>
        <v>0</v>
      </c>
      <c r="I8" s="23">
        <f>(NOV!CY75)/100000</f>
        <v>0</v>
      </c>
      <c r="J8" s="23">
        <f>(DEC!CY75)/100000</f>
        <v>0</v>
      </c>
      <c r="K8" s="23">
        <f>(JAN!CY75)/100000</f>
        <v>0</v>
      </c>
      <c r="L8" s="23">
        <f>(FEB!CY75)/100000</f>
        <v>0</v>
      </c>
      <c r="M8" s="23">
        <f>(MAR!CY75)/100000</f>
        <v>0</v>
      </c>
    </row>
    <row r="9" spans="1:13">
      <c r="A9" s="22" t="s">
        <v>9</v>
      </c>
      <c r="B9" s="23">
        <f>(APRIL!CY10)/100000</f>
        <v>4.6524861</v>
      </c>
      <c r="C9" s="23">
        <f>(MAY!CY10)/100000</f>
        <v>0.1136673</v>
      </c>
      <c r="D9" s="23">
        <f>(JUN!CY10)/100000</f>
        <v>0</v>
      </c>
      <c r="E9" s="23">
        <f>(JULY!CY10)/100000</f>
        <v>0</v>
      </c>
      <c r="F9" s="23">
        <f>(AUG!CY10)/100000</f>
        <v>0</v>
      </c>
      <c r="G9" s="23">
        <f>(SEPT!CY10)/100000</f>
        <v>0</v>
      </c>
      <c r="H9" s="23">
        <f>(OCT!CY10)/100000</f>
        <v>0</v>
      </c>
      <c r="I9" s="23">
        <f>(NOV!CY10)/100000</f>
        <v>0</v>
      </c>
      <c r="J9" s="23">
        <f>(DEC!CY10)/100000</f>
        <v>0</v>
      </c>
      <c r="K9" s="23">
        <f>(JAN!CY10)/100000</f>
        <v>0</v>
      </c>
      <c r="L9" s="23">
        <f>(FEB!CY10)/100000</f>
        <v>0</v>
      </c>
      <c r="M9" s="23">
        <f>(MAR!CY10)/100000</f>
        <v>0</v>
      </c>
    </row>
    <row r="10" spans="1:13">
      <c r="A10" s="22" t="s">
        <v>28</v>
      </c>
      <c r="B10" s="23">
        <f>(APRIL!CY40)/100000</f>
        <v>0.73518419999999995</v>
      </c>
      <c r="C10" s="23">
        <f>(MAY!CY45)/100000</f>
        <v>0</v>
      </c>
      <c r="D10" s="23">
        <f>(JUN!CY45)/100000</f>
        <v>0</v>
      </c>
      <c r="E10" s="23">
        <f>(JULY!CY45)/100000</f>
        <v>0</v>
      </c>
      <c r="F10" s="23">
        <f>(AUG!CY45)/100000</f>
        <v>0</v>
      </c>
      <c r="G10" s="23">
        <f>(SEPT!CY45)/100000</f>
        <v>0</v>
      </c>
      <c r="H10" s="23">
        <f>(OCT!CY45)/100000</f>
        <v>0</v>
      </c>
      <c r="I10" s="23">
        <f>(NOV!CY45)/100000</f>
        <v>0</v>
      </c>
      <c r="J10" s="23">
        <f>(DEC!CY45)/100000</f>
        <v>0</v>
      </c>
      <c r="K10" s="23">
        <f>(JAN!CY45)/100000</f>
        <v>0</v>
      </c>
      <c r="L10" s="23">
        <f>(FEB!CY45)/100000</f>
        <v>0</v>
      </c>
      <c r="M10" s="23">
        <f>(MAR!CY45)/100000</f>
        <v>0</v>
      </c>
    </row>
    <row r="11" spans="1:13">
      <c r="A11" s="22" t="s">
        <v>35</v>
      </c>
      <c r="B11" s="23">
        <f>(APRIL!CY47)/100000</f>
        <v>6.2647269999999997</v>
      </c>
      <c r="C11" s="23">
        <f>(MAY!CY52)/100000</f>
        <v>0</v>
      </c>
      <c r="D11" s="23">
        <f>(JUN!CY52)/100000</f>
        <v>0</v>
      </c>
      <c r="E11" s="23">
        <f>(JULY!CY52)/100000</f>
        <v>0</v>
      </c>
      <c r="F11" s="23">
        <f>(AUG!CY52)/100000</f>
        <v>0</v>
      </c>
      <c r="G11" s="23">
        <f>(SEPT!CY52)/100000</f>
        <v>0</v>
      </c>
      <c r="H11" s="23">
        <f>(OCT!CY52)/100000</f>
        <v>0</v>
      </c>
      <c r="I11" s="23">
        <f>(NOV!CY52)/100000</f>
        <v>0</v>
      </c>
      <c r="J11" s="23">
        <f>(DEC!CY52)/100000</f>
        <v>0</v>
      </c>
      <c r="K11" s="23">
        <f>(JAN!CY52)/100000</f>
        <v>0</v>
      </c>
      <c r="L11" s="23">
        <f>(FEB!CY52)/100000</f>
        <v>0</v>
      </c>
      <c r="M11" s="23">
        <f>(MAR!CY52)/100000</f>
        <v>0</v>
      </c>
    </row>
    <row r="12" spans="1:13">
      <c r="A12" s="22" t="s">
        <v>89</v>
      </c>
      <c r="B12" s="23">
        <f>(APRIL!CY53)/100000</f>
        <v>0.55703340000000001</v>
      </c>
      <c r="C12" s="23">
        <f>(MAY!CY58)/100000</f>
        <v>0</v>
      </c>
      <c r="D12" s="23">
        <f>(JUN!CY58)/100000</f>
        <v>0</v>
      </c>
      <c r="E12" s="23">
        <f>(JULY!CY58)/100000</f>
        <v>0</v>
      </c>
      <c r="F12" s="23">
        <f>(AUG!CY58)/100000</f>
        <v>0</v>
      </c>
      <c r="G12" s="23">
        <f>(SEPT!CY58)/100000</f>
        <v>0</v>
      </c>
      <c r="H12" s="23">
        <f>(OCT!CY58)/100000</f>
        <v>0</v>
      </c>
      <c r="I12" s="23">
        <f>(NOV!CY58)/100000</f>
        <v>0</v>
      </c>
      <c r="J12" s="23">
        <f>(DEC!CY58)/100000</f>
        <v>0</v>
      </c>
      <c r="K12" s="23">
        <f>(JAN!CY58)/100000</f>
        <v>0</v>
      </c>
      <c r="L12" s="23">
        <f>(FEB!CY58)/100000</f>
        <v>0</v>
      </c>
      <c r="M12" s="23">
        <f>(MAR!CY58)/100000</f>
        <v>0</v>
      </c>
    </row>
    <row r="13" spans="1:13">
      <c r="A13" s="22" t="s">
        <v>70</v>
      </c>
      <c r="B13" s="23">
        <f>(APRIL!CY99)/100000</f>
        <v>2.3214091999999997</v>
      </c>
      <c r="C13" s="23">
        <f>(MAY!CY105)/100000</f>
        <v>0</v>
      </c>
      <c r="D13" s="23">
        <f>(JUN!CY105)/100000</f>
        <v>0</v>
      </c>
      <c r="E13" s="23">
        <f>(JULY!CY105)/100000</f>
        <v>0</v>
      </c>
      <c r="F13" s="23">
        <f>(AUG!CY105)/100000</f>
        <v>0</v>
      </c>
      <c r="G13" s="23">
        <f>(SEPT!CY105)/100000</f>
        <v>0</v>
      </c>
      <c r="H13" s="23">
        <f>(OCT!CY105)/100000</f>
        <v>0</v>
      </c>
      <c r="I13" s="23">
        <f>(NOV!CY105)/100000</f>
        <v>0</v>
      </c>
      <c r="J13" s="23">
        <f>(DEC!CY105)/100000</f>
        <v>0</v>
      </c>
      <c r="K13" s="23">
        <f>(JAN!CY105)/100000</f>
        <v>0</v>
      </c>
      <c r="L13" s="23">
        <f>(FEB!CY105)/100000</f>
        <v>0</v>
      </c>
      <c r="M13" s="23">
        <f>(MAR!CY105)/100000</f>
        <v>0</v>
      </c>
    </row>
    <row r="14" spans="1:13">
      <c r="A14" s="22" t="s">
        <v>88</v>
      </c>
      <c r="B14" s="23">
        <f>(APRIL!CY88)/100000</f>
        <v>3.4168999000000007</v>
      </c>
      <c r="C14" s="23">
        <f>(MAY!CY91)/100000</f>
        <v>0</v>
      </c>
      <c r="D14" s="23">
        <f>(JUN!CY91)/100000</f>
        <v>0</v>
      </c>
      <c r="E14" s="23">
        <f>(JULY!CY91)/100000</f>
        <v>0</v>
      </c>
      <c r="F14" s="23">
        <f>(AUG!CY91)/100000</f>
        <v>0</v>
      </c>
      <c r="G14" s="23">
        <f>(SEPT!CY91)/100000</f>
        <v>0</v>
      </c>
      <c r="H14" s="23">
        <f>(OCT!CY91)/100000</f>
        <v>0</v>
      </c>
      <c r="I14" s="23">
        <f>(NOV!CY91)/100000</f>
        <v>0</v>
      </c>
      <c r="J14" s="23">
        <f>(DEC!CY91)/100000</f>
        <v>0</v>
      </c>
      <c r="K14" s="23">
        <f>(JAN!CY91)/100000</f>
        <v>0</v>
      </c>
      <c r="L14" s="23">
        <f>(FEB!CY91)/100000</f>
        <v>0</v>
      </c>
      <c r="M14" s="23">
        <f>(MAR!CY91)/100000</f>
        <v>0</v>
      </c>
    </row>
    <row r="15" spans="1:13">
      <c r="A15" s="22" t="s">
        <v>22</v>
      </c>
      <c r="B15" s="23">
        <f>(APRIL!CY34)/100000</f>
        <v>2.8215481999999996</v>
      </c>
      <c r="C15" s="23">
        <f>(MAY!CY39)/100000</f>
        <v>0</v>
      </c>
      <c r="D15" s="23">
        <f>(JUN!CY39)/100000</f>
        <v>0</v>
      </c>
      <c r="E15" s="23">
        <f>(JULY!CY39)/100000</f>
        <v>0</v>
      </c>
      <c r="F15" s="23">
        <f>(AUG!CY39)/100000</f>
        <v>0</v>
      </c>
      <c r="G15" s="23">
        <f>(SEPT!CY39)/100000</f>
        <v>0</v>
      </c>
      <c r="H15" s="23">
        <f>(OCT!CY39)/100000</f>
        <v>0</v>
      </c>
      <c r="I15" s="23">
        <f>(NOV!CY39)/100000</f>
        <v>0</v>
      </c>
      <c r="J15" s="23">
        <f>(DEC!CY39)/100000</f>
        <v>0</v>
      </c>
      <c r="K15" s="23">
        <f>(JAN!CY39)/100000</f>
        <v>0</v>
      </c>
      <c r="L15" s="23">
        <f>(FEB!CY39)/100000</f>
        <v>0</v>
      </c>
      <c r="M15" s="23">
        <f>(MAR!CY39)/100000</f>
        <v>0</v>
      </c>
    </row>
    <row r="16" spans="1:13">
      <c r="A16" s="22" t="s">
        <v>56</v>
      </c>
      <c r="B16" s="23">
        <f>(APRIL!CY79)/100000</f>
        <v>5.6748369500000004</v>
      </c>
      <c r="C16" s="23">
        <f>(MAY!CY82)/100000</f>
        <v>0</v>
      </c>
      <c r="D16" s="23">
        <f>(JUN!CY82)/100000</f>
        <v>0</v>
      </c>
      <c r="E16" s="23">
        <f>(JULY!CY82)/100000</f>
        <v>0</v>
      </c>
      <c r="F16" s="23">
        <f>(AUG!CY82)/100000</f>
        <v>0</v>
      </c>
      <c r="G16" s="23">
        <f>(SEPT!CY82)/100000</f>
        <v>0</v>
      </c>
      <c r="H16" s="23">
        <f>(OCT!CY82)/100000</f>
        <v>0</v>
      </c>
      <c r="I16" s="23">
        <f>(NOV!CY82)/100000</f>
        <v>0</v>
      </c>
      <c r="J16" s="23">
        <f>(DEC!CY82)/100000</f>
        <v>0</v>
      </c>
      <c r="K16" s="23">
        <f>(JAN!CY82)/100000</f>
        <v>0</v>
      </c>
      <c r="L16" s="23">
        <f>(FEB!CY82)/100000</f>
        <v>0</v>
      </c>
      <c r="M16" s="23">
        <f>(MAR!CY82)/100000</f>
        <v>0</v>
      </c>
    </row>
    <row r="17" spans="1:13">
      <c r="A17" s="22" t="s">
        <v>41</v>
      </c>
      <c r="B17" s="23">
        <f>(APRIL!CY59)/100000</f>
        <v>3.1552137</v>
      </c>
      <c r="C17" s="23">
        <f>(MAY!CY64)/100000</f>
        <v>0</v>
      </c>
      <c r="D17" s="23">
        <f>(JUN!CY64)/100000</f>
        <v>0</v>
      </c>
      <c r="E17" s="23">
        <f>(JULY!CY64)/100000</f>
        <v>0</v>
      </c>
      <c r="F17" s="23">
        <f>(AUG!CY64)/100000</f>
        <v>0</v>
      </c>
      <c r="G17" s="23">
        <f>(SEPT!CY64)/100000</f>
        <v>0</v>
      </c>
      <c r="H17" s="23">
        <f>(OCT!CY64)/100000</f>
        <v>0</v>
      </c>
      <c r="I17" s="23">
        <f>(NOV!CY64)/100000</f>
        <v>0</v>
      </c>
      <c r="J17" s="23">
        <f>(DEC!CY64)/100000</f>
        <v>0</v>
      </c>
      <c r="K17" s="23">
        <f>(JAN!CY64)/100000</f>
        <v>0</v>
      </c>
      <c r="L17" s="23">
        <f>(FEB!CY64)/100000</f>
        <v>0</v>
      </c>
      <c r="M17" s="23">
        <f>(MAR!CY64)/100000</f>
        <v>0</v>
      </c>
    </row>
    <row r="18" spans="1:13">
      <c r="A18" s="22" t="s">
        <v>66</v>
      </c>
      <c r="B18" s="23">
        <f>(APRIL!CY92)/100000</f>
        <v>0.24216910000000003</v>
      </c>
      <c r="C18" s="23">
        <f>(MAY!CY95)/100000</f>
        <v>0</v>
      </c>
      <c r="D18" s="23">
        <f>(JUN!CY95)/100000</f>
        <v>0</v>
      </c>
      <c r="E18" s="23">
        <f>(JULY!CY95)/100000</f>
        <v>0</v>
      </c>
      <c r="F18" s="23">
        <f>(AUG!CY95)/100000</f>
        <v>0</v>
      </c>
      <c r="G18" s="23">
        <f>(SEPT!CY95)/100000</f>
        <v>0</v>
      </c>
      <c r="H18" s="23">
        <f>(OCT!CY95)/100000</f>
        <v>0</v>
      </c>
      <c r="I18" s="23">
        <f>(NOV!CY95)/100000</f>
        <v>0</v>
      </c>
      <c r="J18" s="23">
        <f>(DEC!CY95)/100000</f>
        <v>0</v>
      </c>
      <c r="K18" s="23">
        <f>(JAN!CY95)/100000</f>
        <v>0</v>
      </c>
      <c r="L18" s="23">
        <f>(FEB!CY95)/100000</f>
        <v>0</v>
      </c>
      <c r="M18" s="23">
        <f>(MAR!CY95)/100000</f>
        <v>0</v>
      </c>
    </row>
    <row r="19" spans="1:13">
      <c r="A19" s="22" t="s">
        <v>15</v>
      </c>
      <c r="B19" s="23">
        <f>(APRIL!CY27)/100000</f>
        <v>0.52561000000000002</v>
      </c>
      <c r="C19" s="23">
        <f>(MAY!CY32)/100000</f>
        <v>0</v>
      </c>
      <c r="D19" s="23">
        <f>(JUN!CY32)/100000</f>
        <v>0</v>
      </c>
      <c r="E19" s="23">
        <f>(JULY!CY32)/100000</f>
        <v>0</v>
      </c>
      <c r="F19" s="23">
        <f>(AUG!CY32)/100000</f>
        <v>0</v>
      </c>
      <c r="G19" s="23">
        <f>(SEPT!CY32)/100000</f>
        <v>0</v>
      </c>
      <c r="H19" s="23">
        <f>(OCT!CY32)/100000</f>
        <v>0</v>
      </c>
      <c r="I19" s="23">
        <f>(NOV!CY32)/100000</f>
        <v>0</v>
      </c>
      <c r="J19" s="23">
        <f>(DEC!CY32)/100000</f>
        <v>0</v>
      </c>
      <c r="K19" s="23">
        <f>(JAN!CY32)/100000</f>
        <v>0</v>
      </c>
      <c r="L19" s="23">
        <f>(FEB!CY32)/100000</f>
        <v>0</v>
      </c>
      <c r="M19" s="23">
        <f>(MAR!CY32)/100000</f>
        <v>0</v>
      </c>
    </row>
    <row r="20" spans="1:13">
      <c r="A20" s="22" t="s">
        <v>69</v>
      </c>
      <c r="B20" s="23">
        <f>(APRIL!CY95)/100000</f>
        <v>0.21726879999999998</v>
      </c>
      <c r="C20" s="23">
        <f>(MAY!CY98)/100000</f>
        <v>0</v>
      </c>
      <c r="D20" s="23">
        <f>(JUN!CY98)/100000</f>
        <v>0</v>
      </c>
      <c r="E20" s="23">
        <f>(JULY!CY98)/100000</f>
        <v>0</v>
      </c>
      <c r="F20" s="23">
        <f>(AUG!CY98)/100000</f>
        <v>0</v>
      </c>
      <c r="G20" s="23">
        <f>(SEPT!CY98)/100000</f>
        <v>0</v>
      </c>
      <c r="H20" s="23">
        <f>(OCT!CY98)/100000</f>
        <v>0</v>
      </c>
      <c r="I20" s="23">
        <f>(NOV!CY98)/100000</f>
        <v>0</v>
      </c>
      <c r="J20" s="23">
        <f>(DEC!CY98)/100000</f>
        <v>0</v>
      </c>
      <c r="K20" s="23">
        <f>(JAN!CY98)/100000</f>
        <v>0</v>
      </c>
      <c r="L20" s="23">
        <f>(FEB!CY98)/100000</f>
        <v>0</v>
      </c>
      <c r="M20" s="23">
        <f>(MAR!CY98)/100000</f>
        <v>0</v>
      </c>
    </row>
    <row r="21" spans="1:13">
      <c r="A21" s="22" t="s">
        <v>12</v>
      </c>
      <c r="B21" s="23">
        <f>(APRIL!CY24)/100000</f>
        <v>0.14818620000000002</v>
      </c>
      <c r="C21" s="23">
        <f>(MAY!CY29)/100000</f>
        <v>0</v>
      </c>
      <c r="D21" s="23">
        <f>(JUN!CY29)/100000</f>
        <v>0</v>
      </c>
      <c r="E21" s="23">
        <f>(JULY!CY29)/100000</f>
        <v>0</v>
      </c>
      <c r="F21" s="23">
        <f>(AUG!CY29)/100000</f>
        <v>0</v>
      </c>
      <c r="G21" s="23">
        <f>(SEPT!CY29)/100000</f>
        <v>0</v>
      </c>
      <c r="H21" s="23">
        <f>(OCT!CY29)/100000</f>
        <v>0</v>
      </c>
      <c r="I21" s="23">
        <f>(NOV!CY29)/100000</f>
        <v>0</v>
      </c>
      <c r="J21" s="23">
        <f>(DEC!CY29)/100000</f>
        <v>0</v>
      </c>
      <c r="K21" s="23">
        <f>(JAN!CY29)/100000</f>
        <v>0</v>
      </c>
      <c r="L21" s="23">
        <f>(FEB!CY29)/100000</f>
        <v>0</v>
      </c>
      <c r="M21" s="23">
        <f>(MAR!CY29)/100000</f>
        <v>0</v>
      </c>
    </row>
    <row r="22" spans="1:13">
      <c r="A22" s="22" t="s">
        <v>58</v>
      </c>
      <c r="B22" s="23">
        <f>(APRIL!CY81)/100000</f>
        <v>0.30003750000000001</v>
      </c>
      <c r="C22" s="23">
        <f>(MAY!CY84)/100000</f>
        <v>0</v>
      </c>
      <c r="D22" s="23">
        <f>(JUN!CY84)/100000</f>
        <v>0</v>
      </c>
      <c r="E22" s="23">
        <f>(JULY!CY84)/100000</f>
        <v>0</v>
      </c>
      <c r="F22" s="23">
        <f>(AUG!CY84)/100000</f>
        <v>0</v>
      </c>
      <c r="G22" s="23">
        <f>(SEPT!CY84)/100000</f>
        <v>0</v>
      </c>
      <c r="H22" s="23">
        <f>(OCT!CY84)/100000</f>
        <v>0</v>
      </c>
      <c r="I22" s="23">
        <f>(NOV!CY84)/100000</f>
        <v>0</v>
      </c>
      <c r="J22" s="23">
        <f>(DEC!CY84)/100000</f>
        <v>0</v>
      </c>
      <c r="K22" s="23">
        <f>(JAN!CY84)/100000</f>
        <v>0</v>
      </c>
      <c r="L22" s="23">
        <f>(FEB!CY84)/100000</f>
        <v>0</v>
      </c>
      <c r="M22" s="23">
        <f>(MAR!CY84)/100000</f>
        <v>0</v>
      </c>
    </row>
    <row r="23" spans="1:13">
      <c r="A23" s="24" t="s">
        <v>115</v>
      </c>
      <c r="B23" s="25">
        <f>SUM(B3:B22)</f>
        <v>78.719859849999992</v>
      </c>
      <c r="C23" s="25">
        <f t="shared" ref="C23:M23" si="0">SUM(C3:C22)</f>
        <v>0.1136673</v>
      </c>
      <c r="D23" s="25">
        <f t="shared" si="0"/>
        <v>0</v>
      </c>
      <c r="E23" s="25">
        <f t="shared" si="0"/>
        <v>0</v>
      </c>
      <c r="F23" s="25">
        <f t="shared" si="0"/>
        <v>0</v>
      </c>
      <c r="G23" s="25">
        <f t="shared" si="0"/>
        <v>0</v>
      </c>
      <c r="H23" s="25">
        <f t="shared" si="0"/>
        <v>0</v>
      </c>
      <c r="I23" s="25">
        <f t="shared" si="0"/>
        <v>0</v>
      </c>
      <c r="J23" s="25">
        <f t="shared" si="0"/>
        <v>0</v>
      </c>
      <c r="K23" s="25">
        <f t="shared" si="0"/>
        <v>0</v>
      </c>
      <c r="L23" s="25">
        <f t="shared" si="0"/>
        <v>0</v>
      </c>
      <c r="M23" s="25">
        <f t="shared" si="0"/>
        <v>0</v>
      </c>
    </row>
  </sheetData>
  <sheetProtection formatCells="0" sort="0" autoFilter="0"/>
  <mergeCells count="1">
    <mergeCell ref="B1:M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2:O109"/>
  <sheetViews>
    <sheetView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A12" sqref="A12"/>
    </sheetView>
  </sheetViews>
  <sheetFormatPr defaultColWidth="9" defaultRowHeight="14.5"/>
  <cols>
    <col min="1" max="1" width="31.54296875" customWidth="1"/>
    <col min="3" max="3" width="15.54296875" customWidth="1"/>
    <col min="4" max="4" width="13.54296875" customWidth="1"/>
  </cols>
  <sheetData>
    <row r="2" spans="1:15">
      <c r="A2" s="1" t="s">
        <v>72</v>
      </c>
      <c r="B2" s="1" t="s">
        <v>73</v>
      </c>
      <c r="C2" s="1" t="s">
        <v>74</v>
      </c>
      <c r="D2" s="1" t="s">
        <v>75</v>
      </c>
    </row>
    <row r="3" spans="1:15">
      <c r="A3" s="26" t="s">
        <v>3</v>
      </c>
      <c r="B3" s="27">
        <v>244.69</v>
      </c>
      <c r="C3" s="27">
        <v>186.43</v>
      </c>
      <c r="D3" s="27">
        <v>167.79</v>
      </c>
      <c r="O3" s="31"/>
    </row>
    <row r="4" spans="1:15">
      <c r="A4" s="26" t="s">
        <v>78</v>
      </c>
      <c r="B4" s="27">
        <v>250.31</v>
      </c>
      <c r="C4" s="27">
        <v>190.71</v>
      </c>
      <c r="D4" s="27">
        <v>171.64</v>
      </c>
      <c r="O4" s="31"/>
    </row>
    <row r="5" spans="1:15">
      <c r="A5" s="26" t="s">
        <v>4</v>
      </c>
      <c r="B5" s="27">
        <v>175</v>
      </c>
      <c r="C5" s="27">
        <v>125</v>
      </c>
      <c r="D5" s="27">
        <v>112.5</v>
      </c>
      <c r="O5" s="31"/>
    </row>
    <row r="6" spans="1:15">
      <c r="A6" s="26" t="s">
        <v>5</v>
      </c>
      <c r="B6" s="27">
        <v>186.48</v>
      </c>
      <c r="C6" s="27">
        <v>142.08000000000001</v>
      </c>
      <c r="D6" s="27">
        <v>127.87</v>
      </c>
      <c r="O6" s="31"/>
    </row>
    <row r="7" spans="1:15">
      <c r="A7" s="26" t="s">
        <v>6</v>
      </c>
      <c r="B7" s="27">
        <v>129.36000000000001</v>
      </c>
      <c r="C7" s="27">
        <v>98.56</v>
      </c>
      <c r="D7" s="27">
        <v>88.7</v>
      </c>
      <c r="O7" s="31"/>
    </row>
    <row r="8" spans="1:15">
      <c r="A8" s="26" t="s">
        <v>7</v>
      </c>
      <c r="B8" s="27">
        <v>315</v>
      </c>
      <c r="C8" s="27">
        <v>240</v>
      </c>
      <c r="D8" s="27">
        <v>216</v>
      </c>
      <c r="O8" s="31"/>
    </row>
    <row r="9" spans="1:15">
      <c r="A9" s="26" t="s">
        <v>8</v>
      </c>
      <c r="B9" s="27">
        <v>239.06</v>
      </c>
      <c r="C9" s="27">
        <v>182.14</v>
      </c>
      <c r="D9" s="27">
        <v>163.93</v>
      </c>
      <c r="O9" s="31"/>
    </row>
    <row r="10" spans="1:15">
      <c r="A10" s="26" t="s">
        <v>128</v>
      </c>
      <c r="B10" s="27">
        <v>156.19999999999999</v>
      </c>
      <c r="C10" s="27">
        <v>119.01</v>
      </c>
      <c r="D10" s="27">
        <v>107.11</v>
      </c>
      <c r="O10" s="31"/>
    </row>
    <row r="11" spans="1:15">
      <c r="A11" s="26" t="s">
        <v>129</v>
      </c>
      <c r="B11" s="27">
        <v>299.06</v>
      </c>
      <c r="C11" s="27">
        <v>227.86</v>
      </c>
      <c r="D11" s="27">
        <v>205.07</v>
      </c>
      <c r="O11" s="31"/>
    </row>
    <row r="12" spans="1:15">
      <c r="A12" t="s">
        <v>130</v>
      </c>
      <c r="B12" s="27">
        <v>470.63</v>
      </c>
      <c r="C12" s="27">
        <v>358.57</v>
      </c>
      <c r="D12" s="27">
        <v>322.70999999999998</v>
      </c>
      <c r="O12" s="31"/>
    </row>
    <row r="13" spans="1:15">
      <c r="A13" s="26" t="s">
        <v>127</v>
      </c>
      <c r="B13" s="27">
        <v>630.29999999999995</v>
      </c>
      <c r="C13" s="27">
        <v>480.23</v>
      </c>
      <c r="D13" s="27">
        <v>432.21</v>
      </c>
      <c r="O13" s="31"/>
    </row>
    <row r="14" spans="1:15">
      <c r="A14" s="26" t="s">
        <v>79</v>
      </c>
      <c r="B14" s="27">
        <v>160.78</v>
      </c>
      <c r="C14" s="27">
        <v>122.5</v>
      </c>
      <c r="D14" s="27">
        <v>110.25</v>
      </c>
      <c r="O14" s="31"/>
    </row>
    <row r="15" spans="1:15">
      <c r="A15" s="26" t="s">
        <v>124</v>
      </c>
      <c r="B15" s="27">
        <v>944.06</v>
      </c>
      <c r="C15" s="27">
        <v>719.29</v>
      </c>
      <c r="D15" s="27">
        <v>647.36</v>
      </c>
      <c r="O15" s="31"/>
    </row>
    <row r="16" spans="1:15">
      <c r="A16" s="26" t="s">
        <v>118</v>
      </c>
      <c r="B16" s="27">
        <v>397</v>
      </c>
      <c r="C16" s="27">
        <v>302.48</v>
      </c>
      <c r="D16" s="27">
        <v>272.23</v>
      </c>
      <c r="O16" s="31"/>
    </row>
    <row r="17" spans="1:15">
      <c r="A17" s="26" t="s">
        <v>119</v>
      </c>
      <c r="B17" s="27">
        <v>514.45000000000005</v>
      </c>
      <c r="C17" s="27">
        <v>391.96</v>
      </c>
      <c r="D17" s="27">
        <v>352.76</v>
      </c>
      <c r="O17" s="31"/>
    </row>
    <row r="18" spans="1:15">
      <c r="A18" s="26" t="s">
        <v>120</v>
      </c>
      <c r="B18" s="27">
        <v>200.63</v>
      </c>
      <c r="C18" s="27">
        <v>152.86000000000001</v>
      </c>
      <c r="D18" s="27">
        <v>137.57</v>
      </c>
      <c r="O18" s="31"/>
    </row>
    <row r="19" spans="1:15">
      <c r="A19" s="26" t="s">
        <v>80</v>
      </c>
      <c r="B19" s="27">
        <v>187.95</v>
      </c>
      <c r="C19" s="27">
        <v>143.19999999999999</v>
      </c>
      <c r="D19" s="27">
        <v>128.88</v>
      </c>
      <c r="O19" s="31"/>
    </row>
    <row r="20" spans="1:15">
      <c r="A20" s="26" t="s">
        <v>10</v>
      </c>
      <c r="B20" s="27">
        <v>175.77</v>
      </c>
      <c r="C20" s="27">
        <v>133.91999999999999</v>
      </c>
      <c r="D20" s="27">
        <v>120.53</v>
      </c>
      <c r="O20" s="31"/>
    </row>
    <row r="21" spans="1:15">
      <c r="A21" s="26" t="s">
        <v>11</v>
      </c>
      <c r="B21" s="27">
        <v>210.42</v>
      </c>
      <c r="C21" s="27">
        <v>160.32</v>
      </c>
      <c r="D21" s="27">
        <v>144.29</v>
      </c>
      <c r="O21" s="31"/>
    </row>
    <row r="22" spans="1:15">
      <c r="A22" s="26" t="s">
        <v>146</v>
      </c>
      <c r="B22" s="27">
        <v>45.64</v>
      </c>
      <c r="C22" s="27">
        <v>34.770000000000003</v>
      </c>
      <c r="D22" s="27">
        <v>31.29</v>
      </c>
      <c r="O22" s="31"/>
    </row>
    <row r="23" spans="1:15">
      <c r="A23" s="26" t="s">
        <v>147</v>
      </c>
      <c r="B23" s="27">
        <v>99.69</v>
      </c>
      <c r="C23" s="27">
        <v>75.959999999999994</v>
      </c>
      <c r="D23" s="27">
        <v>68.36</v>
      </c>
      <c r="O23" s="31"/>
    </row>
    <row r="24" spans="1:15">
      <c r="A24" s="26" t="s">
        <v>148</v>
      </c>
      <c r="B24" s="27">
        <v>307.3</v>
      </c>
      <c r="C24" s="27">
        <v>234.13</v>
      </c>
      <c r="D24" s="27">
        <v>210.72</v>
      </c>
      <c r="O24" s="31"/>
    </row>
    <row r="25" spans="1:15">
      <c r="A25" s="26" t="s">
        <v>149</v>
      </c>
      <c r="B25" s="27">
        <v>263.81</v>
      </c>
      <c r="C25" s="27">
        <v>201</v>
      </c>
      <c r="D25" s="27">
        <v>180.9</v>
      </c>
      <c r="O25" s="31"/>
    </row>
    <row r="26" spans="1:15">
      <c r="A26" s="26" t="s">
        <v>134</v>
      </c>
      <c r="B26" s="27">
        <v>76.5</v>
      </c>
      <c r="C26" s="27">
        <v>58.29</v>
      </c>
      <c r="D26" s="27">
        <v>52.46</v>
      </c>
      <c r="O26" s="31"/>
    </row>
    <row r="27" spans="1:15">
      <c r="A27" s="26" t="s">
        <v>135</v>
      </c>
      <c r="B27" s="27">
        <v>130.69999999999999</v>
      </c>
      <c r="C27" s="27">
        <v>99.58</v>
      </c>
      <c r="D27" s="27">
        <v>89.62</v>
      </c>
      <c r="O27" s="31"/>
    </row>
    <row r="28" spans="1:15">
      <c r="A28" s="26" t="s">
        <v>136</v>
      </c>
      <c r="B28" s="27">
        <v>121.64</v>
      </c>
      <c r="C28" s="27">
        <v>92.68</v>
      </c>
      <c r="D28" s="27">
        <v>83.41</v>
      </c>
      <c r="O28" s="31"/>
    </row>
    <row r="29" spans="1:15">
      <c r="A29" s="26" t="s">
        <v>137</v>
      </c>
      <c r="B29" s="27">
        <v>159.80000000000001</v>
      </c>
      <c r="C29" s="27">
        <v>121.75</v>
      </c>
      <c r="D29" s="27">
        <v>109.58</v>
      </c>
      <c r="O29" s="31"/>
    </row>
    <row r="30" spans="1:15">
      <c r="A30" s="26" t="s">
        <v>138</v>
      </c>
      <c r="B30" s="27">
        <v>140.63</v>
      </c>
      <c r="C30" s="27">
        <v>107.14</v>
      </c>
      <c r="D30" s="27">
        <v>96.43</v>
      </c>
      <c r="O30" s="31"/>
    </row>
    <row r="31" spans="1:15">
      <c r="A31" s="26" t="s">
        <v>139</v>
      </c>
      <c r="B31" s="27">
        <v>180</v>
      </c>
      <c r="C31" s="27">
        <v>137.13999999999999</v>
      </c>
      <c r="D31" s="27">
        <v>123.43</v>
      </c>
      <c r="O31" s="31"/>
    </row>
    <row r="32" spans="1:15">
      <c r="A32" s="26" t="s">
        <v>140</v>
      </c>
      <c r="B32" s="27">
        <v>42</v>
      </c>
      <c r="C32" s="27">
        <v>32</v>
      </c>
      <c r="D32" s="27">
        <v>28.8</v>
      </c>
      <c r="O32" s="31"/>
    </row>
    <row r="33" spans="1:15">
      <c r="A33" s="26" t="s">
        <v>141</v>
      </c>
      <c r="B33" s="27">
        <v>88.13</v>
      </c>
      <c r="C33" s="27">
        <v>67.14</v>
      </c>
      <c r="D33" s="27">
        <v>60.43</v>
      </c>
      <c r="O33" s="31"/>
    </row>
    <row r="34" spans="1:15">
      <c r="A34" s="26" t="s">
        <v>142</v>
      </c>
      <c r="B34" s="27">
        <v>177.19</v>
      </c>
      <c r="C34" s="27">
        <v>135</v>
      </c>
      <c r="D34" s="27">
        <v>121.5</v>
      </c>
      <c r="O34" s="31"/>
    </row>
    <row r="35" spans="1:15">
      <c r="A35" s="26" t="s">
        <v>143</v>
      </c>
      <c r="B35" s="27">
        <v>159.30000000000001</v>
      </c>
      <c r="C35" s="27">
        <v>121.37</v>
      </c>
      <c r="D35" s="27">
        <v>109.23</v>
      </c>
      <c r="O35" s="31"/>
    </row>
    <row r="36" spans="1:15">
      <c r="A36" s="26" t="s">
        <v>13</v>
      </c>
      <c r="B36" s="27">
        <v>161.25</v>
      </c>
      <c r="C36" s="27">
        <v>122.86</v>
      </c>
      <c r="D36" s="27">
        <v>110.57</v>
      </c>
      <c r="O36" s="31"/>
    </row>
    <row r="37" spans="1:15">
      <c r="A37" s="26" t="s">
        <v>14</v>
      </c>
      <c r="B37" s="27">
        <v>269.52999999999997</v>
      </c>
      <c r="C37" s="27">
        <v>205.36</v>
      </c>
      <c r="D37" s="27">
        <v>184.82</v>
      </c>
      <c r="O37" s="31"/>
    </row>
    <row r="38" spans="1:15">
      <c r="A38" s="26" t="s">
        <v>16</v>
      </c>
      <c r="B38" s="27">
        <v>165.94</v>
      </c>
      <c r="C38" s="27">
        <v>126.43</v>
      </c>
      <c r="D38" s="27">
        <v>113.79</v>
      </c>
      <c r="O38" s="31"/>
    </row>
    <row r="39" spans="1:15">
      <c r="A39" s="26" t="s">
        <v>17</v>
      </c>
      <c r="B39" s="27">
        <v>274.22000000000003</v>
      </c>
      <c r="C39" s="27">
        <v>208.93</v>
      </c>
      <c r="D39" s="27">
        <v>188.04</v>
      </c>
      <c r="O39" s="31"/>
    </row>
    <row r="40" spans="1:15">
      <c r="A40" s="26" t="s">
        <v>18</v>
      </c>
      <c r="B40" s="27">
        <v>99.4</v>
      </c>
      <c r="C40" s="27">
        <v>75.73</v>
      </c>
      <c r="D40" s="27">
        <v>68.16</v>
      </c>
      <c r="O40" s="31"/>
    </row>
    <row r="41" spans="1:15">
      <c r="A41" s="26" t="s">
        <v>19</v>
      </c>
      <c r="B41" s="27">
        <v>148.13</v>
      </c>
      <c r="C41" s="27">
        <v>112.86</v>
      </c>
      <c r="D41" s="27">
        <v>101.57</v>
      </c>
      <c r="O41" s="31"/>
    </row>
    <row r="42" spans="1:15">
      <c r="A42" s="26" t="s">
        <v>20</v>
      </c>
      <c r="B42" s="27">
        <v>240.23</v>
      </c>
      <c r="C42" s="27">
        <v>183.03</v>
      </c>
      <c r="D42" s="27">
        <v>164.73</v>
      </c>
      <c r="O42" s="31"/>
    </row>
    <row r="43" spans="1:15">
      <c r="A43" s="26" t="s">
        <v>21</v>
      </c>
      <c r="B43" s="27">
        <v>113.9</v>
      </c>
      <c r="C43" s="27">
        <v>86.78</v>
      </c>
      <c r="D43" s="27">
        <v>78.099999999999994</v>
      </c>
      <c r="O43" s="31"/>
    </row>
    <row r="44" spans="1:15">
      <c r="A44" s="26" t="s">
        <v>23</v>
      </c>
      <c r="B44" s="27">
        <v>87.66</v>
      </c>
      <c r="C44" s="27">
        <v>66.790000000000006</v>
      </c>
      <c r="D44" s="27">
        <v>60.11</v>
      </c>
      <c r="O44" s="31"/>
    </row>
    <row r="45" spans="1:15">
      <c r="A45" s="26" t="s">
        <v>24</v>
      </c>
      <c r="B45" s="27">
        <v>133</v>
      </c>
      <c r="C45" s="27">
        <v>101.33</v>
      </c>
      <c r="D45" s="27">
        <v>91.2</v>
      </c>
      <c r="O45" s="31"/>
    </row>
    <row r="46" spans="1:15">
      <c r="A46" s="26" t="s">
        <v>26</v>
      </c>
      <c r="B46" s="27">
        <v>232.97</v>
      </c>
      <c r="C46" s="27">
        <v>177.5</v>
      </c>
      <c r="D46" s="27">
        <v>159.75</v>
      </c>
      <c r="O46" s="31"/>
    </row>
    <row r="47" spans="1:15">
      <c r="A47" s="26" t="s">
        <v>27</v>
      </c>
      <c r="B47" s="27">
        <v>121.9</v>
      </c>
      <c r="C47" s="27">
        <v>92.88</v>
      </c>
      <c r="D47" s="27">
        <v>83.59</v>
      </c>
      <c r="O47" s="31"/>
    </row>
    <row r="48" spans="1:15">
      <c r="A48" s="26" t="s">
        <v>29</v>
      </c>
      <c r="B48" s="27">
        <v>114.9</v>
      </c>
      <c r="C48" s="27">
        <v>87.54</v>
      </c>
      <c r="D48" s="27">
        <v>78.790000000000006</v>
      </c>
      <c r="O48" s="31"/>
    </row>
    <row r="49" spans="1:15">
      <c r="A49" s="26" t="s">
        <v>30</v>
      </c>
      <c r="B49" s="27">
        <v>207.5</v>
      </c>
      <c r="C49" s="27">
        <v>158.1</v>
      </c>
      <c r="D49" s="27">
        <v>142.29</v>
      </c>
      <c r="O49" s="31"/>
    </row>
    <row r="50" spans="1:15">
      <c r="A50" s="26" t="s">
        <v>31</v>
      </c>
      <c r="B50" s="27">
        <v>51.56</v>
      </c>
      <c r="C50" s="27">
        <v>39.29</v>
      </c>
      <c r="D50" s="27">
        <v>35.36</v>
      </c>
      <c r="O50" s="31"/>
    </row>
    <row r="51" spans="1:15">
      <c r="A51" s="26" t="s">
        <v>32</v>
      </c>
      <c r="B51" s="27">
        <v>255.47</v>
      </c>
      <c r="C51" s="27">
        <v>194.64</v>
      </c>
      <c r="D51" s="27">
        <v>175.18</v>
      </c>
      <c r="O51" s="31"/>
    </row>
    <row r="52" spans="1:15">
      <c r="A52" s="26" t="s">
        <v>33</v>
      </c>
      <c r="B52" s="27">
        <v>62.3</v>
      </c>
      <c r="C52" s="27">
        <v>47.47</v>
      </c>
      <c r="D52" s="27">
        <v>42.72</v>
      </c>
      <c r="O52" s="31"/>
    </row>
    <row r="53" spans="1:15">
      <c r="A53" s="26" t="s">
        <v>34</v>
      </c>
      <c r="B53" s="27">
        <v>122.9</v>
      </c>
      <c r="C53" s="27">
        <v>93.64</v>
      </c>
      <c r="D53" s="27">
        <v>84.28</v>
      </c>
      <c r="O53" s="31"/>
    </row>
    <row r="54" spans="1:15">
      <c r="A54" s="26" t="s">
        <v>81</v>
      </c>
      <c r="B54" s="27">
        <v>293.5</v>
      </c>
      <c r="C54" s="27">
        <v>223.62</v>
      </c>
      <c r="D54" s="27">
        <v>201.26</v>
      </c>
      <c r="O54" s="31"/>
    </row>
    <row r="55" spans="1:15">
      <c r="A55" s="26" t="s">
        <v>82</v>
      </c>
      <c r="B55" s="27">
        <v>248.2</v>
      </c>
      <c r="C55" s="27">
        <v>189.1</v>
      </c>
      <c r="D55" s="27">
        <v>170.19</v>
      </c>
      <c r="O55" s="31"/>
    </row>
    <row r="56" spans="1:15">
      <c r="A56" s="26" t="s">
        <v>83</v>
      </c>
      <c r="B56" s="27">
        <v>306.08999999999997</v>
      </c>
      <c r="C56" s="27">
        <v>233.21</v>
      </c>
      <c r="D56" s="27">
        <v>209.89</v>
      </c>
      <c r="O56" s="31"/>
    </row>
    <row r="57" spans="1:15">
      <c r="A57" s="26" t="s">
        <v>84</v>
      </c>
      <c r="B57" s="27">
        <v>441.56</v>
      </c>
      <c r="C57" s="27">
        <v>336.43</v>
      </c>
      <c r="D57" s="27">
        <v>302.79000000000002</v>
      </c>
      <c r="O57" s="31"/>
    </row>
    <row r="58" spans="1:15">
      <c r="A58" s="26" t="s">
        <v>36</v>
      </c>
      <c r="B58" s="27">
        <v>741.09</v>
      </c>
      <c r="C58" s="27">
        <v>564.64</v>
      </c>
      <c r="D58" s="27">
        <v>508.18</v>
      </c>
      <c r="O58" s="31"/>
    </row>
    <row r="59" spans="1:15">
      <c r="A59" s="26" t="s">
        <v>37</v>
      </c>
      <c r="B59" s="27">
        <v>168.75</v>
      </c>
      <c r="C59" s="27">
        <v>128.57</v>
      </c>
      <c r="D59" s="27">
        <v>115.71</v>
      </c>
      <c r="O59" s="31"/>
    </row>
    <row r="60" spans="1:15">
      <c r="A60" s="26" t="s">
        <v>38</v>
      </c>
      <c r="B60" s="27">
        <v>302.81</v>
      </c>
      <c r="C60" s="27">
        <v>230.71</v>
      </c>
      <c r="D60" s="27">
        <v>207.64</v>
      </c>
      <c r="O60" s="31"/>
    </row>
    <row r="61" spans="1:15">
      <c r="A61" s="26" t="s">
        <v>39</v>
      </c>
      <c r="B61" s="27">
        <v>841.41</v>
      </c>
      <c r="C61" s="27">
        <v>641.07000000000005</v>
      </c>
      <c r="D61" s="27">
        <v>576.96</v>
      </c>
      <c r="O61" s="31"/>
    </row>
    <row r="62" spans="1:15">
      <c r="A62" s="26" t="s">
        <v>40</v>
      </c>
      <c r="B62" s="27">
        <v>926.5</v>
      </c>
      <c r="C62" s="27">
        <v>705.9</v>
      </c>
      <c r="D62" s="27">
        <v>635.30999999999995</v>
      </c>
      <c r="O62" s="31"/>
    </row>
    <row r="63" spans="1:15">
      <c r="A63" s="26" t="s">
        <v>51</v>
      </c>
      <c r="B63" s="27">
        <v>85.78</v>
      </c>
      <c r="C63" s="27">
        <v>65.36</v>
      </c>
      <c r="D63" s="27">
        <v>58.82</v>
      </c>
      <c r="O63" s="31"/>
    </row>
    <row r="64" spans="1:15">
      <c r="A64" s="26" t="s">
        <v>52</v>
      </c>
      <c r="B64" s="27">
        <v>89.53</v>
      </c>
      <c r="C64" s="27">
        <v>68.209999999999994</v>
      </c>
      <c r="D64" s="27">
        <v>61.39</v>
      </c>
      <c r="O64" s="31"/>
    </row>
    <row r="65" spans="1:15">
      <c r="A65" s="26" t="s">
        <v>49</v>
      </c>
      <c r="B65" s="27">
        <v>193.13</v>
      </c>
      <c r="C65" s="27">
        <v>147.13999999999999</v>
      </c>
      <c r="D65" s="27">
        <v>132.43</v>
      </c>
      <c r="O65" s="31"/>
    </row>
    <row r="66" spans="1:15">
      <c r="A66" s="26" t="s">
        <v>50</v>
      </c>
      <c r="B66" s="27">
        <v>138.1</v>
      </c>
      <c r="C66" s="27">
        <v>105.22</v>
      </c>
      <c r="D66" s="27">
        <v>94.7</v>
      </c>
      <c r="O66" s="31"/>
    </row>
    <row r="67" spans="1:15">
      <c r="A67" s="26" t="s">
        <v>42</v>
      </c>
      <c r="B67" s="27">
        <v>34.380000000000003</v>
      </c>
      <c r="C67" s="27">
        <v>26.19</v>
      </c>
      <c r="D67" s="27">
        <v>23.57</v>
      </c>
      <c r="O67" s="31"/>
    </row>
    <row r="68" spans="1:15">
      <c r="A68" s="26" t="s">
        <v>43</v>
      </c>
      <c r="B68" s="27">
        <v>97.27</v>
      </c>
      <c r="C68" s="27">
        <v>74.11</v>
      </c>
      <c r="D68" s="27">
        <v>66.7</v>
      </c>
      <c r="O68" s="31"/>
    </row>
    <row r="69" spans="1:15">
      <c r="A69" s="26" t="s">
        <v>44</v>
      </c>
      <c r="B69" s="27">
        <v>98.91</v>
      </c>
      <c r="C69" s="27">
        <v>75.36</v>
      </c>
      <c r="D69" s="27">
        <v>67.819999999999993</v>
      </c>
      <c r="O69" s="31"/>
    </row>
    <row r="70" spans="1:15">
      <c r="A70" s="26" t="s">
        <v>45</v>
      </c>
      <c r="B70" s="27">
        <v>13.97</v>
      </c>
      <c r="C70" s="27">
        <v>10.64</v>
      </c>
      <c r="D70" s="27">
        <v>9.58</v>
      </c>
      <c r="O70" s="31"/>
    </row>
    <row r="71" spans="1:15">
      <c r="A71" s="26" t="s">
        <v>46</v>
      </c>
      <c r="B71" s="27">
        <v>34.130000000000003</v>
      </c>
      <c r="C71" s="27">
        <v>26.01</v>
      </c>
      <c r="D71" s="27">
        <v>23.41</v>
      </c>
      <c r="O71" s="31"/>
    </row>
    <row r="72" spans="1:15">
      <c r="A72" s="26" t="s">
        <v>47</v>
      </c>
      <c r="B72" s="27">
        <v>34.380000000000003</v>
      </c>
      <c r="C72" s="27">
        <v>26.19</v>
      </c>
      <c r="D72" s="27">
        <v>23.57</v>
      </c>
      <c r="O72" s="31"/>
    </row>
    <row r="73" spans="1:15">
      <c r="A73" s="26" t="s">
        <v>133</v>
      </c>
      <c r="B73" s="27">
        <v>34.130000000000003</v>
      </c>
      <c r="C73" s="27">
        <v>26.01</v>
      </c>
      <c r="D73" s="27">
        <v>23.41</v>
      </c>
      <c r="O73" s="31"/>
    </row>
    <row r="74" spans="1:15">
      <c r="A74" s="26" t="s">
        <v>85</v>
      </c>
      <c r="B74" s="27">
        <v>241.88</v>
      </c>
      <c r="C74" s="27">
        <v>184.29</v>
      </c>
      <c r="D74" s="27">
        <v>165.86</v>
      </c>
      <c r="O74" s="31"/>
    </row>
    <row r="75" spans="1:15">
      <c r="A75" s="26" t="s">
        <v>53</v>
      </c>
      <c r="B75" s="27">
        <v>120.94</v>
      </c>
      <c r="C75" s="27">
        <v>92.14</v>
      </c>
      <c r="D75" s="27">
        <v>82.93</v>
      </c>
      <c r="O75" s="31"/>
    </row>
    <row r="76" spans="1:15">
      <c r="A76" s="26" t="s">
        <v>121</v>
      </c>
      <c r="B76" s="27">
        <v>214.22</v>
      </c>
      <c r="C76" s="27">
        <v>163.21</v>
      </c>
      <c r="D76" s="27">
        <v>146.88999999999999</v>
      </c>
      <c r="O76" s="31"/>
    </row>
    <row r="77" spans="1:15">
      <c r="A77" s="26" t="s">
        <v>54</v>
      </c>
      <c r="B77" s="27">
        <v>140.63</v>
      </c>
      <c r="C77" s="27">
        <v>107.14</v>
      </c>
      <c r="D77" s="27">
        <v>96.43</v>
      </c>
      <c r="O77" s="31"/>
    </row>
    <row r="78" spans="1:15">
      <c r="A78" s="26" t="s">
        <v>132</v>
      </c>
      <c r="B78" s="27">
        <v>187.5</v>
      </c>
      <c r="C78" s="27">
        <v>142.86000000000001</v>
      </c>
      <c r="D78" s="27">
        <v>128.57</v>
      </c>
      <c r="O78" s="31"/>
    </row>
    <row r="79" spans="1:15">
      <c r="A79" t="s">
        <v>55</v>
      </c>
      <c r="B79" s="27">
        <v>74</v>
      </c>
      <c r="C79" s="27">
        <v>52.86</v>
      </c>
      <c r="D79" s="27">
        <v>47.57</v>
      </c>
      <c r="O79" s="31"/>
    </row>
    <row r="80" spans="1:15">
      <c r="A80" s="26" t="s">
        <v>86</v>
      </c>
      <c r="B80" s="27">
        <v>190.31</v>
      </c>
      <c r="C80" s="27">
        <v>145</v>
      </c>
      <c r="D80" s="27">
        <v>130.5</v>
      </c>
      <c r="O80" s="31"/>
    </row>
    <row r="81" spans="1:15">
      <c r="A81" s="26" t="s">
        <v>57</v>
      </c>
      <c r="B81" s="27">
        <v>114.84</v>
      </c>
      <c r="C81" s="27">
        <v>87.5</v>
      </c>
      <c r="D81" s="27">
        <v>78.75</v>
      </c>
      <c r="O81" s="31"/>
    </row>
    <row r="82" spans="1:15">
      <c r="A82" s="26" t="s">
        <v>59</v>
      </c>
      <c r="B82" s="27">
        <v>402.66</v>
      </c>
      <c r="C82" s="27">
        <v>306.79000000000002</v>
      </c>
      <c r="D82" s="27">
        <v>276.11</v>
      </c>
      <c r="O82" s="31"/>
    </row>
    <row r="83" spans="1:15">
      <c r="A83" s="26" t="s">
        <v>60</v>
      </c>
      <c r="B83" s="27">
        <v>110.16</v>
      </c>
      <c r="C83" s="27">
        <v>83.93</v>
      </c>
      <c r="D83" s="27">
        <v>75.540000000000006</v>
      </c>
      <c r="O83" s="31"/>
    </row>
    <row r="84" spans="1:15">
      <c r="A84" s="26" t="s">
        <v>61</v>
      </c>
      <c r="B84" s="27">
        <v>212.81</v>
      </c>
      <c r="C84" s="27">
        <v>162.13999999999999</v>
      </c>
      <c r="D84" s="27">
        <v>145.93</v>
      </c>
      <c r="O84" s="31"/>
    </row>
    <row r="85" spans="1:15">
      <c r="A85" s="35" t="s">
        <v>122</v>
      </c>
      <c r="B85" s="27">
        <v>152.81</v>
      </c>
      <c r="C85" s="27">
        <v>116.43</v>
      </c>
      <c r="D85" s="27">
        <v>104.79</v>
      </c>
      <c r="O85" s="31"/>
    </row>
    <row r="86" spans="1:15">
      <c r="A86" s="26" t="s">
        <v>62</v>
      </c>
      <c r="B86" s="27">
        <v>218.44</v>
      </c>
      <c r="C86" s="27">
        <v>166.43</v>
      </c>
      <c r="D86" s="27">
        <v>149.79</v>
      </c>
      <c r="O86" s="31"/>
    </row>
    <row r="87" spans="1:15">
      <c r="A87" s="26" t="s">
        <v>87</v>
      </c>
      <c r="B87" s="27">
        <v>281.25</v>
      </c>
      <c r="C87" s="27">
        <v>214.29</v>
      </c>
      <c r="D87" s="27">
        <v>192.86</v>
      </c>
      <c r="O87" s="31"/>
    </row>
    <row r="88" spans="1:15">
      <c r="A88" s="26" t="s">
        <v>63</v>
      </c>
      <c r="B88" s="27">
        <v>251.6</v>
      </c>
      <c r="C88" s="27">
        <v>191.7</v>
      </c>
      <c r="D88" s="27">
        <v>172.53</v>
      </c>
      <c r="O88" s="31"/>
    </row>
    <row r="89" spans="1:15">
      <c r="A89" t="s">
        <v>64</v>
      </c>
      <c r="B89" s="27">
        <v>73.59</v>
      </c>
      <c r="C89" s="27">
        <v>56.07</v>
      </c>
      <c r="D89" s="27">
        <v>50.46</v>
      </c>
      <c r="O89" s="31"/>
    </row>
    <row r="90" spans="1:15">
      <c r="A90" s="26" t="s">
        <v>65</v>
      </c>
      <c r="B90" s="27">
        <v>145.31</v>
      </c>
      <c r="C90" s="27">
        <v>110.71</v>
      </c>
      <c r="D90" s="27">
        <v>99.64</v>
      </c>
      <c r="O90" s="31"/>
    </row>
    <row r="91" spans="1:15">
      <c r="A91" s="26" t="s">
        <v>67</v>
      </c>
      <c r="B91" s="27">
        <v>204.38</v>
      </c>
      <c r="C91" s="27">
        <v>155.71</v>
      </c>
      <c r="D91" s="27">
        <v>140.13999999999999</v>
      </c>
      <c r="O91" s="31"/>
    </row>
    <row r="92" spans="1:15">
      <c r="A92" s="26" t="s">
        <v>68</v>
      </c>
      <c r="B92" s="27">
        <v>296.25</v>
      </c>
      <c r="C92" s="27">
        <v>225.71</v>
      </c>
      <c r="D92" s="27">
        <v>203.14</v>
      </c>
      <c r="O92" s="31"/>
    </row>
    <row r="93" spans="1:15">
      <c r="A93" s="26" t="s">
        <v>126</v>
      </c>
      <c r="B93" s="27">
        <v>293.91000000000003</v>
      </c>
      <c r="C93" s="27">
        <v>223.93</v>
      </c>
      <c r="D93" s="27">
        <v>201.54</v>
      </c>
      <c r="O93" s="31"/>
    </row>
    <row r="94" spans="1:15">
      <c r="A94" s="26" t="s">
        <v>123</v>
      </c>
      <c r="B94" s="27">
        <v>329.06</v>
      </c>
      <c r="C94" s="27">
        <v>250.71</v>
      </c>
      <c r="D94" s="27">
        <v>225.64</v>
      </c>
      <c r="O94" s="31"/>
    </row>
    <row r="95" spans="1:15">
      <c r="A95" s="26" t="s">
        <v>131</v>
      </c>
      <c r="B95" s="27">
        <v>289.69</v>
      </c>
      <c r="C95" s="27">
        <v>220.71</v>
      </c>
      <c r="D95" s="27">
        <v>198.64</v>
      </c>
      <c r="O95" s="31"/>
    </row>
    <row r="96" spans="1:15">
      <c r="A96" s="26"/>
      <c r="B96" s="27"/>
      <c r="C96" s="27"/>
      <c r="D96" s="27"/>
      <c r="O96" s="31"/>
    </row>
    <row r="97" spans="1:15">
      <c r="A97" s="26"/>
      <c r="B97" s="27"/>
      <c r="C97" s="27"/>
      <c r="D97" s="27"/>
      <c r="O97" s="31"/>
    </row>
    <row r="98" spans="1:15">
      <c r="A98" s="26"/>
      <c r="B98" s="27"/>
      <c r="C98" s="27"/>
      <c r="D98" s="27"/>
      <c r="O98" s="31"/>
    </row>
    <row r="99" spans="1:15">
      <c r="A99" s="26"/>
      <c r="B99" s="27"/>
      <c r="C99" s="27"/>
      <c r="D99" s="27"/>
      <c r="O99" s="31"/>
    </row>
    <row r="100" spans="1:15">
      <c r="A100" s="26"/>
      <c r="B100" s="27"/>
      <c r="C100" s="27"/>
      <c r="D100" s="27"/>
      <c r="O100" s="31"/>
    </row>
    <row r="101" spans="1:15">
      <c r="A101" s="26"/>
      <c r="B101" s="27"/>
      <c r="C101" s="27"/>
      <c r="D101" s="27"/>
      <c r="O101" s="31"/>
    </row>
    <row r="102" spans="1:15">
      <c r="A102" s="26"/>
      <c r="B102" s="27"/>
      <c r="C102" s="27"/>
      <c r="D102" s="27"/>
      <c r="O102" s="31"/>
    </row>
    <row r="103" spans="1:15">
      <c r="A103" s="26"/>
      <c r="B103" s="27"/>
      <c r="C103" s="27"/>
      <c r="D103" s="27"/>
      <c r="O103" s="31"/>
    </row>
    <row r="104" spans="1:15">
      <c r="A104" s="26"/>
      <c r="B104" s="27"/>
      <c r="C104" s="27"/>
      <c r="D104" s="27"/>
      <c r="O104" s="31"/>
    </row>
    <row r="105" spans="1:15">
      <c r="A105" s="26"/>
      <c r="B105" s="27"/>
      <c r="C105" s="27"/>
      <c r="D105" s="27"/>
      <c r="O105" s="31"/>
    </row>
    <row r="106" spans="1:15">
      <c r="A106" s="26"/>
      <c r="B106" s="27"/>
      <c r="C106" s="27"/>
      <c r="D106" s="27"/>
    </row>
    <row r="107" spans="1:15">
      <c r="A107" s="28"/>
      <c r="B107" s="28"/>
      <c r="C107" s="28"/>
      <c r="D107" s="28"/>
    </row>
    <row r="108" spans="1:15">
      <c r="A108" s="28"/>
      <c r="B108" s="28"/>
      <c r="C108" s="28"/>
      <c r="D108" s="28"/>
    </row>
    <row r="109" spans="1:15">
      <c r="A109" s="28"/>
      <c r="B109" s="28"/>
      <c r="C109" s="28"/>
      <c r="D109" s="28"/>
    </row>
  </sheetData>
  <sheetProtection selectLockedCells="1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APRIL</vt:lpstr>
      <vt:lpstr>MAY</vt:lpstr>
      <vt:lpstr>JUN</vt:lpstr>
      <vt:lpstr>JULY</vt:lpstr>
      <vt:lpstr>AUG</vt:lpstr>
      <vt:lpstr>SEPT</vt:lpstr>
      <vt:lpstr>OCT</vt:lpstr>
      <vt:lpstr>NOV</vt:lpstr>
      <vt:lpstr>DEC</vt:lpstr>
      <vt:lpstr>JAN</vt:lpstr>
      <vt:lpstr>FEB</vt:lpstr>
      <vt:lpstr>MAR</vt:lpstr>
      <vt:lpstr>Stockist trend</vt:lpstr>
      <vt:lpstr>PRD TREND</vt:lpstr>
      <vt:lpstr>PRICELIST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vrushank_mehta@intaspharma.com</dc:creator>
  <cp:lastModifiedBy>Praveen Kumar Aitipamula</cp:lastModifiedBy>
  <dcterms:created xsi:type="dcterms:W3CDTF">2006-09-16T00:00:00Z</dcterms:created>
  <dcterms:modified xsi:type="dcterms:W3CDTF">2026-06-04T13:27:56Z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1033-10.2.0.7636</vt:lpwstr>
  </property>
</Properties>
</file>